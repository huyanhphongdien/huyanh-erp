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DSD" sheetId="1" state="visible" r:id="rId3"/>
    <sheet name="THAM_SO" sheetId="2" state="visible" r:id="rId4"/>
    <sheet name="HS_SX" sheetId="3" state="visible" r:id="rId5"/>
    <sheet name="NHAN_VIEN" sheetId="4" state="visible" r:id="rId6"/>
    <sheet name="KHOAN_KHAC" sheetId="5" state="visible" r:id="rId7"/>
    <sheet name="BCC_KHOAN" sheetId="6" state="visible" r:id="rId8"/>
    <sheet name="LUONG_KHOAN" sheetId="7" state="visible" r:id="rId9"/>
    <sheet name="KIEM_TRA" sheetId="8" state="visible" r:id="rId10"/>
    <sheet name="XE_THAM_SO" sheetId="9" state="visible" r:id="rId11"/>
    <sheet name="XE_TUYEN" sheetId="10" state="visible" r:id="rId12"/>
    <sheet name="XE_CHUYEN" sheetId="11" state="visible" r:id="rId13"/>
    <sheet name="XE_CHI_PHI" sheetId="12" state="visible" r:id="rId14"/>
    <sheet name="XE_LUONG" sheetId="13" state="visible" r:id="rId15"/>
    <sheet name="ERP_MAP" sheetId="14" state="visible" r:id="rId16"/>
  </sheets>
  <definedNames>
    <definedName function="false" hidden="false" name="BCC_GIO" vbProcedure="false">BCC_KHOAN!$AJ$6:$AJ$100</definedName>
    <definedName function="false" hidden="false" name="BCC_MA" vbProcedure="false">BCC_KHOAN!$B$6:$B$100</definedName>
    <definedName function="false" hidden="false" name="BHXH_NLD" vbProcedure="false">XE_THAM_SO!$C$11</definedName>
    <definedName function="false" hidden="false" name="CP_DUOCTINH" vbProcedure="false">XE_CHI_PHI!$J$5:$J$600</definedName>
    <definedName function="false" hidden="false" name="CP_LOAI" vbProcedure="false">XE_CHI_PHI!$G$5:$G$600</definedName>
    <definedName function="false" hidden="false" name="CP_MA" vbProcedure="false">XE_CHI_PHI!$C$5:$C$600</definedName>
    <definedName function="false" hidden="false" name="CP_SOTIEN" vbProcedure="false">XE_CHI_PHI!$I$5:$I$600</definedName>
    <definedName function="false" hidden="false" name="CP_TT" vbProcedure="false">XE_CHI_PHI!$H$5:$H$600</definedName>
    <definedName function="false" hidden="false" name="CP_VND" vbProcedure="false">XE_CHI_PHI!$K$5:$K$600</definedName>
    <definedName function="false" hidden="false" name="DG_CHEN" vbProcedure="false">THAM_SO!$C$10</definedName>
    <definedName function="false" hidden="false" name="DG_CONGNHAT" vbProcedure="false">THAM_SO!$C$14</definedName>
    <definedName function="false" hidden="false" name="DG_HANGING" vbProcedure="false">THAM_SO!$C$8</definedName>
    <definedName function="false" hidden="false" name="DM_TIENAN_TAN" vbProcedure="false">THAM_SO!$C$12</definedName>
    <definedName function="false" hidden="false" name="GIO_CONG" vbProcedure="false">THAM_SO!$C$13</definedName>
    <definedName function="false" hidden="false" name="GIO_TB" vbProcedure="false">THAM_SO!$C$19</definedName>
    <definedName function="false" hidden="false" name="HS_BANG" vbProcedure="false">HS_SX!$A$5:$B$15</definedName>
    <definedName function="false" hidden="false" name="HT_DAU_KM" vbProcedure="false">XE_THAM_SO!$C$9</definedName>
    <definedName function="false" hidden="false" name="HT_VUOTNGAY" vbProcedure="false">XE_THAM_SO!$C$8</definedName>
    <definedName function="false" hidden="false" name="KL_CHEBIEN" vbProcedure="false">THAM_SO!$C$6</definedName>
    <definedName function="false" hidden="false" name="KL_CHEN" vbProcedure="false">THAM_SO!$C$9</definedName>
    <definedName function="false" hidden="false" name="KL_HANGING" vbProcedure="false">THAM_SO!$C$7</definedName>
    <definedName function="false" hidden="false" name="LAMTRON" vbProcedure="false">THAM_SO!$C$15</definedName>
    <definedName function="false" hidden="false" name="NAM" vbProcedure="false">THAM_SO!$C$4</definedName>
    <definedName function="false" hidden="false" name="NV_BOPHAN" vbProcedure="false">NHAN_VIEN!$E$5:$E$300</definedName>
    <definedName function="false" hidden="false" name="NV_DGCN" vbProcedure="false">NHAN_VIEN!$H$5:$H$300</definedName>
    <definedName function="false" hidden="false" name="NV_HESO" vbProcedure="false">NHAN_VIEN!$G$5:$G$300</definedName>
    <definedName function="false" hidden="false" name="NV_HINHTHUC" vbProcedure="false">NHAN_VIEN!$F$5:$F$300</definedName>
    <definedName function="false" hidden="false" name="NV_MA" vbProcedure="false">NHAN_VIEN!$B$5:$B$300</definedName>
    <definedName function="false" hidden="false" name="NV_TEN" vbProcedure="false">NHAN_VIEN!$C$5:$C$300</definedName>
    <definedName function="false" hidden="false" name="QUY_CHEN" vbProcedure="false">THAM_SO!$C$21</definedName>
    <definedName function="false" hidden="false" name="QUY_HANGING" vbProcedure="false">THAM_SO!$C$20</definedName>
    <definedName function="false" hidden="false" name="QUY_KHAC" vbProcedure="false">THAM_SO!$C$22</definedName>
    <definedName function="false" hidden="false" name="QUY_TIENAN" vbProcedure="false">THAM_SO!$C$26</definedName>
    <definedName function="false" hidden="false" name="SO_LD_DINHMUC" vbProcedure="false">THAM_SO!$C$11</definedName>
    <definedName function="false" hidden="false" name="THANG" vbProcedure="false">THAM_SO!$C$3</definedName>
    <definedName function="false" hidden="false" name="TIENAN_CONG" vbProcedure="false">THAM_SO!$C$27</definedName>
    <definedName function="false" hidden="false" name="TONG_CONGNHAT" vbProcedure="false">THAM_SO!$C$24</definedName>
    <definedName function="false" hidden="false" name="TONG_CONG_TIENAN" vbProcedure="false">THAM_SO!$C$25</definedName>
    <definedName function="false" hidden="false" name="TONG_GIO_KHOAN" vbProcedure="false">THAM_SO!$C$18</definedName>
    <definedName function="false" hidden="false" name="TUYEN_DG" vbProcedure="false">XE_TUYEN!$E$5:$E$200</definedName>
    <definedName function="false" hidden="false" name="TUYEN_HTVC" vbProcedure="false">XE_TUYEN!$F$5:$F$200</definedName>
    <definedName function="false" hidden="false" name="TUYEN_MA" vbProcedure="false">XE_TUYEN!$A$5:$A$200</definedName>
    <definedName function="false" hidden="false" name="TUYEN_MOTA" vbProcedure="false">XE_TUYEN!$B$5:$B$200</definedName>
    <definedName function="false" hidden="false" name="TUYEN_NGAY" vbProcedure="false">XE_TUYEN!$D$5:$D$200</definedName>
    <definedName function="false" hidden="false" name="TYGIA_LAK" vbProcedure="false">XE_THAM_SO!$C$7</definedName>
    <definedName function="false" hidden="false" name="XC_DG" vbProcedure="false">XE_CHUYEN!$Q$5:$Q$300</definedName>
    <definedName function="false" hidden="false" name="XC_HTDAU" vbProcedure="false">XE_CHUYEN!$S$5:$S$300</definedName>
    <definedName function="false" hidden="false" name="XC_HTVUOT" vbProcedure="false">XE_CHUYEN!$R$5:$R$300</definedName>
    <definedName function="false" hidden="false" name="XC_LUONG" vbProcedure="false">XE_CHUYEN!$V$5:$V$300</definedName>
    <definedName function="false" hidden="false" name="XC_MA" vbProcedure="false">XE_CHUYEN!$B$5:$B$300</definedName>
    <definedName function="false" hidden="false" name="XC_NGAY" vbProcedure="false">XE_CHUYEN!$F$5:$F$300</definedName>
    <definedName function="false" hidden="false" name="XE_LAMTRON" vbProcedure="false">XE_THAM_SO!$C$12</definedName>
    <definedName function="false" hidden="false" name="XE_NAM" vbProcedure="false">XE_THAM_SO!$C$5</definedName>
    <definedName function="false" hidden="false" name="XE_THANG" vbProcedure="false">XE_THAM_SO!$C$4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<sst xmlns="http://schemas.openxmlformats.org/spreadsheetml/2006/main" count="1400" uniqueCount="611">
  <si>
    <t xml:space="preserve">LƯƠNG KHOÁN SẢN XUẤT &amp; ĐỘI XE CONTAINER – FILE CHUẨN HOÁ</t>
  </si>
  <si>
    <t xml:space="preserve">Bản chuẩn hoá từ sheet "BCC sx khoán" (file Lương nội bộ HAPĐ T8/2026) và file "Theo dõi chi phí đội xe container". Bước đệm trước khi đưa lên ERP.</t>
  </si>
  <si>
    <t xml:space="preserve">QUY ƯỚC MÀU</t>
  </si>
  <si>
    <t xml:space="preserve">Chữ xanh dương, nền vàng nhạt</t>
  </si>
  <si>
    <t xml:space="preserve">Ô NHẬP LIỆU – người dùng gõ vào. Không gõ vào bất kỳ ô nào khác.</t>
  </si>
  <si>
    <t xml:space="preserve">Nền vàng đậm</t>
  </si>
  <si>
    <t xml:space="preserve">Tham số/đơn giá CẦN HCNS – KẾ TOÁN XÁC NHẬN (giá trị hiện tại lấy từ file cũ hoặc là ví dụ).</t>
  </si>
  <si>
    <t xml:space="preserve">Chữ đen</t>
  </si>
  <si>
    <t xml:space="preserve">Công thức – không sửa. Sheet đã khoá vùng công thức (mật khẩu trống, bỏ khoá: Review → Unprotect).</t>
  </si>
  <si>
    <t xml:space="preserve">Nền xanh lá</t>
  </si>
  <si>
    <t xml:space="preserve">Kết quả cuối – là số đưa sang Bảng lương (cột "Lương khoán + ăn khoán" và "Số ngày công khoán").</t>
  </si>
  <si>
    <t xml:space="preserve">QUY TRÌNH HÀNG THÁNG – SẢN XUẤT KHOÁN</t>
  </si>
  <si>
    <t xml:space="preserve">1. THAM_SO</t>
  </si>
  <si>
    <t xml:space="preserve">Nhập tháng/năm, tổng tấn chế biến, tấn hàng hanging, tấn hàng chèn. Các đơn giá/định mức chỉ sửa khi có quyết định mới.</t>
  </si>
  <si>
    <t xml:space="preserve">2. NHAN_VIEN</t>
  </si>
  <si>
    <t xml:space="preserve">Thêm người mới (mã NV lấy từ máy chấm công), hệ số, hình thức Khoán / Công nhật. Người nghỉ: đổi Tình trạng, không xoá dòng.</t>
  </si>
  <si>
    <t xml:space="preserve">3. KHOAN_KHAC</t>
  </si>
  <si>
    <t xml:space="preserve">Nhập các việc khoán khác (chèn hàng, vệ sinh máy, khẩu trang…) và khoản trừ (thời vụ A Lưới). Để trống "Mã NV nhận" = chia chung theo giờ; điền mã = trả đích danh người đó.</t>
  </si>
  <si>
    <t xml:space="preserve">4. BCC_KHOAN</t>
  </si>
  <si>
    <t xml:space="preserve">Nhập số giờ từng ngày cho từng mã NV (đúng như sheet cũ). Ngày/thứ tự sinh theo tháng.</t>
  </si>
  <si>
    <t xml:space="preserve">5. LUONG_KHOAN</t>
  </si>
  <si>
    <t xml:space="preserve">Tự tính. Cột "Tổng lương khoán" và "Tiền ăn" là số đưa sang Bảng lương. Không có ô nào phải gõ.</t>
  </si>
  <si>
    <t xml:space="preserve">6. KIEM_TRA</t>
  </si>
  <si>
    <t xml:space="preserve">Mọi dòng phải là OK trước khi chốt. Có dòng LỖI thì xem ghi chú bên cạnh.</t>
  </si>
  <si>
    <t xml:space="preserve">QUY TRÌNH HÀNG THÁNG – ĐỘI XE</t>
  </si>
  <si>
    <t xml:space="preserve">1. XE_THAM_SO / XE_TUYEN</t>
  </si>
  <si>
    <t xml:space="preserve">Bảng đơn giá theo tuyến, hỗ trợ vượt ngày, hỗ trợ dầu, tỷ giá kíp. Đây là phần file cũ CHƯA CÓ – số hiện tại là VÍ DỤ, HCNS phải điền theo quy chế lương tài xế.</t>
  </si>
  <si>
    <t xml:space="preserve">2. XE_CHUYEN</t>
  </si>
  <si>
    <t xml:space="preserve">Mỗi chuyến một dòng (tài xế, tuyến, ngày đi/về, km, số PĐĐ). Lương chuyến tự tính.</t>
  </si>
  <si>
    <t xml:space="preserve">3. XE_CHI_PHI</t>
  </si>
  <si>
    <t xml:space="preserve">Mỗi khoản tạm ứng / chi phí một dòng, ghi rõ tiền tệ (VND/LAK) và "Được tính" (Có/Không). Thay cho việc ghi xen kẽ trong 6 sheet tài xế.</t>
  </si>
  <si>
    <t xml:space="preserve">4. XE_LUONG</t>
  </si>
  <si>
    <t xml:space="preserve">Tự tổng hợp theo tài xế: lương khoán chuyến (đưa sang Bảng lương cột X), quyết toán tạm ứng.</t>
  </si>
  <si>
    <t xml:space="preserve">ĐỐI CHIẾU VỚI SHEET CŨ "BCC sx khoán"</t>
  </si>
  <si>
    <t xml:space="preserve">W2 Khối lượng chế biến</t>
  </si>
  <si>
    <t xml:space="preserve">→ THAM_SO!C6</t>
  </si>
  <si>
    <t xml:space="preserve">AH2/AH3 Hàng hanging</t>
  </si>
  <si>
    <t xml:space="preserve">→ THAM_SO!C7, C8</t>
  </si>
  <si>
    <t xml:space="preserve">AN2/AN3 Hàng chèn</t>
  </si>
  <si>
    <t xml:space="preserve">→ THAM_SO!C9, C10</t>
  </si>
  <si>
    <t xml:space="preserve">W4 = W3/42</t>
  </si>
  <si>
    <t xml:space="preserve">→ 42 = THAM_SO!C11 "Số LĐ định mức" (trước đây gõ cứng trong công thức)</t>
  </si>
  <si>
    <t xml:space="preserve">(W2*500*41) tiền ăn</t>
  </si>
  <si>
    <t xml:space="preserve">→ THAM_SO!C12 = 20.500 đ/tấn (trước đây gõ cứng)</t>
  </si>
  <si>
    <t xml:space="preserve">(M15 − 400.000) và +100.000/+200.000</t>
  </si>
  <si>
    <t xml:space="preserve">→ KHOAN_KHAC: để trống mã = chia chung; điền mã = đích danh. Không còn số cứng.</t>
  </si>
  <si>
    <t xml:space="preserve">'[5]HS sx'!B4:C16 (file ngoài)</t>
  </si>
  <si>
    <t xml:space="preserve">→ sheet HS_SX trong file này</t>
  </si>
  <si>
    <t xml:space="preserve">Bảng công nhật T6:AN14</t>
  </si>
  <si>
    <t xml:space="preserve">→ NHAN_VIEN với Hình thức = "Công nhật" + chấm giờ chung trong BCC_KHOAN</t>
  </si>
  <si>
    <t xml:space="preserve">Cột AS "Tổng lương khoán", AU "Tiền ăn sau khoán"</t>
  </si>
  <si>
    <t xml:space="preserve">→ LUONG_KHOAN cột Q, R (công thức giống hệt, đã kiểm chứng bằng số liệu T8/2026)</t>
  </si>
  <si>
    <t xml:space="preserve">THAM SỐ KỲ LƯƠNG KHOÁN SẢN XUẤT</t>
  </si>
  <si>
    <t xml:space="preserve">Ô xanh/nền vàng nhạt: nhập mỗi tháng. Ô nền vàng đậm: định mức – chỉ đổi khi có quyết định. Phần "Tính toán" là công thức.</t>
  </si>
  <si>
    <t xml:space="preserve">Tháng</t>
  </si>
  <si>
    <t xml:space="preserve">Năm</t>
  </si>
  <si>
    <t xml:space="preserve">Khối lượng chế biến trong tháng (tấn)</t>
  </si>
  <si>
    <t xml:space="preserve">Ô W2 cũ. Đã gồm hàng hanging, đã trích lại 10%, không gồm hàng chèn.</t>
  </si>
  <si>
    <t xml:space="preserve">Khối lượng hàng hanging (tấn)</t>
  </si>
  <si>
    <t xml:space="preserve">Ô AH2 cũ</t>
  </si>
  <si>
    <t xml:space="preserve">Đơn giá cộng thêm hàng hanging (đ/tấn)</t>
  </si>
  <si>
    <t xml:space="preserve">Ô AH3 cũ</t>
  </si>
  <si>
    <t xml:space="preserve">Khối lượng hàng chèn (tấn)</t>
  </si>
  <si>
    <t xml:space="preserve">Ô AN2 cũ. Hàng chèn đã nhập kho nên không nằm trong tấn chế biến.</t>
  </si>
  <si>
    <t xml:space="preserve">Đơn giá hàng chèn (đ/tấn)</t>
  </si>
  <si>
    <t xml:space="preserve">Ô AN3 cũ</t>
  </si>
  <si>
    <t xml:space="preserve">Số lao động định mức (N)</t>
  </si>
  <si>
    <t xml:space="preserve">Số 42 gõ cứng trong công thức W4 = W3/42. Ghi chú A1 sheet cũ: "check số lượng nhân công khoán sửa lại số nhân". CẦN XÁC NHẬN đây là hằng số định mức hay là số người thực tế.</t>
  </si>
  <si>
    <t xml:space="preserve">Định mức tiền ăn theo sản lượng (đ/tấn)</t>
  </si>
  <si>
    <t xml:space="preserve">Bằng 500 × 41 gõ cứng trong công thức tiền ăn cũ (W2*500*41). CẦN XÁC NHẬN.</t>
  </si>
  <si>
    <t xml:space="preserve">Số giờ của 1 công</t>
  </si>
  <si>
    <t xml:space="preserve">Đơn giá công nhật mặc định (đ/công)</t>
  </si>
  <si>
    <t xml:space="preserve">Sheet cũ: 270.000/8 và 300.000/8 – đơn giá riêng từng người khai ở NHAN_VIEN cột G</t>
  </si>
  <si>
    <t xml:space="preserve">Làm tròn xuống đến (đ)</t>
  </si>
  <si>
    <t xml:space="preserve">ROUNDDOWN(…, -3)</t>
  </si>
  <si>
    <t xml:space="preserve">TÍNH TOÁN (không sửa)</t>
  </si>
  <si>
    <t xml:space="preserve">Tổng giờ công khoán trong tháng (giờ)</t>
  </si>
  <si>
    <t xml:space="preserve">Ô W3 cũ (=AN64)</t>
  </si>
  <si>
    <t xml:space="preserve">Số giờ làm trung bình / người</t>
  </si>
  <si>
    <t xml:space="preserve">Ô W4 cũ = W3/42</t>
  </si>
  <si>
    <t xml:space="preserve">Quỹ hàng hanging (đ)</t>
  </si>
  <si>
    <t xml:space="preserve">Ô AH4 cũ</t>
  </si>
  <si>
    <t xml:space="preserve">Quỹ hàng chèn (đ)</t>
  </si>
  <si>
    <t xml:space="preserve">Ô AN4 cũ</t>
  </si>
  <si>
    <t xml:space="preserve">Quỹ khoán CV khác chia chung theo giờ (đ)</t>
  </si>
  <si>
    <t xml:space="preserve">Ô (M15 − 400.000) cũ. Gồm cả khoản trừ (số âm).</t>
  </si>
  <si>
    <t xml:space="preserve">Tổng CV khác trả đích danh (đ)</t>
  </si>
  <si>
    <t xml:space="preserve">Các khoản +100.000/+200.000 gõ tay trong cột AQ cũ</t>
  </si>
  <si>
    <t xml:space="preserve">Tổng lương công nhật trừ khỏi quỹ khoán (đ)</t>
  </si>
  <si>
    <t xml:space="preserve">Ô AL14 cũ</t>
  </si>
  <si>
    <t xml:space="preserve">Tổng công tính tiền ăn (khoán + công nhật)</t>
  </si>
  <si>
    <t xml:space="preserve">Ô (AT64 + AF14/8) cũ</t>
  </si>
  <si>
    <t xml:space="preserve">Quỹ tiền ăn theo sản lượng (đ)</t>
  </si>
  <si>
    <t xml:space="preserve">W2*500*41 cũ</t>
  </si>
  <si>
    <t xml:space="preserve">Tiền ăn cho 1 công (đ/công)</t>
  </si>
  <si>
    <t xml:space="preserve">Tổng quỹ lương khoán sản phẩm phân bổ (đ)</t>
  </si>
  <si>
    <t xml:space="preserve">Tương đương tấn × 42 × đơn giá bình quân</t>
  </si>
  <si>
    <t xml:space="preserve">Chi phí lương khoán bình quân (đ/tấn chế biến)</t>
  </si>
  <si>
    <t xml:space="preserve">Chỉ số quản trị để so sánh giữa các tháng</t>
  </si>
  <si>
    <t xml:space="preserve">BẢNG ĐƠN GIÁ KHOÁN THEO HỆ SỐ (thay cho file ngoài '[5]HS sx')</t>
  </si>
  <si>
    <t xml:space="preserve">10 cặp giá trị dưới đây lấy từ giá trị đã tính trong sheet cũ. Cột D là quy luật suy ra (400 + 6.000 × hệ số) để kiểm tra – CẦN đối chiếu với file "HS sx" gốc và bổ sung hệ số còn thiếu.</t>
  </si>
  <si>
    <t xml:space="preserve">Hệ số</t>
  </si>
  <si>
    <t xml:space="preserve">Đơn giá khoán (đ/tấn)</t>
  </si>
  <si>
    <t xml:space="preserve">Kiểm tra quy luật 400+6000×hs</t>
  </si>
  <si>
    <t xml:space="preserve">Lệch</t>
  </si>
  <si>
    <t xml:space="preserve">Hệ số 1.4 không có trong dữ liệu tháng 8 – giá trị suy ra từ quy luật, CẦN XÁC NHẬN</t>
  </si>
  <si>
    <t xml:space="preserve">DANH MỤC NHÂN VIÊN KHOÁN SẢN XUẤT &amp; TÀI XẾ</t>
  </si>
  <si>
    <t xml:space="preserve">Mã NV là khoá duy nhất (dùng mã máy chấm công / CCCD như file cũ). Mọi sheet khác tra cứu theo mã, không theo tên. Không xoá dòng người nghỉ – đổi Tình trạng.</t>
  </si>
  <si>
    <t xml:space="preserve">STT</t>
  </si>
  <si>
    <t xml:space="preserve">Mã NV</t>
  </si>
  <si>
    <t xml:space="preserve">Họ và tên</t>
  </si>
  <si>
    <t xml:space="preserve">Chức vụ</t>
  </si>
  <si>
    <t xml:space="preserve">Bộ phận</t>
  </si>
  <si>
    <t xml:space="preserve">Hình thức</t>
  </si>
  <si>
    <t xml:space="preserve">Hệ số khoán</t>
  </si>
  <si>
    <t xml:space="preserve">Đơn giá công nhật (đ/công)</t>
  </si>
  <si>
    <t xml:space="preserve">Tình trạng</t>
  </si>
  <si>
    <t xml:space="preserve">Ghi chú</t>
  </si>
  <si>
    <t xml:space="preserve">046085007061</t>
  </si>
  <si>
    <t xml:space="preserve">Lê Vang</t>
  </si>
  <si>
    <t xml:space="preserve">Quản lý SX</t>
  </si>
  <si>
    <t xml:space="preserve">Sản xuất</t>
  </si>
  <si>
    <t xml:space="preserve">Khoán</t>
  </si>
  <si>
    <t xml:space="preserve">Chính thức</t>
  </si>
  <si>
    <t xml:space="preserve">046077003925</t>
  </si>
  <si>
    <t xml:space="preserve">Trần Đình Mạnh</t>
  </si>
  <si>
    <t xml:space="preserve">Tổ phó ca sản xuất</t>
  </si>
  <si>
    <t xml:space="preserve">046177012486</t>
  </si>
  <si>
    <t xml:space="preserve">Lê Thị Bình</t>
  </si>
  <si>
    <t xml:space="preserve">Công nhân Chế biến</t>
  </si>
  <si>
    <t xml:space="preserve">046179008435</t>
  </si>
  <si>
    <t xml:space="preserve">Trần Thị Tích</t>
  </si>
  <si>
    <t xml:space="preserve">046175005132</t>
  </si>
  <si>
    <t xml:space="preserve">Lê Thị Nga</t>
  </si>
  <si>
    <t xml:space="preserve">046090006706</t>
  </si>
  <si>
    <t xml:space="preserve">Phạm Bá Lượng</t>
  </si>
  <si>
    <t xml:space="preserve">046178011746</t>
  </si>
  <si>
    <t xml:space="preserve">Văn Thị Vinh</t>
  </si>
  <si>
    <t xml:space="preserve">046172008975</t>
  </si>
  <si>
    <t xml:space="preserve">Nguyễn Thị Điệp</t>
  </si>
  <si>
    <t xml:space="preserve">NV_KIMANH</t>
  </si>
  <si>
    <t xml:space="preserve">Lê Thị Kim Anh</t>
  </si>
  <si>
    <t xml:space="preserve">File cũ không có mã NV – tạm đặt, cần bổ sung</t>
  </si>
  <si>
    <t xml:space="preserve">046074011254</t>
  </si>
  <si>
    <t xml:space="preserve">Trần Đức Phúc</t>
  </si>
  <si>
    <t xml:space="preserve">046172013837</t>
  </si>
  <si>
    <t xml:space="preserve">Nguyễn Thị Nhung</t>
  </si>
  <si>
    <t xml:space="preserve">046175008129</t>
  </si>
  <si>
    <t xml:space="preserve">Lê Thị Thu Hữu</t>
  </si>
  <si>
    <t xml:space="preserve">046206004482</t>
  </si>
  <si>
    <t xml:space="preserve">Trần Đình Lĩnh</t>
  </si>
  <si>
    <t xml:space="preserve">Thử việc</t>
  </si>
  <si>
    <t xml:space="preserve">046178006439</t>
  </si>
  <si>
    <t xml:space="preserve">Nguyễn Thị Thúy Vân</t>
  </si>
  <si>
    <t xml:space="preserve">046172008914</t>
  </si>
  <si>
    <t xml:space="preserve">Trần Thị Thùy</t>
  </si>
  <si>
    <t xml:space="preserve">046177011413</t>
  </si>
  <si>
    <t xml:space="preserve">Lê Thị Thơ</t>
  </si>
  <si>
    <t xml:space="preserve">046176012012</t>
  </si>
  <si>
    <t xml:space="preserve">Lê Thị Hồng Lan</t>
  </si>
  <si>
    <t xml:space="preserve">046091004633</t>
  </si>
  <si>
    <t xml:space="preserve">Nguyễn Quang Thọ</t>
  </si>
  <si>
    <t xml:space="preserve">File cũ mã có khoảng trắng thừa – đã cắt</t>
  </si>
  <si>
    <t xml:space="preserve">046074013724</t>
  </si>
  <si>
    <t xml:space="preserve">Nguyễn Ngọc Phương</t>
  </si>
  <si>
    <t xml:space="preserve">046099007864</t>
  </si>
  <si>
    <t xml:space="preserve">Lê Lộc</t>
  </si>
  <si>
    <t xml:space="preserve">002191001272</t>
  </si>
  <si>
    <t xml:space="preserve">Thèn Thị Giang</t>
  </si>
  <si>
    <t xml:space="preserve">046087002473</t>
  </si>
  <si>
    <t xml:space="preserve">Nguyễn Tình</t>
  </si>
  <si>
    <t xml:space="preserve">046178010147</t>
  </si>
  <si>
    <t xml:space="preserve">Đặng Thị Huế</t>
  </si>
  <si>
    <t xml:space="preserve">046089009803</t>
  </si>
  <si>
    <t xml:space="preserve">Trần Văn Trình</t>
  </si>
  <si>
    <t xml:space="preserve">Tổ trưởng ca sản xuất</t>
  </si>
  <si>
    <t xml:space="preserve">046084009142</t>
  </si>
  <si>
    <t xml:space="preserve">Trần Văn Hiền</t>
  </si>
  <si>
    <t xml:space="preserve">046207415351</t>
  </si>
  <si>
    <t xml:space="preserve">Trần Văn Tâm</t>
  </si>
  <si>
    <t xml:space="preserve">NV_DINHHAI</t>
  </si>
  <si>
    <t xml:space="preserve">Trần Đình Hải</t>
  </si>
  <si>
    <t xml:space="preserve">File cũ dùng TRÙNG mã với Trần Văn Tâm – tạm đặt, cần bổ sung mã đúng</t>
  </si>
  <si>
    <t xml:space="preserve">046064009756</t>
  </si>
  <si>
    <t xml:space="preserve">Hoàng Lự</t>
  </si>
  <si>
    <t xml:space="preserve">046172013307</t>
  </si>
  <si>
    <t xml:space="preserve">Ngô Thị Thủy</t>
  </si>
  <si>
    <t xml:space="preserve">046165007228</t>
  </si>
  <si>
    <t xml:space="preserve">Lê Thị Hương</t>
  </si>
  <si>
    <t xml:space="preserve">046181009164</t>
  </si>
  <si>
    <t xml:space="preserve">Hoàng Thị Nhung</t>
  </si>
  <si>
    <t xml:space="preserve">046173005614</t>
  </si>
  <si>
    <t xml:space="preserve">Trần Thị Thu Thủy</t>
  </si>
  <si>
    <t xml:space="preserve">046180005626</t>
  </si>
  <si>
    <t xml:space="preserve">Trần Thị Cẩm Hà</t>
  </si>
  <si>
    <t xml:space="preserve">046177004568</t>
  </si>
  <si>
    <t xml:space="preserve">Nguyễn Thị Kim Tin</t>
  </si>
  <si>
    <t xml:space="preserve">046176012968</t>
  </si>
  <si>
    <t xml:space="preserve">Nguyễn Thị Loan</t>
  </si>
  <si>
    <t xml:space="preserve">046183006914</t>
  </si>
  <si>
    <t xml:space="preserve">Nguyễn Thị Thu Hà</t>
  </si>
  <si>
    <t xml:space="preserve">046077008985</t>
  </si>
  <si>
    <t xml:space="preserve">Ngô Văn Đính</t>
  </si>
  <si>
    <t xml:space="preserve">046180009217</t>
  </si>
  <si>
    <t xml:space="preserve">Ngô Thị Quý</t>
  </si>
  <si>
    <t xml:space="preserve">046075012004</t>
  </si>
  <si>
    <t xml:space="preserve">Ngô Văn Tịnh</t>
  </si>
  <si>
    <t xml:space="preserve">046181010233</t>
  </si>
  <si>
    <t xml:space="preserve">Đỗ Thị Hoài</t>
  </si>
  <si>
    <t xml:space="preserve">046180005929</t>
  </si>
  <si>
    <t xml:space="preserve">Nguyễn Thị Lợi</t>
  </si>
  <si>
    <t xml:space="preserve">046095008572</t>
  </si>
  <si>
    <t xml:space="preserve">Trần Văn Tấn</t>
  </si>
  <si>
    <t xml:space="preserve">045200002742</t>
  </si>
  <si>
    <t xml:space="preserve">Hoàng Văn Anh</t>
  </si>
  <si>
    <t xml:space="preserve">CN_MAU_01</t>
  </si>
  <si>
    <t xml:space="preserve">(Ví dụ) Nguyễn Văn A</t>
  </si>
  <si>
    <t xml:space="preserve">Công nhật sản xuất</t>
  </si>
  <si>
    <t xml:space="preserve">Công nhật</t>
  </si>
  <si>
    <t xml:space="preserve">Thời vụ</t>
  </si>
  <si>
    <t xml:space="preserve">DÒNG VÍ DỤ – người làm công nhật, không nhận khoán, lương = công × đơn giá; tiền ăn tính chung</t>
  </si>
  <si>
    <t xml:space="preserve">046083009048</t>
  </si>
  <si>
    <t xml:space="preserve">Hoàng Hòa</t>
  </si>
  <si>
    <t xml:space="preserve">Lái xe cont</t>
  </si>
  <si>
    <t xml:space="preserve">Đội xe</t>
  </si>
  <si>
    <t xml:space="preserve">Lái xe</t>
  </si>
  <si>
    <t xml:space="preserve">Lương BHXH 4.163.000</t>
  </si>
  <si>
    <t xml:space="preserve">046096005123</t>
  </si>
  <si>
    <t xml:space="preserve">Bùi Văn Nghĩa</t>
  </si>
  <si>
    <t xml:space="preserve">046082013042</t>
  </si>
  <si>
    <t xml:space="preserve">Nguyễn Hữu Mạnh Cường</t>
  </si>
  <si>
    <t xml:space="preserve">046074006536</t>
  </si>
  <si>
    <t xml:space="preserve">Nguyễn Đình Hiếu</t>
  </si>
  <si>
    <t xml:space="preserve">046091016108</t>
  </si>
  <si>
    <t xml:space="preserve">Nguyễn Đăng Thiện</t>
  </si>
  <si>
    <t xml:space="preserve">046074005943</t>
  </si>
  <si>
    <t xml:space="preserve">Lê Tấn Anh</t>
  </si>
  <si>
    <t xml:space="preserve">KHOÁN CÔNG VIỆC KHÁC &amp; CÁC KHOẢN CỘNG/TRỪ VÀO QUỸ KHOÁN</t>
  </si>
  <si>
    <t xml:space="preserve">Thay bảng C6:P15 cũ. Để trống "Mã NV nhận" → chia chung theo giờ cho cả tổ (ô M15−400.000 cũ). Điền mã → trả đích danh (các ô +100.000/+200.000 gõ tay cũ). Khoản trừ nhập đơn giá âm.</t>
  </si>
  <si>
    <t xml:space="preserve">Ngày</t>
  </si>
  <si>
    <t xml:space="preserve">Nội dung công việc</t>
  </si>
  <si>
    <t xml:space="preserve">Số công</t>
  </si>
  <si>
    <t xml:space="preserve">Đơn giá (đ/công)</t>
  </si>
  <si>
    <t xml:space="preserve">Thành tiền</t>
  </si>
  <si>
    <t xml:space="preserve">Mã NV nhận (đích danh)</t>
  </si>
  <si>
    <t xml:space="preserve">Tên (tự tra)</t>
  </si>
  <si>
    <t xml:space="preserve">06/07/2026</t>
  </si>
  <si>
    <t xml:space="preserve">Chèn hàng băng tải – phần Lê Vang</t>
  </si>
  <si>
    <t xml:space="preserve">Sheet cũ: 2 công × 200.000 = 400.000 rồi chia tay +100k/+100k/+200k</t>
  </si>
  <si>
    <t xml:space="preserve">Chèn hàng băng tải – phần Phạm Bá Lượng</t>
  </si>
  <si>
    <t xml:space="preserve">Chèn hàng băng tải – phần Trần Văn Hiền</t>
  </si>
  <si>
    <t xml:space="preserve">22/07/2026</t>
  </si>
  <si>
    <t xml:space="preserve">Xử lý hàng 3L chất vào thùng đóng SW</t>
  </si>
  <si>
    <t xml:space="preserve">29/07/2026</t>
  </si>
  <si>
    <t xml:space="preserve">Thay bao dày, đóng kiện SW</t>
  </si>
  <si>
    <t xml:space="preserve">30/07/2026</t>
  </si>
  <si>
    <t xml:space="preserve">Chất hàng đóng SW RSS1</t>
  </si>
  <si>
    <t xml:space="preserve">08/2026</t>
  </si>
  <si>
    <t xml:space="preserve">Khẩu trang tháng 08</t>
  </si>
  <si>
    <t xml:space="preserve">Khấu trừ CN thời vụ A Lưới làm sản xuất (trừ khỏi quỹ)</t>
  </si>
  <si>
    <t xml:space="preserve">Lấy từ file lương thời vụ A Lưới; đơn giá âm = trừ</t>
  </si>
  <si>
    <t xml:space="preserve">Vệ sinh máy mix 38 ca</t>
  </si>
  <si>
    <t xml:space="preserve">Tổng chia chung theo giờ</t>
  </si>
  <si>
    <t xml:space="preserve">Tổng trả đích danh</t>
  </si>
  <si>
    <t xml:space="preserve">Tổng cộng (ô M15 cũ)</t>
  </si>
  <si>
    <t xml:space="preserve">BẢNG CHẤM CÔNG KHOÁN SẢN XUẤT (giờ/ngày)</t>
  </si>
  <si>
    <t xml:space="preserve">Nhập số giờ vào ô xanh. Chỉ nhập số. Ngày lễ nghỉ để trống. Mã NV tra tên tự động; dòng có mã lạ sẽ báo "MÃ KHÔNG CÓ".</t>
  </si>
  <si>
    <t xml:space="preserve">Ngày →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</si>
  <si>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</si>
  <si>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</si>
  <si>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</si>
  <si>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</si>
  <si>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</si>
  <si>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</si>
  <si>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</si>
  <si>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</si>
  <si>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</si>
  <si>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</si>
  <si>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</si>
  <si>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</si>
  <si>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</si>
  <si>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</si>
  <si>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</si>
  <si>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</si>
  <si>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</si>
  <si>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</si>
  <si>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</si>
  <si>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</si>
  <si>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</si>
  <si>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</si>
  <si>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</si>
  <si>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</si>
  <si>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</si>
  <si>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</si>
  <si>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</si>
  <si>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</si>
  <si>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</si>
  <si>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</si>
  <si>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</si>
  <si>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Tổng giờ</t>
  </si>
  <si>
    <t xml:space="preserve">Công</t>
  </si>
  <si>
    <t xml:space="preserve">TỔNG</t>
  </si>
  <si>
    <t xml:space="preserve">BẢNG TÍNH LƯƠNG KHOÁN SẢN XUẤT</t>
  </si>
  <si>
    <t xml:space="preserve">Toàn bộ là công thức. Cột Q, R, S (nền xanh) là số đưa sang Bảng lương. Cột tham chiếu sheet cũ ghi ở dòng 5.</t>
  </si>
  <si>
    <t xml:space="preserve">Tổng giờ công</t>
  </si>
  <si>
    <t xml:space="preserve">Ngày công</t>
  </si>
  <si>
    <t xml:space="preserve">Tấn quy đổi/người</t>
  </si>
  <si>
    <t xml:space="preserve">Lương khoán SP</t>
  </si>
  <si>
    <t xml:space="preserve">Lương hàng hanging</t>
  </si>
  <si>
    <t xml:space="preserve">CV khác chia chung</t>
  </si>
  <si>
    <t xml:space="preserve">CV khác đích danh</t>
  </si>
  <si>
    <t xml:space="preserve">Lương hàng chèn</t>
  </si>
  <si>
    <t xml:space="preserve">Phân bổ trừ lương công nhật</t>
  </si>
  <si>
    <t xml:space="preserve">Lương công nhật</t>
  </si>
  <si>
    <t xml:space="preserve">TỔNG LƯƠNG KHOÁN (→ Bảng lương)</t>
  </si>
  <si>
    <t xml:space="preserve">TIỀN ĂN SAU KHOÁN (→ Bảng lương)</t>
  </si>
  <si>
    <t xml:space="preserve">TỔNG CỘNG</t>
  </si>
  <si>
    <t xml:space="preserve">Cũ: B</t>
  </si>
  <si>
    <t xml:space="preserve">Cũ: C</t>
  </si>
  <si>
    <t xml:space="preserve">Cũ: AL</t>
  </si>
  <si>
    <t xml:space="preserve">Cũ: AM</t>
  </si>
  <si>
    <t xml:space="preserve">Cũ: AN</t>
  </si>
  <si>
    <t xml:space="preserve">Cũ: AT</t>
  </si>
  <si>
    <t xml:space="preserve">Cũ: AO</t>
  </si>
  <si>
    <t xml:space="preserve">Cũ: AP (phần 1)</t>
  </si>
  <si>
    <t xml:space="preserve">Cũ: AP (phần 2)</t>
  </si>
  <si>
    <t xml:space="preserve">Cũ: AQ</t>
  </si>
  <si>
    <t xml:space="preserve">Cũ: AQ (+100k/200k)</t>
  </si>
  <si>
    <t xml:space="preserve">Cũ: AR</t>
  </si>
  <si>
    <t xml:space="preserve">Cũ: AS (−AL14/W3×giờ)</t>
  </si>
  <si>
    <t xml:space="preserve">Cũ: AL bảng công nhật</t>
  </si>
  <si>
    <t xml:space="preserve">Cũ: AS</t>
  </si>
  <si>
    <t xml:space="preserve">Cũ: AU</t>
  </si>
  <si>
    <t xml:space="preserve">Cũ: X Bảng lương</t>
  </si>
  <si>
    <t xml:space="preserve">KIỂM TRA TRƯỚC KHI CHỐT – tất cả phải OK</t>
  </si>
  <si>
    <t xml:space="preserve">Thay cho các ô TRUE/FALSE rải rác trong file cũ.</t>
  </si>
  <si>
    <t xml:space="preserve">#</t>
  </si>
  <si>
    <t xml:space="preserve">Nội dung kiểm tra</t>
  </si>
  <si>
    <t xml:space="preserve">Giá trị</t>
  </si>
  <si>
    <t xml:space="preserve">Kết quả</t>
  </si>
  <si>
    <t xml:space="preserve">Cách xử lý nếu LỖI</t>
  </si>
  <si>
    <t xml:space="preserve">Tổng tiền ăn phân bổ so với quỹ tiền ăn (lệch do làm tròn ≤ 1.000 đ/người)</t>
  </si>
  <si>
    <t xml:space="preserve">Kiểm tra THAM_SO!C12 và cột Ngày công</t>
  </si>
  <si>
    <t xml:space="preserve">Tổng lương khoán đã phân bổ so với tổng các quỹ (hanging + chèn + CV khác + đích danh − công nhật + khoán SP)</t>
  </si>
  <si>
    <t xml:space="preserve">Có người khoán không có trong BCC hoặc hệ số trống</t>
  </si>
  <si>
    <t xml:space="preserve">Số lao động khoán có giờ công trong tháng</t>
  </si>
  <si>
    <t xml:space="preserve">Khác THAM_SO!C11 (42). Nếu định mức là số người thực tế → sửa C11; nếu là hằng số → bỏ qua</t>
  </si>
  <si>
    <t xml:space="preserve">Mã NV trùng trong NHAN_VIEN</t>
  </si>
  <si>
    <t xml:space="preserve">Sửa mã trùng (file cũ: Trần Văn Tâm &amp; Trần Đình Hải cùng mã)</t>
  </si>
  <si>
    <t xml:space="preserve">Mã NV trùng trong BCC_KHOAN</t>
  </si>
  <si>
    <t xml:space="preserve">Một người chỉ một dòng chấm công</t>
  </si>
  <si>
    <t xml:space="preserve">Mã trong BCC không có trong danh mục</t>
  </si>
  <si>
    <t xml:space="preserve">Thêm người vào NHAN_VIEN</t>
  </si>
  <si>
    <t xml:space="preserve">Người khoán có hệ số không có trong bảng HS_SX</t>
  </si>
  <si>
    <t xml:space="preserve">Bổ sung hệ số vào HS_SX</t>
  </si>
  <si>
    <t xml:space="preserve">Mã đích danh trong KHOAN_KHAC không tồn tại</t>
  </si>
  <si>
    <t xml:space="preserve">Sửa mã ở KHOAN_KHAC cột G</t>
  </si>
  <si>
    <t xml:space="preserve">Tổng giờ BCC = tổng giờ LUONG_KHOAN</t>
  </si>
  <si>
    <t xml:space="preserve">Có dòng BCC ngoài vùng tính</t>
  </si>
  <si>
    <t xml:space="preserve">Ô báo lỗi công thức trong LUONG_KHOAN</t>
  </si>
  <si>
    <t xml:space="preserve">Chi phí lương khoán bình quân (đ/tấn) – so với tháng trước</t>
  </si>
  <si>
    <t xml:space="preserve">Ngưỡng 150k–500k đ/tấn là tạm đặt để bắt nhầm đơn vị; HCNS chỉnh theo thực tế</t>
  </si>
  <si>
    <t xml:space="preserve">ĐỘI XE: tài xế trong XE_CHUYEN / XE_CHI_PHI không có trong danh mục</t>
  </si>
  <si>
    <t xml:space="preserve">ĐỘI XE: chuyến có tuyến không có trong bảng giá</t>
  </si>
  <si>
    <t xml:space="preserve">Thêm tuyến vào XE_TUYEN</t>
  </si>
  <si>
    <t xml:space="preserve">ĐỘI XE: chuyến thiếu phiếu điều động (x)</t>
  </si>
  <si>
    <t xml:space="preserve">Bổ sung chứng từ trước khi chi</t>
  </si>
  <si>
    <t xml:space="preserve">ĐỘI XE: chi phí không có hoá đơn (x) nhưng "Được tính = Có"</t>
  </si>
  <si>
    <t xml:space="preserve">Kế toán quyết định có chấp nhận không</t>
  </si>
  <si>
    <t xml:space="preserve">KẾT LUẬN</t>
  </si>
  <si>
    <t xml:space="preserve">THAM SỐ LƯƠNG KHOÁN CHUYẾN ĐỘI XE CONTAINER</t>
  </si>
  <si>
    <t xml:space="preserve">File cũ chỉ ghi chép chuyến và chi phí, cột "Đơn giá chuyến / Hỗ trợ" để trống và Lương khoán (10.253.000) gõ tay vào Bảng lương. Các số dưới đây là VÍ DỤ để chạy công thức – HCNS điền theo quy chế lương tài xế.</t>
  </si>
  <si>
    <t xml:space="preserve">Tỷ giá quy đổi 1 LAK = ? VND</t>
  </si>
  <si>
    <t xml:space="preserve">VÍ DỤ – lấy tỷ giá kế toán tháng</t>
  </si>
  <si>
    <t xml:space="preserve">Hỗ trợ vượt thời gian hành trình (đ/ngày vượt)</t>
  </si>
  <si>
    <t xml:space="preserve">VÍ DỤ – file cũ có cột "Hỗ trợ vượt thời gian/ngày" nhưng không có số</t>
  </si>
  <si>
    <t xml:space="preserve">Hỗ trợ dầu (đ/km) – 0 nếu công ty đổ dầu</t>
  </si>
  <si>
    <t xml:space="preserve">VÍ DỤ – file cũ có cột "Hỗ trợ dầu/km" nhưng không có số</t>
  </si>
  <si>
    <t xml:space="preserve">Số ngày công/tháng để tính phép, lễ (tài xế khoán: không áp dụng)</t>
  </si>
  <si>
    <t xml:space="preserve">Tỷ lệ BHXH người lao động</t>
  </si>
  <si>
    <t xml:space="preserve">BẢNG GIÁ KHOÁN THEO TUYẾN</t>
  </si>
  <si>
    <t xml:space="preserve">Mỗi tuyến một mã. Số ngày chuẩn = cột K "Số ngày hành trình (chuẩn)" file cũ. Đơn giá là VÍ DỤ – HCNS điền.</t>
  </si>
  <si>
    <t xml:space="preserve">Mã tuyến</t>
  </si>
  <si>
    <t xml:space="preserve">Hành trình</t>
  </si>
  <si>
    <t xml:space="preserve">Km chuẩn (cả đi về)</t>
  </si>
  <si>
    <t xml:space="preserve">Số ngày chuẩn</t>
  </si>
  <si>
    <t xml:space="preserve">Đơn giá chuyến (đ)</t>
  </si>
  <si>
    <t xml:space="preserve">Hỗ trợ vận chuyển (đ/tấn)</t>
  </si>
  <si>
    <t xml:space="preserve">NM-DN</t>
  </si>
  <si>
    <t xml:space="preserve">Nhà máy → Cảng Đà Nẵng / Tiên Sa → Nhà máy</t>
  </si>
  <si>
    <t xml:space="preserve">Chạy cảng xuất hàng</t>
  </si>
  <si>
    <t xml:space="preserve">NM-KT</t>
  </si>
  <si>
    <t xml:space="preserve">Nhà máy → Kon Tum / Ngọc Hồi → Nhà máy</t>
  </si>
  <si>
    <t xml:space="preserve">NM-GL-CL</t>
  </si>
  <si>
    <t xml:space="preserve">Nhà máy → Gia Lai đóng hàng → Chu Lai → Nhà máy</t>
  </si>
  <si>
    <t xml:space="preserve">NM-LAO-K2</t>
  </si>
  <si>
    <t xml:space="preserve">Nhà máy → Kho 2 (Lào) → Nhà máy</t>
  </si>
  <si>
    <t xml:space="preserve">Có chi phí LAK dọc đường</t>
  </si>
  <si>
    <t xml:space="preserve">NM-MODA</t>
  </si>
  <si>
    <t xml:space="preserve">Nhà máy → Mỏ đá Tứ Hạ → Nhà máy</t>
  </si>
  <si>
    <t xml:space="preserve">NHẬT KÝ CHUYẾN – mỗi chuyến một dòng (thay cho 6 sheet tài xế)</t>
  </si>
  <si>
    <t xml:space="preserve">Nhập ô xanh. Lương chuyến = Đơn giá tuyến + Vượt ngày × hỗ trợ + Km × hỗ trợ dầu + Tấn × hỗ trợ vận chuyển. Dữ liệu mẫu lấy từ file tháng 02/2026.</t>
  </si>
  <si>
    <t xml:space="preserve">Số chuyến</t>
  </si>
  <si>
    <t xml:space="preserve">Mã NV tài xế</t>
  </si>
  <si>
    <t xml:space="preserve">Tài xế (tự tra)</t>
  </si>
  <si>
    <t xml:space="preserve">Ngày đi</t>
  </si>
  <si>
    <t xml:space="preserve">Ngày về</t>
  </si>
  <si>
    <t xml:space="preserve">Tổng ngày</t>
  </si>
  <si>
    <t xml:space="preserve">BS xe</t>
  </si>
  <si>
    <t xml:space="preserve">Rơ moóc</t>
  </si>
  <si>
    <t xml:space="preserve">Hành trình (tự tra)</t>
  </si>
  <si>
    <t xml:space="preserve">Km đi</t>
  </si>
  <si>
    <t xml:space="preserve">Km về</t>
  </si>
  <si>
    <t xml:space="preserve">Nội dung / số cont</t>
  </si>
  <si>
    <t xml:space="preserve">Số PĐĐ</t>
  </si>
  <si>
    <t xml:space="preserve">Ngày chuẩn</t>
  </si>
  <si>
    <t xml:space="preserve">Vượt ngày</t>
  </si>
  <si>
    <t xml:space="preserve">Đơn giá chuyến</t>
  </si>
  <si>
    <t xml:space="preserve">Hỗ trợ vượt ngày</t>
  </si>
  <si>
    <t xml:space="preserve">Hỗ trợ dầu</t>
  </si>
  <si>
    <t xml:space="preserve">Tấn hàng</t>
  </si>
  <si>
    <t xml:space="preserve">Hỗ trợ vận chuyển</t>
  </si>
  <si>
    <t xml:space="preserve">LƯƠNG CHUYẾN</t>
  </si>
  <si>
    <t xml:space="preserve">Phiếu điều động (v/x)</t>
  </si>
  <si>
    <t xml:space="preserve">Lý lịch vận tải (v/x)</t>
  </si>
  <si>
    <t xml:space="preserve">75H-03843</t>
  </si>
  <si>
    <t xml:space="preserve">75RM-00154</t>
  </si>
  <si>
    <t xml:space="preserve">CSGU 2292807, CXDU 2353815</t>
  </si>
  <si>
    <t xml:space="preserve">v</t>
  </si>
  <si>
    <t xml:space="preserve">75RM-00150</t>
  </si>
  <si>
    <t xml:space="preserve">NYKU9787299, NYKU3552569 – Tiên Sa → bóc cont → Kon Tum</t>
  </si>
  <si>
    <t xml:space="preserve">PĐĐ 09/02 22h30</t>
  </si>
  <si>
    <t xml:space="preserve">75RM-00755</t>
  </si>
  <si>
    <t xml:space="preserve">GCXU2254455, ONEU3175884</t>
  </si>
  <si>
    <t xml:space="preserve">75RM-00492</t>
  </si>
  <si>
    <t xml:space="preserve">Chở hàng kho 2</t>
  </si>
  <si>
    <t xml:space="preserve">75H-04285</t>
  </si>
  <si>
    <t xml:space="preserve">75RM-00756</t>
  </si>
  <si>
    <t xml:space="preserve">CSNU 1538032, BSIU 2836867 – kéo cont rỗng vào Gia Lai, hạ Chu Lai</t>
  </si>
  <si>
    <t xml:space="preserve">06/02–08/02</t>
  </si>
  <si>
    <t xml:space="preserve">75RM-00495</t>
  </si>
  <si>
    <t xml:space="preserve">NXKU 9913756</t>
  </si>
  <si>
    <t xml:space="preserve">x</t>
  </si>
  <si>
    <t xml:space="preserve">Thiếu phiếu điều động</t>
  </si>
  <si>
    <t xml:space="preserve">SIKU 3024100, SIKU 3029734</t>
  </si>
  <si>
    <t xml:space="preserve">75H-03841</t>
  </si>
  <si>
    <t xml:space="preserve">75RM-00498</t>
  </si>
  <si>
    <t xml:space="preserve">ONEU 2971634, ONEU 3130663</t>
  </si>
  <si>
    <t xml:space="preserve">UETU 2184681, TGBU 3014343</t>
  </si>
  <si>
    <t xml:space="preserve">75RM-00151</t>
  </si>
  <si>
    <t xml:space="preserve">Kon Tum – Chu Lai</t>
  </si>
  <si>
    <t xml:space="preserve">03843</t>
  </si>
  <si>
    <t xml:space="preserve">Vượt 1 ngày</t>
  </si>
  <si>
    <t xml:space="preserve">75RM-0154</t>
  </si>
  <si>
    <t xml:space="preserve">ONEU 3020223, SEKU 1504680</t>
  </si>
  <si>
    <t xml:space="preserve">75RM-0755</t>
  </si>
  <si>
    <t xml:space="preserve">FTAU1312235, ONEU 2671262</t>
  </si>
  <si>
    <t xml:space="preserve">75RM-0151</t>
  </si>
  <si>
    <t xml:space="preserve">ONEU 2417303, ONEU 3040111</t>
  </si>
  <si>
    <t xml:space="preserve">EGSU3535635, GCXU2214703</t>
  </si>
  <si>
    <t xml:space="preserve">75RM-00494</t>
  </si>
  <si>
    <t xml:space="preserve">Đi chở đá (Tứ Hạ)</t>
  </si>
  <si>
    <t xml:space="preserve">TẠM ỨNG &amp; CHI PHÍ PHÁT SINH ĐỘI XE – mỗi khoản một dòng</t>
  </si>
  <si>
    <t xml:space="preserve">Loại: "Tạm ứng" (công ty đưa tiền) hoặc "Chi phí" (tài xế đã chi). Tiền tệ VND/LAK. "Được tính" = công ty chấp nhận hoàn. Dữ liệu mẫu từ file tháng 02/2026.</t>
  </si>
  <si>
    <t xml:space="preserve">Nội dung</t>
  </si>
  <si>
    <t xml:space="preserve">Loại</t>
  </si>
  <si>
    <t xml:space="preserve">Tiền tệ</t>
  </si>
  <si>
    <t xml:space="preserve">Số tiền</t>
  </si>
  <si>
    <t xml:space="preserve">Được tính (Có/Không)</t>
  </si>
  <si>
    <t xml:space="preserve">Quy đổi VND</t>
  </si>
  <si>
    <t xml:space="preserve">Hoá đơn (v/x)</t>
  </si>
  <si>
    <t xml:space="preserve">Đổ thêm dầu bên Lào</t>
  </si>
  <si>
    <t xml:space="preserve">Tạm ứng</t>
  </si>
  <si>
    <t xml:space="preserve">LAK</t>
  </si>
  <si>
    <t xml:space="preserve">Có</t>
  </si>
  <si>
    <t xml:space="preserve">CA từ Hình Hợp → Kho 2</t>
  </si>
  <si>
    <t xml:space="preserve">Chi phí</t>
  </si>
  <si>
    <t xml:space="preserve">Trạm cân Nam Thon</t>
  </si>
  <si>
    <t xml:space="preserve">Trạm cân Tha Khẹt</t>
  </si>
  <si>
    <t xml:space="preserve">CA Tha Khẹt</t>
  </si>
  <si>
    <t xml:space="preserve">CA Salavan</t>
  </si>
  <si>
    <t xml:space="preserve">CA LN Savannakhet</t>
  </si>
  <si>
    <t xml:space="preserve">Trạm cân Đông Hen</t>
  </si>
  <si>
    <t xml:space="preserve">CA Si Tha Buộc</t>
  </si>
  <si>
    <t xml:space="preserve">CA Sê Pôn</t>
  </si>
  <si>
    <t xml:space="preserve">CA Trạm B</t>
  </si>
  <si>
    <t xml:space="preserve">CA 3 Trạm</t>
  </si>
  <si>
    <t xml:space="preserve">VND</t>
  </si>
  <si>
    <t xml:space="preserve">Xịt thùng cont</t>
  </si>
  <si>
    <t xml:space="preserve">CA Đà Nẵng</t>
  </si>
  <si>
    <t xml:space="preserve">Vé hầm Hải Vân</t>
  </si>
  <si>
    <t xml:space="preserve">Làm lốp, rửa xe, bơm mỡ</t>
  </si>
  <si>
    <t xml:space="preserve">CA Ngọc Hồi</t>
  </si>
  <si>
    <t xml:space="preserve">CA Đèo Lò Xo</t>
  </si>
  <si>
    <t xml:space="preserve">CA Quảng Nam</t>
  </si>
  <si>
    <t xml:space="preserve">Làm lốp lưu động</t>
  </si>
  <si>
    <t xml:space="preserve">CA Đường 9</t>
  </si>
  <si>
    <t xml:space="preserve">CA Đường tránh Đông Hà</t>
  </si>
  <si>
    <t xml:space="preserve">CA Hải Lăng</t>
  </si>
  <si>
    <t xml:space="preserve">Không</t>
  </si>
  <si>
    <t xml:space="preserve">Không có hoá đơn – ví dụ khoản không được tính</t>
  </si>
  <si>
    <t xml:space="preserve">Phí cửa khẩu</t>
  </si>
  <si>
    <t xml:space="preserve">Tạm ứng đi Gia Lai</t>
  </si>
  <si>
    <t xml:space="preserve">CA Đường mòn Quảng Nam</t>
  </si>
  <si>
    <t xml:space="preserve">CA tỉnh Quảng Nam</t>
  </si>
  <si>
    <t xml:space="preserve">Bơm nước lốp</t>
  </si>
  <si>
    <t xml:space="preserve">CA Ngọc Hồi (lượt 2)</t>
  </si>
  <si>
    <t xml:space="preserve">CA Đèo Lò Xo (lượt 2)</t>
  </si>
  <si>
    <t xml:space="preserve">CA Đường mòn Quảng Nam (lượt 2)</t>
  </si>
  <si>
    <t xml:space="preserve">CA tỉnh Quảng Nam (lượt 2)</t>
  </si>
  <si>
    <t xml:space="preserve">Rửa đầu xe moóc</t>
  </si>
  <si>
    <t xml:space="preserve">Kích bình điện không đề được</t>
  </si>
  <si>
    <t xml:space="preserve">Tạm ứng đi Lào kho 2 (LAK)</t>
  </si>
  <si>
    <t xml:space="preserve">Tạm ứng đi Lào kho 2 (VND)</t>
  </si>
  <si>
    <t xml:space="preserve">CA Savannakhet</t>
  </si>
  <si>
    <t xml:space="preserve">CA LN Si Tha Buộc</t>
  </si>
  <si>
    <t xml:space="preserve">CA Đường 9 Q.Trị</t>
  </si>
  <si>
    <t xml:space="preserve">Xịt cont nhà máy</t>
  </si>
  <si>
    <t xml:space="preserve">Vé Phú Bài ra</t>
  </si>
  <si>
    <t xml:space="preserve">Đảo lốp</t>
  </si>
  <si>
    <t xml:space="preserve">CA Đà Nẵng (bốc vác vôi ở ĐN ra)</t>
  </si>
  <si>
    <t xml:space="preserve">Chuyến ngày 04/02 không có PĐĐ trong file cũ</t>
  </si>
  <si>
    <t xml:space="preserve">CA Đường mòn Q.Nam</t>
  </si>
  <si>
    <t xml:space="preserve">Làm lốp</t>
  </si>
  <si>
    <t xml:space="preserve">Làm tay quay, bánh xoay cua</t>
  </si>
  <si>
    <t xml:space="preserve">CA Ngọc Hồi (về)</t>
  </si>
  <si>
    <t xml:space="preserve">CA Đèo Lò Xo (về)</t>
  </si>
  <si>
    <t xml:space="preserve">CA Đường mòn Q.Nam (về)</t>
  </si>
  <si>
    <t xml:space="preserve">CA Quảng Nam (về)</t>
  </si>
  <si>
    <t xml:space="preserve">Mua đèn thay 3 cái</t>
  </si>
  <si>
    <t xml:space="preserve">Rửa xe</t>
  </si>
  <si>
    <t xml:space="preserve">CA Hương Trà</t>
  </si>
  <si>
    <t xml:space="preserve">CA TP. Huế</t>
  </si>
  <si>
    <t xml:space="preserve">CA Hương Trà (về)</t>
  </si>
  <si>
    <t xml:space="preserve">CA TP. Huế (về)</t>
  </si>
  <si>
    <t xml:space="preserve">Mua cây lau nhà</t>
  </si>
  <si>
    <t xml:space="preserve">Trả QC – không thuộc chi phí chuyến</t>
  </si>
  <si>
    <t xml:space="preserve">TỔNG HỢP LƯƠNG KHOÁN CHUYẾN &amp; QUYẾT TOÁN TẠM ỨNG THEO TÀI XẾ</t>
  </si>
  <si>
    <t xml:space="preserve">Cột I là số đưa sang Bảng lương cột X "Lương khoán" (thay cho số 10.253.000 gõ tay). Quyết toán tạm ứng (cột N) đi riêng qua kế toán, không trộn vào lương.</t>
  </si>
  <si>
    <t xml:space="preserve">Tài xế</t>
  </si>
  <si>
    <t xml:space="preserve">Tổng ngày chạy</t>
  </si>
  <si>
    <t xml:space="preserve">Hỗ trợ dầu / vận chuyển</t>
  </si>
  <si>
    <t xml:space="preserve">LƯƠNG KHOÁN CHUYẾN (→ Bảng lương)</t>
  </si>
  <si>
    <t xml:space="preserve">Tạm ứng VND</t>
  </si>
  <si>
    <t xml:space="preserve">Tạm ứng LAK</t>
  </si>
  <si>
    <t xml:space="preserve">Chi phí được tính (quy VND)</t>
  </si>
  <si>
    <t xml:space="preserve">Chi phí không được tính (quy VND)</t>
  </si>
  <si>
    <t xml:space="preserve">Còn phải hoàn (+) / công ty trả thêm (−)</t>
  </si>
  <si>
    <t xml:space="preserve">Lương BHXH</t>
  </si>
  <si>
    <t xml:space="preserve">Trừ BHXH NLĐ</t>
  </si>
  <si>
    <t xml:space="preserve">THỰC NHẬN LƯƠNG</t>
  </si>
  <si>
    <t xml:space="preserve">Tài xế lương khoán chuyến, không lễ, không phép (ghi chú AL45 Bảng lương cũ)</t>
  </si>
  <si>
    <t xml:space="preserve">LỘ TRÌNH ĐƯA LÊN ERP – ánh xạ sheet → bảng PostgreSQL (Supabase)</t>
  </si>
  <si>
    <t xml:space="preserve">Mỗi sheet nhập liệu ở file này tương ứng đúng một bảng; mỗi cột công thức tương ứng một hàm tính. Kèm file schema_luong_khoan.sql để tạo bảng.</t>
  </si>
  <si>
    <t xml:space="preserve">Sheet Excel</t>
  </si>
  <si>
    <t xml:space="preserve">Bảng / hàm trong ERP</t>
  </si>
  <si>
    <t xml:space="preserve">Cột chính</t>
  </si>
  <si>
    <t xml:space="preserve">Ghi chú thiết kế</t>
  </si>
  <si>
    <t xml:space="preserve">THAM_SO</t>
  </si>
  <si>
    <t xml:space="preserve">payroll_period_params (1 dòng/kỳ/bộ phận)</t>
  </si>
  <si>
    <t xml:space="preserve">period_id, tons_processed, tons_hanging, tons_insert, headcount_norm, meal_rate_per_ton</t>
  </si>
  <si>
    <t xml:space="preserve">Các định mức đổi theo thời gian → bảng piece_rate_rules với effective_from/to, không sửa đè</t>
  </si>
  <si>
    <t xml:space="preserve">HS_SX</t>
  </si>
  <si>
    <t xml:space="preserve">piece_rate_by_grade</t>
  </si>
  <si>
    <t xml:space="preserve">grade (hệ số), rate_per_ton, effective_from, effective_to</t>
  </si>
  <si>
    <t xml:space="preserve">Thay file ngoài HS sx; giữ lịch sử khi đổi giá</t>
  </si>
  <si>
    <t xml:space="preserve">NHAN_VIEN</t>
  </si>
  <si>
    <t xml:space="preserve">employees + employee_pay_profiles</t>
  </si>
  <si>
    <t xml:space="preserve">employee_id (mã), full_name, dept, pay_type (khoan/cong_nhat/lai_xe), grade, daily_rate, status</t>
  </si>
  <si>
    <t xml:space="preserve">Dùng chung với HRM; mã = mã máy chấm công</t>
  </si>
  <si>
    <t xml:space="preserve">KHOAN_KHAC</t>
  </si>
  <si>
    <t xml:space="preserve">extra_piece_jobs</t>
  </si>
  <si>
    <t xml:space="preserve">period_id, job_date, description, workdays, unit_price, amount, employee_id (null = chia chung)</t>
  </si>
  <si>
    <t xml:space="preserve">Khoản trừ = amount âm; đích danh = employee_id not null</t>
  </si>
  <si>
    <t xml:space="preserve">BCC_KHOAN</t>
  </si>
  <si>
    <t xml:space="preserve">timesheet_entries (1 dòng/người/ngày)</t>
  </si>
  <si>
    <t xml:space="preserve">employee_id, work_date, hours, source (machine/manual), shift</t>
  </si>
  <si>
    <t xml:space="preserve">Nguồn tự động: máy chấm công Ronald Jack; lưới 31 cột chỉ là màn hình hiển thị</t>
  </si>
  <si>
    <t xml:space="preserve">LUONG_KHOAN (cột I–S)</t>
  </si>
  <si>
    <t xml:space="preserve">fn_calc_piece_payroll(period_id) → payslip_lines</t>
  </si>
  <si>
    <t xml:space="preserve">employee_id, component_code (KHOAN_SP, HANGING, CHEN, KHAC_CHUNG, KHAC_DICHDANH, TRU_CONGNHAT, CONG_NHAT, TIEN_AN), qty, rate, amount</t>
  </si>
  <si>
    <t xml:space="preserve">Hàm thuần: cùng input → cùng output; có test bằng số liệu T8/2026. Kết quả "chốt" là bản chụp bất biến</t>
  </si>
  <si>
    <t xml:space="preserve">KIEM_TRA</t>
  </si>
  <si>
    <t xml:space="preserve">fn_validate_period(period_id) → validation_results</t>
  </si>
  <si>
    <t xml:space="preserve">check_code, value, status, message</t>
  </si>
  <si>
    <t xml:space="preserve">Chạy trước khi cho phép chốt; chặn nút "Chốt kỳ" nếu còn LỖI</t>
  </si>
  <si>
    <t xml:space="preserve">XE_THAM_SO / XE_TUYEN</t>
  </si>
  <si>
    <t xml:space="preserve">fleet_routes + fleet_rate_rules</t>
  </si>
  <si>
    <t xml:space="preserve">route_code, description, std_days, std_km, trip_rate, overtime_day_rate, fuel_rate_km, lak_fx_rate, effective_from</t>
  </si>
  <si>
    <t xml:space="preserve">Giá theo tuyến có hiệu lực theo ngày</t>
  </si>
  <si>
    <t xml:space="preserve">XE_CHUYEN</t>
  </si>
  <si>
    <t xml:space="preserve">fleet_trips</t>
  </si>
  <si>
    <t xml:space="preserve">trip_id, driver_id, route_code, depart_date, return_date, truck_plate, trailer_plate, km_out, km_back, containers, dispatch_no, has_dispatch_doc, has_transport_log</t>
  </si>
  <si>
    <t xml:space="preserve">Nguồn tương lai: app điều xe / hệ thống quản lý vận tải đang xây; lương chuyến tính bằng hàm</t>
  </si>
  <si>
    <t xml:space="preserve">XE_CHI_PHI</t>
  </si>
  <si>
    <t xml:space="preserve">fleet_expenses</t>
  </si>
  <si>
    <t xml:space="preserve">expense_id, trip_id, driver_id, expense_date, description, kind (advance/expense), currency, amount, approved (bool), amount_vnd, has_invoice</t>
  </si>
  <si>
    <t xml:space="preserve">Ảnh hoá đơn đính kèm (storage); duyệt bởi kế toán</t>
  </si>
  <si>
    <t xml:space="preserve">XE_LUONG</t>
  </si>
  <si>
    <t xml:space="preserve">fn_calc_fleet_payroll(period_id) → payslip_lines + fn_settle_advances</t>
  </si>
  <si>
    <t xml:space="preserve">driver_id, trips, trip_pay, overtime_pay, support, advances_vnd, advances_lak, approved_expenses, balance</t>
  </si>
  <si>
    <t xml:space="preserve">Lương khoán chuyến đi vào payslip; quyết toán tạm ứng đi vào công nợ nhân viên</t>
  </si>
  <si>
    <t xml:space="preserve">(Bảng lương HAPĐ cột X, H)</t>
  </si>
  <si>
    <t xml:space="preserve">payslips (đọc từ payslip_lines)</t>
  </si>
  <si>
    <t xml:space="preserve">Bảng lương tổng chỉ là báo cáo đọc từ payslip_lines, không nhập tay nữa</t>
  </si>
  <si>
    <t xml:space="preserve">THỨ TỰ LÀM</t>
  </si>
  <si>
    <t xml:space="preserve">1. Dùng file này song song với sheet cũ 1–2 kỳ lương (T9, T10/2026); mọi chênh lệch phải giải thích được → chốt bảng quy tắc.</t>
  </si>
  <si>
    <t xml:space="preserve">2. Tạo bảng trong Supabase theo schema_luong_khoan.sql; import NHAN_VIEN, HS_SX, XE_TUYEN từ file này (CSV).</t>
  </si>
  <si>
    <t xml:space="preserve">3. Viết fn_calc_piece_payroll và fn_calc_fleet_payroll (SQL hoặc TypeScript); unit test = so khớp với cột Q/R sheet LUONG_KHOAN và cột I sheet XE_LUONG.</t>
  </si>
  <si>
    <t xml:space="preserve">4. Màn hình nhập: bảng công khoán (giống BCC_KHOAN), nhật ký chuyến, chi phí có ảnh hoá đơn; máy chấm công đẩy giờ tự động.</t>
  </si>
  <si>
    <t xml:space="preserve">5. Màn hình chốt kỳ: chạy validate → hiển thị KIEM_TRA → duyệt (tổ trưởng → HCNS → KTT) → sinh payslip, xuất Excel Bảng lương/ĐNTT.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</si>
</sst>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#,##0;[RED]\-#,##0;\-"/>
    <numFmt numFmtId="167" formatCode="0.00"/>
    <numFmt numFmtId="168" formatCode="#,##0.0"/>
    <numFmt numFmtId="169" formatCode="#,##0.000"/>
    <numFmt numFmtId="170" formatCode="0.0"/>
    <numFmt numFmtId="171" formatCode="dd"/>
    <numFmt numFmtId="172" formatCode="0.000"/>
    <numFmt numFmtId="173" formatCode="#,##0.00;[RED]\-#,##0.00;\-"/>
    <numFmt numFmtId="174" formatCode="0.0%"/>
    <numFmt numFmtId="175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5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7" t="s">
        <v>5</v>
      </c>
      <c r="B6" s="6" t="s">
        <v>6</v>
      </c>
    </row>
    <row r="7" customFormat="false" ht="15" hidden="false" customHeight="false" outlineLevel="0" collapsed="false">
      <c r="A7" s="8" t="s">
        <v>7</v>
      </c>
      <c r="B7" s="6" t="s">
        <v>8</v>
      </c>
    </row>
    <row r="8" customFormat="false" ht="15" hidden="false" customHeight="false" outlineLevel="0" collapsed="false">
      <c r="A8" s="9" t="s">
        <v>9</v>
      </c>
      <c r="B8" s="6" t="s">
        <v>10</v>
      </c>
    </row>
    <row r="9" customFormat="false" ht="15" hidden="false" customHeight="false" outlineLevel="0" collapsed="false">
      <c r="A9" s="8"/>
      <c r="B9" s="6"/>
    </row>
    <row r="10" customFormat="false" ht="15" hidden="false" customHeight="false" outlineLevel="0" collapsed="false">
      <c r="A10" s="3" t="s">
        <v>11</v>
      </c>
      <c r="B10" s="4"/>
    </row>
    <row r="11" customFormat="false" ht="15" hidden="false" customHeight="false" outlineLevel="0" collapsed="false">
      <c r="A11" s="8" t="s">
        <v>12</v>
      </c>
      <c r="B11" s="6" t="s">
        <v>13</v>
      </c>
    </row>
    <row r="12" customFormat="false" ht="15" hidden="false" customHeight="false" outlineLevel="0" collapsed="false">
      <c r="A12" s="8" t="s">
        <v>14</v>
      </c>
      <c r="B12" s="6" t="s">
        <v>15</v>
      </c>
    </row>
    <row r="13" customFormat="false" ht="23.85" hidden="false" customHeight="false" outlineLevel="0" collapsed="false">
      <c r="A13" s="8" t="s">
        <v>16</v>
      </c>
      <c r="B13" s="6" t="s">
        <v>17</v>
      </c>
    </row>
    <row r="14" customFormat="false" ht="15" hidden="false" customHeight="false" outlineLevel="0" collapsed="false">
      <c r="A14" s="8" t="s">
        <v>18</v>
      </c>
      <c r="B14" s="6" t="s">
        <v>19</v>
      </c>
    </row>
    <row r="15" customFormat="false" ht="15" hidden="false" customHeight="false" outlineLevel="0" collapsed="false">
      <c r="A15" s="8" t="s">
        <v>20</v>
      </c>
      <c r="B15" s="6" t="s">
        <v>21</v>
      </c>
    </row>
    <row r="16" customFormat="false" ht="15" hidden="false" customHeight="false" outlineLevel="0" collapsed="false">
      <c r="A16" s="8" t="s">
        <v>22</v>
      </c>
      <c r="B16" s="6" t="s">
        <v>23</v>
      </c>
    </row>
    <row r="17" customFormat="false" ht="15" hidden="false" customHeight="false" outlineLevel="0" collapsed="false">
      <c r="A17" s="8"/>
      <c r="B17" s="6"/>
    </row>
    <row r="18" customFormat="false" ht="15" hidden="false" customHeight="false" outlineLevel="0" collapsed="false">
      <c r="A18" s="3" t="s">
        <v>24</v>
      </c>
      <c r="B18" s="4"/>
    </row>
    <row r="19" customFormat="false" ht="23.85" hidden="false" customHeight="false" outlineLevel="0" collapsed="false">
      <c r="A19" s="8" t="s">
        <v>25</v>
      </c>
      <c r="B19" s="6" t="s">
        <v>26</v>
      </c>
    </row>
    <row r="20" customFormat="false" ht="15" hidden="false" customHeight="false" outlineLevel="0" collapsed="false">
      <c r="A20" s="8" t="s">
        <v>27</v>
      </c>
      <c r="B20" s="6" t="s">
        <v>28</v>
      </c>
    </row>
    <row r="21" customFormat="false" ht="15" hidden="false" customHeight="false" outlineLevel="0" collapsed="false">
      <c r="A21" s="8" t="s">
        <v>29</v>
      </c>
      <c r="B21" s="6" t="s">
        <v>30</v>
      </c>
    </row>
    <row r="22" customFormat="false" ht="15" hidden="false" customHeight="false" outlineLevel="0" collapsed="false">
      <c r="A22" s="8" t="s">
        <v>31</v>
      </c>
      <c r="B22" s="6" t="s">
        <v>32</v>
      </c>
    </row>
    <row r="23" customFormat="false" ht="15" hidden="false" customHeight="false" outlineLevel="0" collapsed="false">
      <c r="A23" s="8"/>
      <c r="B23" s="6"/>
    </row>
    <row r="24" customFormat="false" ht="15" hidden="false" customHeight="false" outlineLevel="0" collapsed="false">
      <c r="A24" s="3" t="s">
        <v>33</v>
      </c>
      <c r="B24" s="4"/>
    </row>
    <row r="25" customFormat="false" ht="15" hidden="false" customHeight="false" outlineLevel="0" collapsed="false">
      <c r="A25" s="8" t="s">
        <v>34</v>
      </c>
      <c r="B25" s="6" t="s">
        <v>35</v>
      </c>
    </row>
    <row r="26" customFormat="false" ht="15" hidden="false" customHeight="false" outlineLevel="0" collapsed="false">
      <c r="A26" s="8" t="s">
        <v>36</v>
      </c>
      <c r="B26" s="6" t="s">
        <v>37</v>
      </c>
    </row>
    <row r="27" customFormat="false" ht="15" hidden="false" customHeight="false" outlineLevel="0" collapsed="false">
      <c r="A27" s="8" t="s">
        <v>38</v>
      </c>
      <c r="B27" s="6" t="s">
        <v>39</v>
      </c>
    </row>
    <row r="28" customFormat="false" ht="15" hidden="false" customHeight="false" outlineLevel="0" collapsed="false">
      <c r="A28" s="8" t="s">
        <v>40</v>
      </c>
      <c r="B28" s="6" t="s">
        <v>41</v>
      </c>
    </row>
    <row r="29" customFormat="false" ht="15" hidden="false" customHeight="false" outlineLevel="0" collapsed="false">
      <c r="A29" s="8" t="s">
        <v>42</v>
      </c>
      <c r="B29" s="6" t="s">
        <v>43</v>
      </c>
    </row>
    <row r="30" customFormat="false" ht="15" hidden="false" customHeight="false" outlineLevel="0" collapsed="false">
      <c r="A30" s="8" t="s">
        <v>44</v>
      </c>
      <c r="B30" s="6" t="s">
        <v>45</v>
      </c>
    </row>
    <row r="31" customFormat="false" ht="15" hidden="false" customHeight="false" outlineLevel="0" collapsed="false">
      <c r="A31" s="8" t="s">
        <v>46</v>
      </c>
      <c r="B31" s="6" t="s">
        <v>47</v>
      </c>
    </row>
    <row r="32" customFormat="false" ht="15" hidden="false" customHeight="false" outlineLevel="0" collapsed="false">
      <c r="A32" s="8" t="s">
        <v>48</v>
      </c>
      <c r="B32" s="6" t="s">
        <v>49</v>
      </c>
    </row>
    <row r="33" customFormat="false" ht="15" hidden="false" customHeight="false" outlineLevel="0" collapsed="false">
      <c r="A33" s="8" t="s">
        <v>50</v>
      </c>
      <c r="B33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B3" s="8" t="s">
        <v>54</v>
      </c>
      <c r="C3" s="10" t="n">
        <v>8</v>
      </c>
    </row>
    <row r="4" customFormat="false" ht="15" hidden="false" customHeight="false" outlineLevel="0" collapsed="false">
      <c r="B4" s="8" t="s">
        <v>55</v>
      </c>
      <c r="C4" s="11" t="n">
        <v>2026</v>
      </c>
    </row>
    <row r="6" customFormat="false" ht="15" hidden="false" customHeight="false" outlineLevel="0" collapsed="false">
      <c r="B6" s="8" t="s">
        <v>56</v>
      </c>
      <c r="C6" s="12" t="n">
        <v>1077.49</v>
      </c>
      <c r="D6" s="2" t="s">
        <v>57</v>
      </c>
    </row>
    <row r="7" customFormat="false" ht="15" hidden="false" customHeight="false" outlineLevel="0" collapsed="false">
      <c r="B7" s="8" t="s">
        <v>58</v>
      </c>
      <c r="C7" s="10" t="n">
        <v>0</v>
      </c>
      <c r="D7" s="2" t="s">
        <v>59</v>
      </c>
    </row>
    <row r="8" customFormat="false" ht="15" hidden="false" customHeight="false" outlineLevel="0" collapsed="false">
      <c r="B8" s="8" t="s">
        <v>60</v>
      </c>
      <c r="C8" s="13" t="n">
        <v>252000</v>
      </c>
      <c r="D8" s="2" t="s">
        <v>61</v>
      </c>
    </row>
    <row r="9" customFormat="false" ht="15" hidden="false" customHeight="false" outlineLevel="0" collapsed="false">
      <c r="B9" s="8" t="s">
        <v>62</v>
      </c>
      <c r="C9" s="12" t="n">
        <v>105.37</v>
      </c>
      <c r="D9" s="2" t="s">
        <v>63</v>
      </c>
    </row>
    <row r="10" customFormat="false" ht="15" hidden="false" customHeight="false" outlineLevel="0" collapsed="false">
      <c r="B10" s="8" t="s">
        <v>64</v>
      </c>
      <c r="C10" s="13" t="n">
        <v>140000</v>
      </c>
      <c r="D10" s="2" t="s">
        <v>65</v>
      </c>
    </row>
    <row r="11" customFormat="false" ht="15" hidden="false" customHeight="false" outlineLevel="0" collapsed="false">
      <c r="B11" s="8" t="s">
        <v>66</v>
      </c>
      <c r="C11" s="14" t="n">
        <v>42</v>
      </c>
      <c r="D11" s="2" t="s">
        <v>67</v>
      </c>
    </row>
    <row r="12" customFormat="false" ht="15" hidden="false" customHeight="false" outlineLevel="0" collapsed="false">
      <c r="B12" s="8" t="s">
        <v>68</v>
      </c>
      <c r="C12" s="13" t="n">
        <v>20500</v>
      </c>
      <c r="D12" s="2" t="s">
        <v>69</v>
      </c>
    </row>
    <row r="13" customFormat="false" ht="15" hidden="false" customHeight="false" outlineLevel="0" collapsed="false">
      <c r="B13" s="8" t="s">
        <v>70</v>
      </c>
      <c r="C13" s="14" t="n">
        <v>8</v>
      </c>
    </row>
    <row r="14" customFormat="false" ht="15" hidden="false" customHeight="false" outlineLevel="0" collapsed="false">
      <c r="B14" s="8" t="s">
        <v>71</v>
      </c>
      <c r="C14" s="13" t="n">
        <v>270000</v>
      </c>
      <c r="D14" s="2" t="s">
        <v>72</v>
      </c>
    </row>
    <row r="15" customFormat="false" ht="15" hidden="false" customHeight="false" outlineLevel="0" collapsed="false">
      <c r="B15" s="8" t="s">
        <v>73</v>
      </c>
      <c r="C15" s="14" t="n">
        <v>1000</v>
      </c>
      <c r="D15" s="2" t="s">
        <v>74</v>
      </c>
    </row>
    <row r="17" customFormat="false" ht="15" hidden="false" customHeight="false" outlineLevel="0" collapsed="false">
      <c r="B17" s="3" t="s">
        <v>75</v>
      </c>
    </row>
    <row r="18" customFormat="false" ht="15" hidden="false" customHeight="false" outlineLevel="0" collapsed="false">
      <c r="B18" s="8" t="s">
        <v>76</v>
      </c>
      <c r="C18" s="15" t="n">
        <f aca="false">SUMIFS(LUONG_KHOAN!$G$6:$G$100,LUONG_KHOAN!$D$6:$D$100,"Khoán")</f>
        <v>455</v>
      </c>
      <c r="D18" s="2" t="s">
        <v>77</v>
      </c>
    </row>
    <row r="19" customFormat="false" ht="15" hidden="false" customHeight="false" outlineLevel="0" collapsed="false">
      <c r="B19" s="8" t="s">
        <v>78</v>
      </c>
      <c r="C19" s="16" t="n">
        <f aca="false">IF(C11&gt;0,C18/C11,0)</f>
        <v>10.8333333333333</v>
      </c>
      <c r="D19" s="2" t="s">
        <v>79</v>
      </c>
    </row>
    <row r="20" customFormat="false" ht="15" hidden="false" customHeight="false" outlineLevel="0" collapsed="false">
      <c r="B20" s="8" t="s">
        <v>80</v>
      </c>
      <c r="C20" s="17" t="n">
        <f aca="false">C7*C8</f>
        <v>0</v>
      </c>
      <c r="D20" s="2" t="s">
        <v>81</v>
      </c>
    </row>
    <row r="21" customFormat="false" ht="15" hidden="false" customHeight="false" outlineLevel="0" collapsed="false">
      <c r="B21" s="8" t="s">
        <v>82</v>
      </c>
      <c r="C21" s="17" t="n">
        <f aca="false">C9*C10</f>
        <v>14751800</v>
      </c>
      <c r="D21" s="2" t="s">
        <v>83</v>
      </c>
    </row>
    <row r="22" customFormat="false" ht="15" hidden="false" customHeight="false" outlineLevel="0" collapsed="false">
      <c r="B22" s="8" t="s">
        <v>84</v>
      </c>
      <c r="C22" s="17" t="n">
        <f aca="false">SUMIFS(KHOAN_KHAC!$F$5:$F$39,KHOAN_KHAC!$G$5:$G$39,"")</f>
        <v>-22450000</v>
      </c>
      <c r="D22" s="2" t="s">
        <v>85</v>
      </c>
    </row>
    <row r="23" customFormat="false" ht="15" hidden="false" customHeight="false" outlineLevel="0" collapsed="false">
      <c r="B23" s="8" t="s">
        <v>86</v>
      </c>
      <c r="C23" s="17" t="n">
        <f aca="false">SUMIFS(KHOAN_KHAC!$F$5:$F$39,KHOAN_KHAC!$G$5:$G$39,"&lt;&gt;")</f>
        <v>400000</v>
      </c>
      <c r="D23" s="2" t="s">
        <v>87</v>
      </c>
    </row>
    <row r="24" customFormat="false" ht="15" hidden="false" customHeight="false" outlineLevel="0" collapsed="false">
      <c r="B24" s="8" t="s">
        <v>88</v>
      </c>
      <c r="C24" s="17" t="n">
        <f aca="false">SUMIFS(LUONG_KHOAN!$P$6:$P$100,LUONG_KHOAN!$D$6:$D$100,"Công nhật")</f>
        <v>0</v>
      </c>
      <c r="D24" s="2" t="s">
        <v>89</v>
      </c>
    </row>
    <row r="25" customFormat="false" ht="15" hidden="false" customHeight="false" outlineLevel="0" collapsed="false">
      <c r="B25" s="8" t="s">
        <v>90</v>
      </c>
      <c r="C25" s="16" t="n">
        <f aca="false">SUM(LUONG_KHOAN!$H$6:$H$100)</f>
        <v>56.875</v>
      </c>
      <c r="D25" s="2" t="s">
        <v>91</v>
      </c>
    </row>
    <row r="26" customFormat="false" ht="15" hidden="false" customHeight="false" outlineLevel="0" collapsed="false">
      <c r="B26" s="8" t="s">
        <v>92</v>
      </c>
      <c r="C26" s="17" t="n">
        <f aca="false">C6*C12</f>
        <v>22088545</v>
      </c>
      <c r="D26" s="2" t="s">
        <v>93</v>
      </c>
    </row>
    <row r="27" customFormat="false" ht="15" hidden="false" customHeight="false" outlineLevel="0" collapsed="false">
      <c r="B27" s="8" t="s">
        <v>94</v>
      </c>
      <c r="C27" s="17" t="n">
        <f aca="false">IF(C25&gt;0,C26/C25,0)</f>
        <v>388370.021978022</v>
      </c>
    </row>
    <row r="28" customFormat="false" ht="15" hidden="false" customHeight="false" outlineLevel="0" collapsed="false">
      <c r="B28" s="8" t="s">
        <v>95</v>
      </c>
      <c r="C28" s="17" t="n">
        <f aca="false">SUMIFS(LUONG_KHOAN!$J$6:$J$100,LUONG_KHOAN!$D$6:$D$100,"Khoán")</f>
        <v>340732176.184615</v>
      </c>
      <c r="D28" s="2" t="s">
        <v>96</v>
      </c>
    </row>
    <row r="29" customFormat="false" ht="15" hidden="false" customHeight="false" outlineLevel="0" collapsed="false">
      <c r="B29" s="8" t="s">
        <v>97</v>
      </c>
      <c r="C29" s="17" t="n">
        <f aca="false">IF(C6&gt;0,C28/C6,0)</f>
        <v>316227.692307692</v>
      </c>
      <c r="D29" s="2" t="s">
        <v>98</v>
      </c>
    </row>
  </sheetData>
  <sheetProtection sheet="true" formatColumns="false" formatRows="false" inser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30" hidden="false" customHeight="true" outlineLevel="0" collapsed="false">
      <c r="A4" s="18" t="s">
        <v>101</v>
      </c>
      <c r="B4" s="18" t="s">
        <v>102</v>
      </c>
      <c r="C4" s="18" t="s">
        <v>103</v>
      </c>
      <c r="D4" s="18" t="s">
        <v>104</v>
      </c>
    </row>
    <row r="5" customFormat="false" ht="15" hidden="false" customHeight="false" outlineLevel="0" collapsed="false">
      <c r="A5" s="19" t="n">
        <v>0.9</v>
      </c>
      <c r="B5" s="13" t="n">
        <v>5800</v>
      </c>
      <c r="C5" s="20" t="n">
        <f aca="false">400+6000*A5</f>
        <v>5800</v>
      </c>
      <c r="D5" s="20" t="n">
        <f aca="false">B5-C5</f>
        <v>0</v>
      </c>
    </row>
    <row r="6" customFormat="false" ht="15" hidden="false" customHeight="false" outlineLevel="0" collapsed="false">
      <c r="A6" s="19" t="n">
        <v>1</v>
      </c>
      <c r="B6" s="13" t="n">
        <v>6400</v>
      </c>
      <c r="C6" s="20" t="n">
        <f aca="false">400+6000*A6</f>
        <v>6400</v>
      </c>
      <c r="D6" s="20" t="n">
        <f aca="false">B6-C6</f>
        <v>0</v>
      </c>
    </row>
    <row r="7" customFormat="false" ht="15" hidden="false" customHeight="false" outlineLevel="0" collapsed="false">
      <c r="A7" s="19" t="n">
        <v>1.05</v>
      </c>
      <c r="B7" s="13" t="n">
        <v>6700</v>
      </c>
      <c r="C7" s="20" t="n">
        <f aca="false">400+6000*A7</f>
        <v>6700</v>
      </c>
      <c r="D7" s="20" t="n">
        <f aca="false">B7-C7</f>
        <v>0</v>
      </c>
    </row>
    <row r="8" customFormat="false" ht="15" hidden="false" customHeight="false" outlineLevel="0" collapsed="false">
      <c r="A8" s="19" t="n">
        <v>1.1</v>
      </c>
      <c r="B8" s="13" t="n">
        <v>7100</v>
      </c>
      <c r="C8" s="20" t="n">
        <f aca="false">400+6000*A8</f>
        <v>7000</v>
      </c>
      <c r="D8" s="20" t="n">
        <f aca="false">B8-C8</f>
        <v>99.9999999999991</v>
      </c>
    </row>
    <row r="9" customFormat="false" ht="15" hidden="false" customHeight="false" outlineLevel="0" collapsed="false">
      <c r="A9" s="19" t="n">
        <v>1.15</v>
      </c>
      <c r="B9" s="13" t="n">
        <v>7400</v>
      </c>
      <c r="C9" s="20" t="n">
        <f aca="false">400+6000*A9</f>
        <v>7300</v>
      </c>
      <c r="D9" s="20" t="n">
        <f aca="false">B9-C9</f>
        <v>100.000000000001</v>
      </c>
    </row>
    <row r="10" customFormat="false" ht="15" hidden="false" customHeight="false" outlineLevel="0" collapsed="false">
      <c r="A10" s="19" t="n">
        <v>1.2</v>
      </c>
      <c r="B10" s="13" t="n">
        <v>7700</v>
      </c>
      <c r="C10" s="20" t="n">
        <f aca="false">400+6000*A10</f>
        <v>7600</v>
      </c>
      <c r="D10" s="20" t="n">
        <f aca="false">B10-C10</f>
        <v>100</v>
      </c>
    </row>
    <row r="11" customFormat="false" ht="15" hidden="false" customHeight="false" outlineLevel="0" collapsed="false">
      <c r="A11" s="19" t="n">
        <v>1.25</v>
      </c>
      <c r="B11" s="13" t="n">
        <v>8000</v>
      </c>
      <c r="C11" s="20" t="n">
        <f aca="false">400+6000*A11</f>
        <v>7900</v>
      </c>
      <c r="D11" s="20" t="n">
        <f aca="false">B11-C11</f>
        <v>100</v>
      </c>
    </row>
    <row r="12" customFormat="false" ht="15" hidden="false" customHeight="false" outlineLevel="0" collapsed="false">
      <c r="A12" s="19" t="n">
        <v>1.3</v>
      </c>
      <c r="B12" s="13" t="n">
        <v>8300</v>
      </c>
      <c r="C12" s="20" t="n">
        <f aca="false">400+6000*A12</f>
        <v>8200</v>
      </c>
      <c r="D12" s="20" t="n">
        <f aca="false">B12-C12</f>
        <v>100</v>
      </c>
    </row>
    <row r="13" customFormat="false" ht="15" hidden="false" customHeight="false" outlineLevel="0" collapsed="false">
      <c r="A13" s="19" t="n">
        <v>1.35</v>
      </c>
      <c r="B13" s="13" t="n">
        <v>8600</v>
      </c>
      <c r="C13" s="20" t="n">
        <f aca="false">400+6000*A13</f>
        <v>8500</v>
      </c>
      <c r="D13" s="20" t="n">
        <f aca="false">B13-C13</f>
        <v>100</v>
      </c>
    </row>
    <row r="14" customFormat="false" ht="15" hidden="false" customHeight="false" outlineLevel="0" collapsed="false">
      <c r="A14" s="19" t="n">
        <v>1.4</v>
      </c>
      <c r="B14" s="13" t="n">
        <v>8800</v>
      </c>
      <c r="C14" s="20" t="n">
        <f aca="false">400+6000*A14</f>
        <v>8800</v>
      </c>
      <c r="D14" s="20" t="n">
        <f aca="false">B14-C14</f>
        <v>0</v>
      </c>
      <c r="E14" s="2" t="s">
        <v>105</v>
      </c>
    </row>
    <row r="15" customFormat="false" ht="15" hidden="false" customHeight="false" outlineLevel="0" collapsed="false">
      <c r="A15" s="19" t="n">
        <v>1.5</v>
      </c>
      <c r="B15" s="13" t="n">
        <v>9600</v>
      </c>
      <c r="C15" s="20" t="n">
        <f aca="false">400+6000*A15</f>
        <v>9400</v>
      </c>
      <c r="D15" s="20" t="n">
        <f aca="false">B15-C15</f>
        <v>200</v>
      </c>
    </row>
  </sheetData>
  <sheetProtection sheet="true" formatColumns="false" formatRows="false" inser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30" hidden="false" customHeight="true" outlineLevel="0" collapsed="false">
      <c r="A4" s="18" t="s">
        <v>108</v>
      </c>
      <c r="B4" s="18" t="s">
        <v>109</v>
      </c>
      <c r="C4" s="18" t="s">
        <v>110</v>
      </c>
      <c r="D4" s="18" t="s">
        <v>111</v>
      </c>
      <c r="E4" s="18" t="s">
        <v>112</v>
      </c>
      <c r="F4" s="18" t="s">
        <v>113</v>
      </c>
      <c r="G4" s="18" t="s">
        <v>114</v>
      </c>
      <c r="H4" s="18" t="s">
        <v>115</v>
      </c>
      <c r="I4" s="18" t="s">
        <v>116</v>
      </c>
      <c r="J4" s="18" t="s">
        <v>117</v>
      </c>
    </row>
    <row r="5" customFormat="false" ht="15" hidden="false" customHeight="false" outlineLevel="0" collapsed="false">
      <c r="A5" s="21" t="n">
        <v>1</v>
      </c>
      <c r="B5" s="22" t="s">
        <v>118</v>
      </c>
      <c r="C5" s="22" t="s">
        <v>119</v>
      </c>
      <c r="D5" s="22" t="s">
        <v>120</v>
      </c>
      <c r="E5" s="22" t="s">
        <v>121</v>
      </c>
      <c r="F5" s="22" t="s">
        <v>122</v>
      </c>
      <c r="G5" s="12" t="n">
        <v>1.5</v>
      </c>
      <c r="H5" s="11"/>
      <c r="I5" s="22" t="s">
        <v>123</v>
      </c>
      <c r="J5" s="22"/>
    </row>
    <row r="6" customFormat="false" ht="15" hidden="false" customHeight="false" outlineLevel="0" collapsed="false">
      <c r="A6" s="21" t="n">
        <v>2</v>
      </c>
      <c r="B6" s="22" t="s">
        <v>124</v>
      </c>
      <c r="C6" s="22" t="s">
        <v>125</v>
      </c>
      <c r="D6" s="22" t="s">
        <v>126</v>
      </c>
      <c r="E6" s="22" t="s">
        <v>121</v>
      </c>
      <c r="F6" s="22" t="s">
        <v>122</v>
      </c>
      <c r="G6" s="12" t="n">
        <v>1.35</v>
      </c>
      <c r="H6" s="11"/>
      <c r="I6" s="22" t="s">
        <v>123</v>
      </c>
      <c r="J6" s="22"/>
    </row>
    <row r="7" customFormat="false" ht="15" hidden="false" customHeight="false" outlineLevel="0" collapsed="false">
      <c r="A7" s="21" t="n">
        <v>3</v>
      </c>
      <c r="B7" s="22" t="s">
        <v>127</v>
      </c>
      <c r="C7" s="22" t="s">
        <v>128</v>
      </c>
      <c r="D7" s="22" t="s">
        <v>129</v>
      </c>
      <c r="E7" s="22" t="s">
        <v>121</v>
      </c>
      <c r="F7" s="22" t="s">
        <v>122</v>
      </c>
      <c r="G7" s="12" t="n">
        <v>1.1</v>
      </c>
      <c r="H7" s="11"/>
      <c r="I7" s="22" t="s">
        <v>123</v>
      </c>
      <c r="J7" s="22"/>
    </row>
    <row r="8" customFormat="false" ht="15" hidden="false" customHeight="false" outlineLevel="0" collapsed="false">
      <c r="A8" s="21" t="n">
        <v>4</v>
      </c>
      <c r="B8" s="22" t="s">
        <v>130</v>
      </c>
      <c r="C8" s="22" t="s">
        <v>131</v>
      </c>
      <c r="D8" s="22" t="s">
        <v>129</v>
      </c>
      <c r="E8" s="22" t="s">
        <v>121</v>
      </c>
      <c r="F8" s="22" t="s">
        <v>122</v>
      </c>
      <c r="G8" s="12" t="n">
        <v>1.15</v>
      </c>
      <c r="H8" s="11"/>
      <c r="I8" s="22" t="s">
        <v>123</v>
      </c>
      <c r="J8" s="22"/>
    </row>
    <row r="9" customFormat="false" ht="15" hidden="false" customHeight="false" outlineLevel="0" collapsed="false">
      <c r="A9" s="21" t="n">
        <v>5</v>
      </c>
      <c r="B9" s="22" t="s">
        <v>132</v>
      </c>
      <c r="C9" s="22" t="s">
        <v>133</v>
      </c>
      <c r="D9" s="22" t="s">
        <v>129</v>
      </c>
      <c r="E9" s="22" t="s">
        <v>121</v>
      </c>
      <c r="F9" s="22" t="s">
        <v>122</v>
      </c>
      <c r="G9" s="12" t="n">
        <v>1.15</v>
      </c>
      <c r="H9" s="11"/>
      <c r="I9" s="22" t="s">
        <v>123</v>
      </c>
      <c r="J9" s="22"/>
    </row>
    <row r="10" customFormat="false" ht="15" hidden="false" customHeight="false" outlineLevel="0" collapsed="false">
      <c r="A10" s="21" t="n">
        <v>6</v>
      </c>
      <c r="B10" s="22" t="s">
        <v>134</v>
      </c>
      <c r="C10" s="22" t="s">
        <v>135</v>
      </c>
      <c r="D10" s="22" t="s">
        <v>129</v>
      </c>
      <c r="E10" s="22" t="s">
        <v>121</v>
      </c>
      <c r="F10" s="22" t="s">
        <v>122</v>
      </c>
      <c r="G10" s="12" t="n">
        <v>1.3</v>
      </c>
      <c r="H10" s="11"/>
      <c r="I10" s="22" t="s">
        <v>123</v>
      </c>
      <c r="J10" s="22"/>
    </row>
    <row r="11" customFormat="false" ht="15" hidden="false" customHeight="false" outlineLevel="0" collapsed="false">
      <c r="A11" s="21" t="n">
        <v>7</v>
      </c>
      <c r="B11" s="22" t="s">
        <v>136</v>
      </c>
      <c r="C11" s="22" t="s">
        <v>137</v>
      </c>
      <c r="D11" s="22" t="s">
        <v>129</v>
      </c>
      <c r="E11" s="22" t="s">
        <v>121</v>
      </c>
      <c r="F11" s="22" t="s">
        <v>122</v>
      </c>
      <c r="G11" s="12" t="n">
        <v>1.1</v>
      </c>
      <c r="H11" s="11"/>
      <c r="I11" s="22" t="s">
        <v>123</v>
      </c>
      <c r="J11" s="22"/>
    </row>
    <row r="12" customFormat="false" ht="15" hidden="false" customHeight="false" outlineLevel="0" collapsed="false">
      <c r="A12" s="21" t="n">
        <v>8</v>
      </c>
      <c r="B12" s="22" t="s">
        <v>138</v>
      </c>
      <c r="C12" s="22" t="s">
        <v>139</v>
      </c>
      <c r="D12" s="22" t="s">
        <v>129</v>
      </c>
      <c r="E12" s="22" t="s">
        <v>121</v>
      </c>
      <c r="F12" s="22" t="s">
        <v>122</v>
      </c>
      <c r="G12" s="12" t="n">
        <v>1.1</v>
      </c>
      <c r="H12" s="11"/>
      <c r="I12" s="22" t="s">
        <v>123</v>
      </c>
      <c r="J12" s="22"/>
    </row>
    <row r="13" customFormat="false" ht="15" hidden="false" customHeight="false" outlineLevel="0" collapsed="false">
      <c r="A13" s="21" t="n">
        <v>9</v>
      </c>
      <c r="B13" s="22" t="s">
        <v>140</v>
      </c>
      <c r="C13" s="22" t="s">
        <v>141</v>
      </c>
      <c r="D13" s="22" t="s">
        <v>129</v>
      </c>
      <c r="E13" s="22" t="s">
        <v>121</v>
      </c>
      <c r="F13" s="22" t="s">
        <v>122</v>
      </c>
      <c r="G13" s="12" t="n">
        <v>1</v>
      </c>
      <c r="H13" s="11"/>
      <c r="I13" s="22" t="s">
        <v>123</v>
      </c>
      <c r="J13" s="22" t="s">
        <v>142</v>
      </c>
    </row>
    <row r="14" customFormat="false" ht="15" hidden="false" customHeight="false" outlineLevel="0" collapsed="false">
      <c r="A14" s="21" t="n">
        <v>10</v>
      </c>
      <c r="B14" s="22" t="s">
        <v>143</v>
      </c>
      <c r="C14" s="22" t="s">
        <v>144</v>
      </c>
      <c r="D14" s="22" t="s">
        <v>129</v>
      </c>
      <c r="E14" s="22" t="s">
        <v>121</v>
      </c>
      <c r="F14" s="22" t="s">
        <v>122</v>
      </c>
      <c r="G14" s="12" t="n">
        <v>1.1</v>
      </c>
      <c r="H14" s="11"/>
      <c r="I14" s="22" t="s">
        <v>123</v>
      </c>
      <c r="J14" s="22"/>
    </row>
    <row r="15" customFormat="false" ht="15" hidden="false" customHeight="false" outlineLevel="0" collapsed="false">
      <c r="A15" s="21" t="n">
        <v>11</v>
      </c>
      <c r="B15" s="22" t="s">
        <v>145</v>
      </c>
      <c r="C15" s="22" t="s">
        <v>146</v>
      </c>
      <c r="D15" s="22" t="s">
        <v>129</v>
      </c>
      <c r="E15" s="22" t="s">
        <v>121</v>
      </c>
      <c r="F15" s="22" t="s">
        <v>122</v>
      </c>
      <c r="G15" s="12" t="n">
        <v>0.9</v>
      </c>
      <c r="H15" s="11"/>
      <c r="I15" s="22" t="s">
        <v>123</v>
      </c>
      <c r="J15" s="22"/>
    </row>
    <row r="16" customFormat="false" ht="15" hidden="false" customHeight="false" outlineLevel="0" collapsed="false">
      <c r="A16" s="21" t="n">
        <v>12</v>
      </c>
      <c r="B16" s="22" t="s">
        <v>147</v>
      </c>
      <c r="C16" s="22" t="s">
        <v>148</v>
      </c>
      <c r="D16" s="22" t="s">
        <v>129</v>
      </c>
      <c r="E16" s="22" t="s">
        <v>121</v>
      </c>
      <c r="F16" s="22" t="s">
        <v>122</v>
      </c>
      <c r="G16" s="12" t="n">
        <v>1.1</v>
      </c>
      <c r="H16" s="11"/>
      <c r="I16" s="22" t="s">
        <v>123</v>
      </c>
      <c r="J16" s="22"/>
    </row>
    <row r="17" customFormat="false" ht="15" hidden="false" customHeight="false" outlineLevel="0" collapsed="false">
      <c r="A17" s="21" t="n">
        <v>13</v>
      </c>
      <c r="B17" s="22" t="s">
        <v>149</v>
      </c>
      <c r="C17" s="22" t="s">
        <v>150</v>
      </c>
      <c r="D17" s="22" t="s">
        <v>129</v>
      </c>
      <c r="E17" s="22" t="s">
        <v>121</v>
      </c>
      <c r="F17" s="22" t="s">
        <v>122</v>
      </c>
      <c r="G17" s="12" t="n">
        <v>1.05</v>
      </c>
      <c r="H17" s="11"/>
      <c r="I17" s="22" t="s">
        <v>151</v>
      </c>
      <c r="J17" s="22"/>
    </row>
    <row r="18" customFormat="false" ht="15" hidden="false" customHeight="false" outlineLevel="0" collapsed="false">
      <c r="A18" s="21" t="n">
        <v>14</v>
      </c>
      <c r="B18" s="22" t="s">
        <v>152</v>
      </c>
      <c r="C18" s="22" t="s">
        <v>153</v>
      </c>
      <c r="D18" s="22" t="s">
        <v>129</v>
      </c>
      <c r="E18" s="22" t="s">
        <v>121</v>
      </c>
      <c r="F18" s="22" t="s">
        <v>122</v>
      </c>
      <c r="G18" s="12" t="n">
        <v>1.15</v>
      </c>
      <c r="H18" s="11"/>
      <c r="I18" s="22" t="s">
        <v>123</v>
      </c>
      <c r="J18" s="22"/>
    </row>
    <row r="19" customFormat="false" ht="15" hidden="false" customHeight="false" outlineLevel="0" collapsed="false">
      <c r="A19" s="21" t="n">
        <v>15</v>
      </c>
      <c r="B19" s="22" t="s">
        <v>154</v>
      </c>
      <c r="C19" s="22" t="s">
        <v>155</v>
      </c>
      <c r="D19" s="22" t="s">
        <v>129</v>
      </c>
      <c r="E19" s="22" t="s">
        <v>121</v>
      </c>
      <c r="F19" s="22" t="s">
        <v>122</v>
      </c>
      <c r="G19" s="12" t="n">
        <v>1.1</v>
      </c>
      <c r="H19" s="11"/>
      <c r="I19" s="22" t="s">
        <v>123</v>
      </c>
      <c r="J19" s="22"/>
    </row>
    <row r="20" customFormat="false" ht="15" hidden="false" customHeight="false" outlineLevel="0" collapsed="false">
      <c r="A20" s="21" t="n">
        <v>16</v>
      </c>
      <c r="B20" s="22" t="s">
        <v>156</v>
      </c>
      <c r="C20" s="22" t="s">
        <v>157</v>
      </c>
      <c r="D20" s="22" t="s">
        <v>129</v>
      </c>
      <c r="E20" s="22" t="s">
        <v>121</v>
      </c>
      <c r="F20" s="22" t="s">
        <v>122</v>
      </c>
      <c r="G20" s="12" t="n">
        <v>1.1</v>
      </c>
      <c r="H20" s="11"/>
      <c r="I20" s="22" t="s">
        <v>123</v>
      </c>
      <c r="J20" s="22"/>
    </row>
    <row r="21" customFormat="false" ht="15" hidden="false" customHeight="false" outlineLevel="0" collapsed="false">
      <c r="A21" s="21" t="n">
        <v>17</v>
      </c>
      <c r="B21" s="22" t="s">
        <v>158</v>
      </c>
      <c r="C21" s="22" t="s">
        <v>159</v>
      </c>
      <c r="D21" s="22" t="s">
        <v>129</v>
      </c>
      <c r="E21" s="22" t="s">
        <v>121</v>
      </c>
      <c r="F21" s="22" t="s">
        <v>122</v>
      </c>
      <c r="G21" s="12" t="n">
        <v>1</v>
      </c>
      <c r="H21" s="11"/>
      <c r="I21" s="22" t="s">
        <v>123</v>
      </c>
      <c r="J21" s="22"/>
    </row>
    <row r="22" customFormat="false" ht="15" hidden="false" customHeight="false" outlineLevel="0" collapsed="false">
      <c r="A22" s="21" t="n">
        <v>18</v>
      </c>
      <c r="B22" s="22" t="s">
        <v>160</v>
      </c>
      <c r="C22" s="22" t="s">
        <v>161</v>
      </c>
      <c r="D22" s="22" t="s">
        <v>129</v>
      </c>
      <c r="E22" s="22" t="s">
        <v>121</v>
      </c>
      <c r="F22" s="22" t="s">
        <v>122</v>
      </c>
      <c r="G22" s="12" t="n">
        <v>0.9</v>
      </c>
      <c r="H22" s="11"/>
      <c r="I22" s="22" t="s">
        <v>123</v>
      </c>
      <c r="J22" s="22" t="s">
        <v>162</v>
      </c>
    </row>
    <row r="23" customFormat="false" ht="15" hidden="false" customHeight="false" outlineLevel="0" collapsed="false">
      <c r="A23" s="21" t="n">
        <v>19</v>
      </c>
      <c r="B23" s="22" t="s">
        <v>163</v>
      </c>
      <c r="C23" s="22" t="s">
        <v>164</v>
      </c>
      <c r="D23" s="22" t="s">
        <v>129</v>
      </c>
      <c r="E23" s="22" t="s">
        <v>121</v>
      </c>
      <c r="F23" s="22" t="s">
        <v>122</v>
      </c>
      <c r="G23" s="12" t="n">
        <v>1.3</v>
      </c>
      <c r="H23" s="11"/>
      <c r="I23" s="22" t="s">
        <v>123</v>
      </c>
      <c r="J23" s="22"/>
    </row>
    <row r="24" customFormat="false" ht="15" hidden="false" customHeight="false" outlineLevel="0" collapsed="false">
      <c r="A24" s="21" t="n">
        <v>20</v>
      </c>
      <c r="B24" s="22" t="s">
        <v>165</v>
      </c>
      <c r="C24" s="22" t="s">
        <v>166</v>
      </c>
      <c r="D24" s="22" t="s">
        <v>129</v>
      </c>
      <c r="E24" s="22" t="s">
        <v>121</v>
      </c>
      <c r="F24" s="22" t="s">
        <v>122</v>
      </c>
      <c r="G24" s="12" t="n">
        <v>1.15</v>
      </c>
      <c r="H24" s="11"/>
      <c r="I24" s="22" t="s">
        <v>123</v>
      </c>
      <c r="J24" s="22"/>
    </row>
    <row r="25" customFormat="false" ht="15" hidden="false" customHeight="false" outlineLevel="0" collapsed="false">
      <c r="A25" s="21" t="n">
        <v>21</v>
      </c>
      <c r="B25" s="22" t="s">
        <v>167</v>
      </c>
      <c r="C25" s="22" t="s">
        <v>168</v>
      </c>
      <c r="D25" s="22" t="s">
        <v>129</v>
      </c>
      <c r="E25" s="22" t="s">
        <v>121</v>
      </c>
      <c r="F25" s="22" t="s">
        <v>122</v>
      </c>
      <c r="G25" s="12" t="n">
        <v>1.15</v>
      </c>
      <c r="H25" s="11"/>
      <c r="I25" s="22" t="s">
        <v>151</v>
      </c>
      <c r="J25" s="22"/>
    </row>
    <row r="26" customFormat="false" ht="15" hidden="false" customHeight="false" outlineLevel="0" collapsed="false">
      <c r="A26" s="21" t="n">
        <v>22</v>
      </c>
      <c r="B26" s="22" t="s">
        <v>169</v>
      </c>
      <c r="C26" s="22" t="s">
        <v>170</v>
      </c>
      <c r="D26" s="22" t="s">
        <v>129</v>
      </c>
      <c r="E26" s="22" t="s">
        <v>121</v>
      </c>
      <c r="F26" s="22" t="s">
        <v>122</v>
      </c>
      <c r="G26" s="12" t="n">
        <v>0.9</v>
      </c>
      <c r="H26" s="11"/>
      <c r="I26" s="22" t="s">
        <v>151</v>
      </c>
      <c r="J26" s="22"/>
    </row>
    <row r="27" customFormat="false" ht="15" hidden="false" customHeight="false" outlineLevel="0" collapsed="false">
      <c r="A27" s="21" t="n">
        <v>23</v>
      </c>
      <c r="B27" s="22" t="s">
        <v>171</v>
      </c>
      <c r="C27" s="22" t="s">
        <v>172</v>
      </c>
      <c r="D27" s="22" t="s">
        <v>129</v>
      </c>
      <c r="E27" s="22" t="s">
        <v>121</v>
      </c>
      <c r="F27" s="22" t="s">
        <v>122</v>
      </c>
      <c r="G27" s="12" t="n">
        <v>1.1</v>
      </c>
      <c r="H27" s="11"/>
      <c r="I27" s="22" t="s">
        <v>123</v>
      </c>
      <c r="J27" s="22"/>
    </row>
    <row r="28" customFormat="false" ht="15" hidden="false" customHeight="false" outlineLevel="0" collapsed="false">
      <c r="A28" s="21" t="n">
        <v>24</v>
      </c>
      <c r="B28" s="22" t="s">
        <v>173</v>
      </c>
      <c r="C28" s="22" t="s">
        <v>174</v>
      </c>
      <c r="D28" s="22" t="s">
        <v>175</v>
      </c>
      <c r="E28" s="22" t="s">
        <v>121</v>
      </c>
      <c r="F28" s="22" t="s">
        <v>122</v>
      </c>
      <c r="G28" s="12" t="n">
        <v>0.9</v>
      </c>
      <c r="H28" s="11"/>
      <c r="I28" s="22" t="s">
        <v>123</v>
      </c>
      <c r="J28" s="22"/>
    </row>
    <row r="29" customFormat="false" ht="15" hidden="false" customHeight="false" outlineLevel="0" collapsed="false">
      <c r="A29" s="21" t="n">
        <v>25</v>
      </c>
      <c r="B29" s="22" t="s">
        <v>176</v>
      </c>
      <c r="C29" s="22" t="s">
        <v>177</v>
      </c>
      <c r="D29" s="22" t="s">
        <v>126</v>
      </c>
      <c r="E29" s="22" t="s">
        <v>121</v>
      </c>
      <c r="F29" s="22" t="s">
        <v>122</v>
      </c>
      <c r="G29" s="12" t="n">
        <v>1.5</v>
      </c>
      <c r="H29" s="11"/>
      <c r="I29" s="22" t="s">
        <v>123</v>
      </c>
      <c r="J29" s="22"/>
    </row>
    <row r="30" customFormat="false" ht="15" hidden="false" customHeight="false" outlineLevel="0" collapsed="false">
      <c r="A30" s="21" t="n">
        <v>26</v>
      </c>
      <c r="B30" s="22" t="s">
        <v>178</v>
      </c>
      <c r="C30" s="22" t="s">
        <v>179</v>
      </c>
      <c r="D30" s="22" t="s">
        <v>129</v>
      </c>
      <c r="E30" s="22" t="s">
        <v>121</v>
      </c>
      <c r="F30" s="22" t="s">
        <v>122</v>
      </c>
      <c r="G30" s="12" t="n">
        <v>1.15</v>
      </c>
      <c r="H30" s="11"/>
      <c r="I30" s="22" t="s">
        <v>123</v>
      </c>
      <c r="J30" s="22"/>
    </row>
    <row r="31" customFormat="false" ht="15" hidden="false" customHeight="false" outlineLevel="0" collapsed="false">
      <c r="A31" s="21" t="n">
        <v>27</v>
      </c>
      <c r="B31" s="22" t="s">
        <v>180</v>
      </c>
      <c r="C31" s="22" t="s">
        <v>181</v>
      </c>
      <c r="D31" s="22" t="s">
        <v>129</v>
      </c>
      <c r="E31" s="22" t="s">
        <v>121</v>
      </c>
      <c r="F31" s="22" t="s">
        <v>122</v>
      </c>
      <c r="G31" s="12" t="n">
        <v>1.2</v>
      </c>
      <c r="H31" s="11"/>
      <c r="I31" s="22" t="s">
        <v>123</v>
      </c>
      <c r="J31" s="22" t="s">
        <v>182</v>
      </c>
    </row>
    <row r="32" customFormat="false" ht="15" hidden="false" customHeight="false" outlineLevel="0" collapsed="false">
      <c r="A32" s="21" t="n">
        <v>28</v>
      </c>
      <c r="B32" s="22" t="s">
        <v>183</v>
      </c>
      <c r="C32" s="22" t="s">
        <v>184</v>
      </c>
      <c r="D32" s="22" t="s">
        <v>129</v>
      </c>
      <c r="E32" s="22" t="s">
        <v>121</v>
      </c>
      <c r="F32" s="22" t="s">
        <v>122</v>
      </c>
      <c r="G32" s="12" t="n">
        <v>1.1</v>
      </c>
      <c r="H32" s="11"/>
      <c r="I32" s="22" t="s">
        <v>123</v>
      </c>
      <c r="J32" s="22"/>
    </row>
    <row r="33" customFormat="false" ht="15" hidden="false" customHeight="false" outlineLevel="0" collapsed="false">
      <c r="A33" s="21" t="n">
        <v>29</v>
      </c>
      <c r="B33" s="22" t="s">
        <v>185</v>
      </c>
      <c r="C33" s="22" t="s">
        <v>186</v>
      </c>
      <c r="D33" s="22" t="s">
        <v>129</v>
      </c>
      <c r="E33" s="22" t="s">
        <v>121</v>
      </c>
      <c r="F33" s="22" t="s">
        <v>122</v>
      </c>
      <c r="G33" s="12" t="n">
        <v>1.1</v>
      </c>
      <c r="H33" s="11"/>
      <c r="I33" s="22" t="s">
        <v>123</v>
      </c>
      <c r="J33" s="22"/>
    </row>
    <row r="34" customFormat="false" ht="15" hidden="false" customHeight="false" outlineLevel="0" collapsed="false">
      <c r="A34" s="21" t="n">
        <v>30</v>
      </c>
      <c r="B34" s="22" t="s">
        <v>187</v>
      </c>
      <c r="C34" s="22" t="s">
        <v>188</v>
      </c>
      <c r="D34" s="22" t="s">
        <v>129</v>
      </c>
      <c r="E34" s="22" t="s">
        <v>121</v>
      </c>
      <c r="F34" s="22" t="s">
        <v>122</v>
      </c>
      <c r="G34" s="12" t="n">
        <v>1</v>
      </c>
      <c r="H34" s="11"/>
      <c r="I34" s="22" t="s">
        <v>123</v>
      </c>
      <c r="J34" s="22"/>
    </row>
    <row r="35" customFormat="false" ht="15" hidden="false" customHeight="false" outlineLevel="0" collapsed="false">
      <c r="A35" s="21" t="n">
        <v>31</v>
      </c>
      <c r="B35" s="22" t="s">
        <v>189</v>
      </c>
      <c r="C35" s="22" t="s">
        <v>190</v>
      </c>
      <c r="D35" s="22" t="s">
        <v>129</v>
      </c>
      <c r="E35" s="22" t="s">
        <v>121</v>
      </c>
      <c r="F35" s="22" t="s">
        <v>122</v>
      </c>
      <c r="G35" s="12" t="n">
        <v>1.15</v>
      </c>
      <c r="H35" s="11"/>
      <c r="I35" s="22" t="s">
        <v>123</v>
      </c>
      <c r="J35" s="22"/>
    </row>
    <row r="36" customFormat="false" ht="15" hidden="false" customHeight="false" outlineLevel="0" collapsed="false">
      <c r="A36" s="21" t="n">
        <v>32</v>
      </c>
      <c r="B36" s="22" t="s">
        <v>191</v>
      </c>
      <c r="C36" s="22" t="s">
        <v>192</v>
      </c>
      <c r="D36" s="22" t="s">
        <v>129</v>
      </c>
      <c r="E36" s="22" t="s">
        <v>121</v>
      </c>
      <c r="F36" s="22" t="s">
        <v>122</v>
      </c>
      <c r="G36" s="12" t="n">
        <v>1.1</v>
      </c>
      <c r="H36" s="11"/>
      <c r="I36" s="22" t="s">
        <v>123</v>
      </c>
      <c r="J36" s="22"/>
    </row>
    <row r="37" customFormat="false" ht="15" hidden="false" customHeight="false" outlineLevel="0" collapsed="false">
      <c r="A37" s="21" t="n">
        <v>33</v>
      </c>
      <c r="B37" s="22" t="s">
        <v>193</v>
      </c>
      <c r="C37" s="22" t="s">
        <v>194</v>
      </c>
      <c r="D37" s="22" t="s">
        <v>129</v>
      </c>
      <c r="E37" s="22" t="s">
        <v>121</v>
      </c>
      <c r="F37" s="22" t="s">
        <v>122</v>
      </c>
      <c r="G37" s="12" t="n">
        <v>1.15</v>
      </c>
      <c r="H37" s="11"/>
      <c r="I37" s="22" t="s">
        <v>123</v>
      </c>
      <c r="J37" s="22"/>
    </row>
    <row r="38" customFormat="false" ht="15" hidden="false" customHeight="false" outlineLevel="0" collapsed="false">
      <c r="A38" s="21" t="n">
        <v>34</v>
      </c>
      <c r="B38" s="22" t="s">
        <v>195</v>
      </c>
      <c r="C38" s="22" t="s">
        <v>196</v>
      </c>
      <c r="D38" s="22" t="s">
        <v>129</v>
      </c>
      <c r="E38" s="22" t="s">
        <v>121</v>
      </c>
      <c r="F38" s="22" t="s">
        <v>122</v>
      </c>
      <c r="G38" s="12" t="n">
        <v>1.15</v>
      </c>
      <c r="H38" s="11"/>
      <c r="I38" s="22" t="s">
        <v>123</v>
      </c>
      <c r="J38" s="22"/>
    </row>
    <row r="39" customFormat="false" ht="15" hidden="false" customHeight="false" outlineLevel="0" collapsed="false">
      <c r="A39" s="21" t="n">
        <v>35</v>
      </c>
      <c r="B39" s="22" t="s">
        <v>197</v>
      </c>
      <c r="C39" s="22" t="s">
        <v>198</v>
      </c>
      <c r="D39" s="22" t="s">
        <v>129</v>
      </c>
      <c r="E39" s="22" t="s">
        <v>121</v>
      </c>
      <c r="F39" s="22" t="s">
        <v>122</v>
      </c>
      <c r="G39" s="12" t="n">
        <v>1.1</v>
      </c>
      <c r="H39" s="11"/>
      <c r="I39" s="22" t="s">
        <v>123</v>
      </c>
      <c r="J39" s="22"/>
    </row>
    <row r="40" customFormat="false" ht="15" hidden="false" customHeight="false" outlineLevel="0" collapsed="false">
      <c r="A40" s="21" t="n">
        <v>36</v>
      </c>
      <c r="B40" s="22" t="s">
        <v>199</v>
      </c>
      <c r="C40" s="22" t="s">
        <v>200</v>
      </c>
      <c r="D40" s="22" t="s">
        <v>129</v>
      </c>
      <c r="E40" s="22" t="s">
        <v>121</v>
      </c>
      <c r="F40" s="22" t="s">
        <v>122</v>
      </c>
      <c r="G40" s="12" t="n">
        <v>1.1</v>
      </c>
      <c r="H40" s="11"/>
      <c r="I40" s="22" t="s">
        <v>123</v>
      </c>
      <c r="J40" s="22"/>
    </row>
    <row r="41" customFormat="false" ht="15" hidden="false" customHeight="false" outlineLevel="0" collapsed="false">
      <c r="A41" s="21" t="n">
        <v>37</v>
      </c>
      <c r="B41" s="22" t="s">
        <v>201</v>
      </c>
      <c r="C41" s="22" t="s">
        <v>202</v>
      </c>
      <c r="D41" s="22" t="s">
        <v>129</v>
      </c>
      <c r="E41" s="22" t="s">
        <v>121</v>
      </c>
      <c r="F41" s="22" t="s">
        <v>122</v>
      </c>
      <c r="G41" s="12" t="n">
        <v>1.25</v>
      </c>
      <c r="H41" s="11"/>
      <c r="I41" s="22" t="s">
        <v>123</v>
      </c>
      <c r="J41" s="22"/>
    </row>
    <row r="42" customFormat="false" ht="15" hidden="false" customHeight="false" outlineLevel="0" collapsed="false">
      <c r="A42" s="21" t="n">
        <v>38</v>
      </c>
      <c r="B42" s="22" t="s">
        <v>203</v>
      </c>
      <c r="C42" s="22" t="s">
        <v>204</v>
      </c>
      <c r="D42" s="22" t="s">
        <v>129</v>
      </c>
      <c r="E42" s="22" t="s">
        <v>121</v>
      </c>
      <c r="F42" s="22" t="s">
        <v>122</v>
      </c>
      <c r="G42" s="12" t="n">
        <v>1.15</v>
      </c>
      <c r="H42" s="11"/>
      <c r="I42" s="22" t="s">
        <v>123</v>
      </c>
      <c r="J42" s="22"/>
    </row>
    <row r="43" customFormat="false" ht="15" hidden="false" customHeight="false" outlineLevel="0" collapsed="false">
      <c r="A43" s="21" t="n">
        <v>39</v>
      </c>
      <c r="B43" s="22" t="s">
        <v>205</v>
      </c>
      <c r="C43" s="22" t="s">
        <v>206</v>
      </c>
      <c r="D43" s="22" t="s">
        <v>129</v>
      </c>
      <c r="E43" s="22" t="s">
        <v>121</v>
      </c>
      <c r="F43" s="22" t="s">
        <v>122</v>
      </c>
      <c r="G43" s="12" t="n">
        <v>1.1</v>
      </c>
      <c r="H43" s="11"/>
      <c r="I43" s="22" t="s">
        <v>123</v>
      </c>
      <c r="J43" s="22"/>
    </row>
    <row r="44" customFormat="false" ht="15" hidden="false" customHeight="false" outlineLevel="0" collapsed="false">
      <c r="A44" s="21" t="n">
        <v>40</v>
      </c>
      <c r="B44" s="22" t="s">
        <v>207</v>
      </c>
      <c r="C44" s="22" t="s">
        <v>208</v>
      </c>
      <c r="D44" s="22" t="s">
        <v>129</v>
      </c>
      <c r="E44" s="22" t="s">
        <v>121</v>
      </c>
      <c r="F44" s="22" t="s">
        <v>122</v>
      </c>
      <c r="G44" s="12" t="n">
        <v>1.1</v>
      </c>
      <c r="H44" s="11"/>
      <c r="I44" s="22" t="s">
        <v>123</v>
      </c>
      <c r="J44" s="22"/>
    </row>
    <row r="45" customFormat="false" ht="15" hidden="false" customHeight="false" outlineLevel="0" collapsed="false">
      <c r="A45" s="21" t="n">
        <v>41</v>
      </c>
      <c r="B45" s="22" t="s">
        <v>209</v>
      </c>
      <c r="C45" s="22" t="s">
        <v>210</v>
      </c>
      <c r="D45" s="22" t="s">
        <v>129</v>
      </c>
      <c r="E45" s="22" t="s">
        <v>121</v>
      </c>
      <c r="F45" s="22" t="s">
        <v>122</v>
      </c>
      <c r="G45" s="12" t="n">
        <v>1.1</v>
      </c>
      <c r="H45" s="11"/>
      <c r="I45" s="22" t="s">
        <v>123</v>
      </c>
      <c r="J45" s="22"/>
    </row>
    <row r="46" customFormat="false" ht="15" hidden="false" customHeight="false" outlineLevel="0" collapsed="false">
      <c r="A46" s="21" t="n">
        <v>42</v>
      </c>
      <c r="B46" s="22" t="s">
        <v>211</v>
      </c>
      <c r="C46" s="22" t="s">
        <v>212</v>
      </c>
      <c r="D46" s="22" t="s">
        <v>129</v>
      </c>
      <c r="E46" s="22" t="s">
        <v>121</v>
      </c>
      <c r="F46" s="22" t="s">
        <v>122</v>
      </c>
      <c r="G46" s="12" t="n">
        <v>1.1</v>
      </c>
      <c r="H46" s="11"/>
      <c r="I46" s="22" t="s">
        <v>123</v>
      </c>
      <c r="J46" s="22"/>
    </row>
    <row r="47" customFormat="false" ht="15" hidden="false" customHeight="false" outlineLevel="0" collapsed="false">
      <c r="A47" s="21" t="n">
        <v>43</v>
      </c>
      <c r="B47" s="22" t="s">
        <v>213</v>
      </c>
      <c r="C47" s="22" t="s">
        <v>214</v>
      </c>
      <c r="D47" s="22" t="s">
        <v>129</v>
      </c>
      <c r="E47" s="22" t="s">
        <v>121</v>
      </c>
      <c r="F47" s="22" t="s">
        <v>122</v>
      </c>
      <c r="G47" s="12" t="n">
        <v>1.1</v>
      </c>
      <c r="H47" s="11"/>
      <c r="I47" s="22" t="s">
        <v>151</v>
      </c>
      <c r="J47" s="22"/>
    </row>
    <row r="48" customFormat="false" ht="15" hidden="false" customHeight="false" outlineLevel="0" collapsed="false">
      <c r="A48" s="21" t="n">
        <v>44</v>
      </c>
      <c r="B48" s="22" t="s">
        <v>215</v>
      </c>
      <c r="C48" s="22" t="s">
        <v>216</v>
      </c>
      <c r="D48" s="22" t="s">
        <v>217</v>
      </c>
      <c r="E48" s="22" t="s">
        <v>121</v>
      </c>
      <c r="F48" s="22" t="s">
        <v>218</v>
      </c>
      <c r="G48" s="12"/>
      <c r="H48" s="11" t="n">
        <v>270000</v>
      </c>
      <c r="I48" s="22" t="s">
        <v>219</v>
      </c>
      <c r="J48" s="22" t="s">
        <v>220</v>
      </c>
    </row>
    <row r="49" customFormat="false" ht="15" hidden="false" customHeight="false" outlineLevel="0" collapsed="false">
      <c r="A49" s="21" t="n">
        <v>45</v>
      </c>
      <c r="B49" s="22" t="s">
        <v>221</v>
      </c>
      <c r="C49" s="22" t="s">
        <v>222</v>
      </c>
      <c r="D49" s="22" t="s">
        <v>223</v>
      </c>
      <c r="E49" s="22" t="s">
        <v>224</v>
      </c>
      <c r="F49" s="22" t="s">
        <v>225</v>
      </c>
      <c r="G49" s="12"/>
      <c r="H49" s="11"/>
      <c r="I49" s="22" t="s">
        <v>123</v>
      </c>
      <c r="J49" s="22" t="s">
        <v>226</v>
      </c>
    </row>
    <row r="50" customFormat="false" ht="15" hidden="false" customHeight="false" outlineLevel="0" collapsed="false">
      <c r="A50" s="21" t="n">
        <v>46</v>
      </c>
      <c r="B50" s="22" t="s">
        <v>227</v>
      </c>
      <c r="C50" s="22" t="s">
        <v>228</v>
      </c>
      <c r="D50" s="22" t="s">
        <v>223</v>
      </c>
      <c r="E50" s="22" t="s">
        <v>224</v>
      </c>
      <c r="F50" s="22" t="s">
        <v>225</v>
      </c>
      <c r="G50" s="12"/>
      <c r="H50" s="11"/>
      <c r="I50" s="22" t="s">
        <v>123</v>
      </c>
      <c r="J50" s="22" t="s">
        <v>226</v>
      </c>
    </row>
    <row r="51" customFormat="false" ht="15" hidden="false" customHeight="false" outlineLevel="0" collapsed="false">
      <c r="A51" s="21" t="n">
        <v>47</v>
      </c>
      <c r="B51" s="22" t="s">
        <v>229</v>
      </c>
      <c r="C51" s="22" t="s">
        <v>230</v>
      </c>
      <c r="D51" s="22" t="s">
        <v>223</v>
      </c>
      <c r="E51" s="22" t="s">
        <v>224</v>
      </c>
      <c r="F51" s="22" t="s">
        <v>225</v>
      </c>
      <c r="G51" s="12"/>
      <c r="H51" s="11"/>
      <c r="I51" s="22" t="s">
        <v>123</v>
      </c>
      <c r="J51" s="22" t="s">
        <v>226</v>
      </c>
    </row>
    <row r="52" customFormat="false" ht="15" hidden="false" customHeight="false" outlineLevel="0" collapsed="false">
      <c r="A52" s="21" t="n">
        <v>48</v>
      </c>
      <c r="B52" s="22" t="s">
        <v>231</v>
      </c>
      <c r="C52" s="22" t="s">
        <v>232</v>
      </c>
      <c r="D52" s="22" t="s">
        <v>223</v>
      </c>
      <c r="E52" s="22" t="s">
        <v>224</v>
      </c>
      <c r="F52" s="22" t="s">
        <v>225</v>
      </c>
      <c r="G52" s="12"/>
      <c r="H52" s="11"/>
      <c r="I52" s="22" t="s">
        <v>123</v>
      </c>
      <c r="J52" s="22" t="s">
        <v>226</v>
      </c>
    </row>
    <row r="53" customFormat="false" ht="15" hidden="false" customHeight="false" outlineLevel="0" collapsed="false">
      <c r="A53" s="21" t="n">
        <v>49</v>
      </c>
      <c r="B53" s="22" t="s">
        <v>233</v>
      </c>
      <c r="C53" s="22" t="s">
        <v>234</v>
      </c>
      <c r="D53" s="22" t="s">
        <v>223</v>
      </c>
      <c r="E53" s="22" t="s">
        <v>224</v>
      </c>
      <c r="F53" s="22" t="s">
        <v>225</v>
      </c>
      <c r="G53" s="12"/>
      <c r="H53" s="11"/>
      <c r="I53" s="22" t="s">
        <v>123</v>
      </c>
      <c r="J53" s="22" t="s">
        <v>226</v>
      </c>
    </row>
    <row r="54" customFormat="false" ht="15" hidden="false" customHeight="false" outlineLevel="0" collapsed="false">
      <c r="A54" s="21" t="n">
        <v>50</v>
      </c>
      <c r="B54" s="22" t="s">
        <v>235</v>
      </c>
      <c r="C54" s="22" t="s">
        <v>236</v>
      </c>
      <c r="D54" s="22" t="s">
        <v>223</v>
      </c>
      <c r="E54" s="22" t="s">
        <v>224</v>
      </c>
      <c r="F54" s="22" t="s">
        <v>225</v>
      </c>
      <c r="G54" s="12"/>
      <c r="H54" s="11"/>
      <c r="I54" s="22" t="s">
        <v>123</v>
      </c>
      <c r="J54" s="22" t="s">
        <v>226</v>
      </c>
    </row>
  </sheetData>
  <sheetProtection sheet="true" formatColumns="false" formatRows="false" insertRows="false" sort="false" autoFilter="false"/>
  <dataValidations count="2">
    <dataValidation allowBlank="true" errorStyle="stop" operator="between" showDropDown="false" showErrorMessage="false" showInputMessage="false" sqref="F5:F300" type="list">
      <formula1>"Khoán,Công nhật,Lái xe"</formula1>
      <formula2>0</formula2>
    </dataValidation>
    <dataValidation allowBlank="true" errorStyle="stop" operator="between" showDropDown="false" showErrorMessage="false" showInputMessage="false" sqref="I5:I300" type="list">
      <formula1>"Chính thức,Thử việc,Thời vụ,Đã nghỉ"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4" min="4" style="0" width="9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2" t="s">
        <v>238</v>
      </c>
    </row>
    <row r="4" customFormat="false" ht="30" hidden="false" customHeight="true" outlineLevel="0" collapsed="false">
      <c r="A4" s="18" t="s">
        <v>108</v>
      </c>
      <c r="B4" s="18" t="s">
        <v>239</v>
      </c>
      <c r="C4" s="18" t="s">
        <v>240</v>
      </c>
      <c r="D4" s="18" t="s">
        <v>241</v>
      </c>
      <c r="E4" s="18" t="s">
        <v>242</v>
      </c>
      <c r="F4" s="18" t="s">
        <v>243</v>
      </c>
      <c r="G4" s="18" t="s">
        <v>244</v>
      </c>
      <c r="H4" s="18" t="s">
        <v>245</v>
      </c>
      <c r="I4" s="18" t="s">
        <v>117</v>
      </c>
    </row>
    <row r="5" customFormat="false" ht="15" hidden="false" customHeight="false" outlineLevel="0" collapsed="false">
      <c r="A5" s="21" t="n">
        <v>1</v>
      </c>
      <c r="B5" s="22" t="s">
        <v>246</v>
      </c>
      <c r="C5" s="22" t="s">
        <v>247</v>
      </c>
      <c r="D5" s="23" t="n">
        <v>0.5</v>
      </c>
      <c r="E5" s="11" t="n">
        <v>200000</v>
      </c>
      <c r="F5" s="20" t="n">
        <f aca="false">D5*E5</f>
        <v>100000</v>
      </c>
      <c r="G5" s="22" t="s">
        <v>118</v>
      </c>
      <c r="H5" s="24" t="str">
        <f aca="false">IF(G5="","",IFERROR(INDEX(NV_TEN,MATCH(G5,NV_MA,0)),"MÃ KHÔNG CÓ"))</f>
        <v>Lê Vang</v>
      </c>
      <c r="I5" s="22" t="s">
        <v>248</v>
      </c>
    </row>
    <row r="6" customFormat="false" ht="15" hidden="false" customHeight="false" outlineLevel="0" collapsed="false">
      <c r="A6" s="21" t="n">
        <v>2</v>
      </c>
      <c r="B6" s="22" t="s">
        <v>246</v>
      </c>
      <c r="C6" s="22" t="s">
        <v>249</v>
      </c>
      <c r="D6" s="23" t="n">
        <v>0.5</v>
      </c>
      <c r="E6" s="11" t="n">
        <v>200000</v>
      </c>
      <c r="F6" s="20" t="n">
        <f aca="false">D6*E6</f>
        <v>100000</v>
      </c>
      <c r="G6" s="22" t="s">
        <v>134</v>
      </c>
      <c r="H6" s="24" t="str">
        <f aca="false">IF(G6="","",IFERROR(INDEX(NV_TEN,MATCH(G6,NV_MA,0)),"MÃ KHÔNG CÓ"))</f>
        <v>Phạm Bá Lượng</v>
      </c>
      <c r="I6" s="22"/>
    </row>
    <row r="7" customFormat="false" ht="15" hidden="false" customHeight="false" outlineLevel="0" collapsed="false">
      <c r="A7" s="21" t="n">
        <v>3</v>
      </c>
      <c r="B7" s="22" t="s">
        <v>246</v>
      </c>
      <c r="C7" s="22" t="s">
        <v>250</v>
      </c>
      <c r="D7" s="23" t="n">
        <v>1</v>
      </c>
      <c r="E7" s="11" t="n">
        <v>200000</v>
      </c>
      <c r="F7" s="20" t="n">
        <f aca="false">D7*E7</f>
        <v>200000</v>
      </c>
      <c r="G7" s="22" t="s">
        <v>176</v>
      </c>
      <c r="H7" s="24" t="str">
        <f aca="false">IF(G7="","",IFERROR(INDEX(NV_TEN,MATCH(G7,NV_MA,0)),"MÃ KHÔNG CÓ"))</f>
        <v>Trần Văn Hiền</v>
      </c>
      <c r="I7" s="22"/>
    </row>
    <row r="8" customFormat="false" ht="15" hidden="false" customHeight="false" outlineLevel="0" collapsed="false">
      <c r="A8" s="21" t="n">
        <v>4</v>
      </c>
      <c r="B8" s="22" t="s">
        <v>251</v>
      </c>
      <c r="C8" s="22" t="s">
        <v>252</v>
      </c>
      <c r="D8" s="23" t="n">
        <v>4</v>
      </c>
      <c r="E8" s="11" t="n">
        <v>200000</v>
      </c>
      <c r="F8" s="20" t="n">
        <f aca="false">D8*E8</f>
        <v>800000</v>
      </c>
      <c r="G8" s="22"/>
      <c r="H8" s="24" t="str">
        <f aca="false">IF(G8="","",IFERROR(INDEX(NV_TEN,MATCH(G8,NV_MA,0)),"MÃ KHÔNG CÓ"))</f>
        <v/>
      </c>
      <c r="I8" s="22"/>
    </row>
    <row r="9" customFormat="false" ht="15" hidden="false" customHeight="false" outlineLevel="0" collapsed="false">
      <c r="A9" s="21" t="n">
        <v>5</v>
      </c>
      <c r="B9" s="22" t="s">
        <v>253</v>
      </c>
      <c r="C9" s="22" t="s">
        <v>254</v>
      </c>
      <c r="D9" s="23" t="n">
        <v>5</v>
      </c>
      <c r="E9" s="11" t="n">
        <v>200000</v>
      </c>
      <c r="F9" s="20" t="n">
        <f aca="false">D9*E9</f>
        <v>1000000</v>
      </c>
      <c r="G9" s="22"/>
      <c r="H9" s="24" t="str">
        <f aca="false">IF(G9="","",IFERROR(INDEX(NV_TEN,MATCH(G9,NV_MA,0)),"MÃ KHÔNG CÓ"))</f>
        <v/>
      </c>
      <c r="I9" s="22"/>
    </row>
    <row r="10" customFormat="false" ht="15" hidden="false" customHeight="false" outlineLevel="0" collapsed="false">
      <c r="A10" s="21" t="n">
        <v>6</v>
      </c>
      <c r="B10" s="22" t="s">
        <v>255</v>
      </c>
      <c r="C10" s="22" t="s">
        <v>256</v>
      </c>
      <c r="D10" s="23" t="n">
        <v>10</v>
      </c>
      <c r="E10" s="11" t="n">
        <v>200000</v>
      </c>
      <c r="F10" s="20" t="n">
        <f aca="false">D10*E10</f>
        <v>2000000</v>
      </c>
      <c r="G10" s="22"/>
      <c r="H10" s="24" t="str">
        <f aca="false">IF(G10="","",IFERROR(INDEX(NV_TEN,MATCH(G10,NV_MA,0)),"MÃ KHÔNG CÓ"))</f>
        <v/>
      </c>
      <c r="I10" s="22"/>
    </row>
    <row r="11" customFormat="false" ht="15" hidden="false" customHeight="false" outlineLevel="0" collapsed="false">
      <c r="A11" s="21" t="n">
        <v>7</v>
      </c>
      <c r="B11" s="22" t="s">
        <v>257</v>
      </c>
      <c r="C11" s="22" t="s">
        <v>258</v>
      </c>
      <c r="D11" s="23" t="n">
        <v>4</v>
      </c>
      <c r="E11" s="11" t="n">
        <v>100000</v>
      </c>
      <c r="F11" s="20" t="n">
        <f aca="false">D11*E11</f>
        <v>400000</v>
      </c>
      <c r="G11" s="22"/>
      <c r="H11" s="24" t="str">
        <f aca="false">IF(G11="","",IFERROR(INDEX(NV_TEN,MATCH(G11,NV_MA,0)),"MÃ KHÔNG CÓ"))</f>
        <v/>
      </c>
      <c r="I11" s="22"/>
    </row>
    <row r="12" customFormat="false" ht="15" hidden="false" customHeight="false" outlineLevel="0" collapsed="false">
      <c r="A12" s="21" t="n">
        <v>8</v>
      </c>
      <c r="B12" s="22" t="s">
        <v>257</v>
      </c>
      <c r="C12" s="22" t="s">
        <v>259</v>
      </c>
      <c r="D12" s="23" t="n">
        <v>101.5</v>
      </c>
      <c r="E12" s="11" t="n">
        <v>-300000</v>
      </c>
      <c r="F12" s="20" t="n">
        <f aca="false">D12*E12</f>
        <v>-30450000</v>
      </c>
      <c r="G12" s="22"/>
      <c r="H12" s="24" t="str">
        <f aca="false">IF(G12="","",IFERROR(INDEX(NV_TEN,MATCH(G12,NV_MA,0)),"MÃ KHÔNG CÓ"))</f>
        <v/>
      </c>
      <c r="I12" s="22" t="s">
        <v>260</v>
      </c>
    </row>
    <row r="13" customFormat="false" ht="15" hidden="false" customHeight="false" outlineLevel="0" collapsed="false">
      <c r="A13" s="21" t="n">
        <v>9</v>
      </c>
      <c r="B13" s="22" t="s">
        <v>257</v>
      </c>
      <c r="C13" s="22" t="s">
        <v>261</v>
      </c>
      <c r="D13" s="23" t="n">
        <v>38</v>
      </c>
      <c r="E13" s="11" t="n">
        <v>100000</v>
      </c>
      <c r="F13" s="20" t="n">
        <f aca="false">D13*E13</f>
        <v>3800000</v>
      </c>
      <c r="G13" s="22"/>
      <c r="H13" s="24" t="str">
        <f aca="false">IF(G13="","",IFERROR(INDEX(NV_TEN,MATCH(G13,NV_MA,0)),"MÃ KHÔNG CÓ"))</f>
        <v/>
      </c>
      <c r="I13" s="22"/>
    </row>
    <row r="14" customFormat="false" ht="15" hidden="false" customHeight="false" outlineLevel="0" collapsed="false">
      <c r="A14" s="24"/>
      <c r="B14" s="25"/>
      <c r="C14" s="25"/>
      <c r="D14" s="25"/>
      <c r="E14" s="25"/>
      <c r="F14" s="20" t="n">
        <f aca="false">IF(D14="",0,D14*E14)</f>
        <v>0</v>
      </c>
      <c r="G14" s="25"/>
      <c r="H14" s="24" t="str">
        <f aca="false">IF(G14="","",IFERROR(INDEX(NV_TEN,MATCH(G14,NV_MA,0)),"MÃ KHÔNG CÓ"))</f>
        <v/>
      </c>
      <c r="I14" s="25"/>
    </row>
    <row r="15" customFormat="false" ht="15" hidden="false" customHeight="false" outlineLevel="0" collapsed="false">
      <c r="A15" s="24"/>
      <c r="B15" s="25"/>
      <c r="C15" s="25"/>
      <c r="D15" s="25"/>
      <c r="E15" s="25"/>
      <c r="F15" s="20" t="n">
        <f aca="false">IF(D15="",0,D15*E15)</f>
        <v>0</v>
      </c>
      <c r="G15" s="25"/>
      <c r="H15" s="24" t="str">
        <f aca="false">IF(G15="","",IFERROR(INDEX(NV_TEN,MATCH(G15,NV_MA,0)),"MÃ KHÔNG CÓ"))</f>
        <v/>
      </c>
      <c r="I15" s="25"/>
    </row>
    <row r="16" customFormat="false" ht="15" hidden="false" customHeight="false" outlineLevel="0" collapsed="false">
      <c r="A16" s="24"/>
      <c r="B16" s="25"/>
      <c r="C16" s="25"/>
      <c r="D16" s="25"/>
      <c r="E16" s="25"/>
      <c r="F16" s="20" t="n">
        <f aca="false">IF(D16="",0,D16*E16)</f>
        <v>0</v>
      </c>
      <c r="G16" s="25"/>
      <c r="H16" s="24" t="str">
        <f aca="false">IF(G16="","",IFERROR(INDEX(NV_TEN,MATCH(G16,NV_MA,0)),"MÃ KHÔNG CÓ"))</f>
        <v/>
      </c>
      <c r="I16" s="25"/>
    </row>
    <row r="17" customFormat="false" ht="15" hidden="false" customHeight="false" outlineLevel="0" collapsed="false">
      <c r="A17" s="24"/>
      <c r="B17" s="25"/>
      <c r="C17" s="25"/>
      <c r="D17" s="25"/>
      <c r="E17" s="25"/>
      <c r="F17" s="20" t="n">
        <f aca="false">IF(D17="",0,D17*E17)</f>
        <v>0</v>
      </c>
      <c r="G17" s="25"/>
      <c r="H17" s="24" t="str">
        <f aca="false">IF(G17="","",IFERROR(INDEX(NV_TEN,MATCH(G17,NV_MA,0)),"MÃ KHÔNG CÓ"))</f>
        <v/>
      </c>
      <c r="I17" s="25"/>
    </row>
    <row r="18" customFormat="false" ht="15" hidden="false" customHeight="false" outlineLevel="0" collapsed="false">
      <c r="A18" s="24"/>
      <c r="B18" s="25"/>
      <c r="C18" s="25"/>
      <c r="D18" s="25"/>
      <c r="E18" s="25"/>
      <c r="F18" s="20" t="n">
        <f aca="false">IF(D18="",0,D18*E18)</f>
        <v>0</v>
      </c>
      <c r="G18" s="25"/>
      <c r="H18" s="24" t="str">
        <f aca="false">IF(G18="","",IFERROR(INDEX(NV_TEN,MATCH(G18,NV_MA,0)),"MÃ KHÔNG CÓ"))</f>
        <v/>
      </c>
      <c r="I18" s="25"/>
    </row>
    <row r="19" customFormat="false" ht="15" hidden="false" customHeight="false" outlineLevel="0" collapsed="false">
      <c r="A19" s="24"/>
      <c r="B19" s="25"/>
      <c r="C19" s="25"/>
      <c r="D19" s="25"/>
      <c r="E19" s="25"/>
      <c r="F19" s="20" t="n">
        <f aca="false">IF(D19="",0,D19*E19)</f>
        <v>0</v>
      </c>
      <c r="G19" s="25"/>
      <c r="H19" s="24" t="str">
        <f aca="false">IF(G19="","",IFERROR(INDEX(NV_TEN,MATCH(G19,NV_MA,0)),"MÃ KHÔNG CÓ"))</f>
        <v/>
      </c>
      <c r="I19" s="25"/>
    </row>
    <row r="20" customFormat="false" ht="15" hidden="false" customHeight="false" outlineLevel="0" collapsed="false">
      <c r="A20" s="24"/>
      <c r="B20" s="25"/>
      <c r="C20" s="25"/>
      <c r="D20" s="25"/>
      <c r="E20" s="25"/>
      <c r="F20" s="20" t="n">
        <f aca="false">IF(D20="",0,D20*E20)</f>
        <v>0</v>
      </c>
      <c r="G20" s="25"/>
      <c r="H20" s="24" t="str">
        <f aca="false">IF(G20="","",IFERROR(INDEX(NV_TEN,MATCH(G20,NV_MA,0)),"MÃ KHÔNG CÓ"))</f>
        <v/>
      </c>
      <c r="I20" s="25"/>
    </row>
    <row r="21" customFormat="false" ht="15" hidden="false" customHeight="false" outlineLevel="0" collapsed="false">
      <c r="A21" s="24"/>
      <c r="B21" s="25"/>
      <c r="C21" s="25"/>
      <c r="D21" s="25"/>
      <c r="E21" s="25"/>
      <c r="F21" s="20" t="n">
        <f aca="false">IF(D21="",0,D21*E21)</f>
        <v>0</v>
      </c>
      <c r="G21" s="25"/>
      <c r="H21" s="24" t="str">
        <f aca="false">IF(G21="","",IFERROR(INDEX(NV_TEN,MATCH(G21,NV_MA,0)),"MÃ KHÔNG CÓ"))</f>
        <v/>
      </c>
      <c r="I21" s="25"/>
    </row>
    <row r="22" customFormat="false" ht="15" hidden="false" customHeight="false" outlineLevel="0" collapsed="false">
      <c r="A22" s="24"/>
      <c r="B22" s="25"/>
      <c r="C22" s="25"/>
      <c r="D22" s="25"/>
      <c r="E22" s="25"/>
      <c r="F22" s="20" t="n">
        <f aca="false">IF(D22="",0,D22*E22)</f>
        <v>0</v>
      </c>
      <c r="G22" s="25"/>
      <c r="H22" s="24" t="str">
        <f aca="false">IF(G22="","",IFERROR(INDEX(NV_TEN,MATCH(G22,NV_MA,0)),"MÃ KHÔNG CÓ"))</f>
        <v/>
      </c>
      <c r="I22" s="25"/>
    </row>
    <row r="23" customFormat="false" ht="15" hidden="false" customHeight="false" outlineLevel="0" collapsed="false">
      <c r="A23" s="24"/>
      <c r="B23" s="25"/>
      <c r="C23" s="25"/>
      <c r="D23" s="25"/>
      <c r="E23" s="25"/>
      <c r="F23" s="20" t="n">
        <f aca="false">IF(D23="",0,D23*E23)</f>
        <v>0</v>
      </c>
      <c r="G23" s="25"/>
      <c r="H23" s="24" t="str">
        <f aca="false">IF(G23="","",IFERROR(INDEX(NV_TEN,MATCH(G23,NV_MA,0)),"MÃ KHÔNG CÓ"))</f>
        <v/>
      </c>
      <c r="I23" s="25"/>
    </row>
    <row r="24" customFormat="false" ht="15" hidden="false" customHeight="false" outlineLevel="0" collapsed="false">
      <c r="A24" s="24"/>
      <c r="B24" s="25"/>
      <c r="C24" s="25"/>
      <c r="D24" s="25"/>
      <c r="E24" s="25"/>
      <c r="F24" s="20" t="n">
        <f aca="false">IF(D24="",0,D24*E24)</f>
        <v>0</v>
      </c>
      <c r="G24" s="25"/>
      <c r="H24" s="24" t="str">
        <f aca="false">IF(G24="","",IFERROR(INDEX(NV_TEN,MATCH(G24,NV_MA,0)),"MÃ KHÔNG CÓ"))</f>
        <v/>
      </c>
      <c r="I24" s="25"/>
    </row>
    <row r="25" customFormat="false" ht="15" hidden="false" customHeight="false" outlineLevel="0" collapsed="false">
      <c r="A25" s="24"/>
      <c r="B25" s="25"/>
      <c r="C25" s="25"/>
      <c r="D25" s="25"/>
      <c r="E25" s="25"/>
      <c r="F25" s="20" t="n">
        <f aca="false">IF(D25="",0,D25*E25)</f>
        <v>0</v>
      </c>
      <c r="G25" s="25"/>
      <c r="H25" s="24" t="str">
        <f aca="false">IF(G25="","",IFERROR(INDEX(NV_TEN,MATCH(G25,NV_MA,0)),"MÃ KHÔNG CÓ"))</f>
        <v/>
      </c>
      <c r="I25" s="25"/>
    </row>
    <row r="26" customFormat="false" ht="15" hidden="false" customHeight="false" outlineLevel="0" collapsed="false">
      <c r="A26" s="24"/>
      <c r="B26" s="25"/>
      <c r="C26" s="25"/>
      <c r="D26" s="25"/>
      <c r="E26" s="25"/>
      <c r="F26" s="20" t="n">
        <f aca="false">IF(D26="",0,D26*E26)</f>
        <v>0</v>
      </c>
      <c r="G26" s="25"/>
      <c r="H26" s="24" t="str">
        <f aca="false">IF(G26="","",IFERROR(INDEX(NV_TEN,MATCH(G26,NV_MA,0)),"MÃ KHÔNG CÓ"))</f>
        <v/>
      </c>
      <c r="I26" s="25"/>
    </row>
    <row r="27" customFormat="false" ht="15" hidden="false" customHeight="false" outlineLevel="0" collapsed="false">
      <c r="A27" s="24"/>
      <c r="B27" s="25"/>
      <c r="C27" s="25"/>
      <c r="D27" s="25"/>
      <c r="E27" s="25"/>
      <c r="F27" s="20" t="n">
        <f aca="false">IF(D27="",0,D27*E27)</f>
        <v>0</v>
      </c>
      <c r="G27" s="25"/>
      <c r="H27" s="24" t="str">
        <f aca="false">IF(G27="","",IFERROR(INDEX(NV_TEN,MATCH(G27,NV_MA,0)),"MÃ KHÔNG CÓ"))</f>
        <v/>
      </c>
      <c r="I27" s="25"/>
    </row>
    <row r="28" customFormat="false" ht="15" hidden="false" customHeight="false" outlineLevel="0" collapsed="false">
      <c r="A28" s="24"/>
      <c r="B28" s="25"/>
      <c r="C28" s="25"/>
      <c r="D28" s="25"/>
      <c r="E28" s="25"/>
      <c r="F28" s="20" t="n">
        <f aca="false">IF(D28="",0,D28*E28)</f>
        <v>0</v>
      </c>
      <c r="G28" s="25"/>
      <c r="H28" s="24" t="str">
        <f aca="false">IF(G28="","",IFERROR(INDEX(NV_TEN,MATCH(G28,NV_MA,0)),"MÃ KHÔNG CÓ"))</f>
        <v/>
      </c>
      <c r="I28" s="25"/>
    </row>
    <row r="29" customFormat="false" ht="15" hidden="false" customHeight="false" outlineLevel="0" collapsed="false">
      <c r="A29" s="24"/>
      <c r="B29" s="25"/>
      <c r="C29" s="25"/>
      <c r="D29" s="25"/>
      <c r="E29" s="25"/>
      <c r="F29" s="20" t="n">
        <f aca="false">IF(D29="",0,D29*E29)</f>
        <v>0</v>
      </c>
      <c r="G29" s="25"/>
      <c r="H29" s="24" t="str">
        <f aca="false">IF(G29="","",IFERROR(INDEX(NV_TEN,MATCH(G29,NV_MA,0)),"MÃ KHÔNG CÓ"))</f>
        <v/>
      </c>
      <c r="I29" s="25"/>
    </row>
    <row r="30" customFormat="false" ht="15" hidden="false" customHeight="false" outlineLevel="0" collapsed="false">
      <c r="A30" s="24"/>
      <c r="B30" s="25"/>
      <c r="C30" s="25"/>
      <c r="D30" s="25"/>
      <c r="E30" s="25"/>
      <c r="F30" s="20" t="n">
        <f aca="false">IF(D30="",0,D30*E30)</f>
        <v>0</v>
      </c>
      <c r="G30" s="25"/>
      <c r="H30" s="24" t="str">
        <f aca="false">IF(G30="","",IFERROR(INDEX(NV_TEN,MATCH(G30,NV_MA,0)),"MÃ KHÔNG CÓ"))</f>
        <v/>
      </c>
      <c r="I30" s="25"/>
    </row>
    <row r="31" customFormat="false" ht="15" hidden="false" customHeight="false" outlineLevel="0" collapsed="false">
      <c r="A31" s="24"/>
      <c r="B31" s="25"/>
      <c r="C31" s="25"/>
      <c r="D31" s="25"/>
      <c r="E31" s="25"/>
      <c r="F31" s="20" t="n">
        <f aca="false">IF(D31="",0,D31*E31)</f>
        <v>0</v>
      </c>
      <c r="G31" s="25"/>
      <c r="H31" s="24" t="str">
        <f aca="false">IF(G31="","",IFERROR(INDEX(NV_TEN,MATCH(G31,NV_MA,0)),"MÃ KHÔNG CÓ"))</f>
        <v/>
      </c>
      <c r="I31" s="25"/>
    </row>
    <row r="32" customFormat="false" ht="15" hidden="false" customHeight="false" outlineLevel="0" collapsed="false">
      <c r="A32" s="24"/>
      <c r="B32" s="25"/>
      <c r="C32" s="25"/>
      <c r="D32" s="25"/>
      <c r="E32" s="25"/>
      <c r="F32" s="20" t="n">
        <f aca="false">IF(D32="",0,D32*E32)</f>
        <v>0</v>
      </c>
      <c r="G32" s="25"/>
      <c r="H32" s="24" t="str">
        <f aca="false">IF(G32="","",IFERROR(INDEX(NV_TEN,MATCH(G32,NV_MA,0)),"MÃ KHÔNG CÓ"))</f>
        <v/>
      </c>
      <c r="I32" s="25"/>
    </row>
    <row r="33" customFormat="false" ht="15" hidden="false" customHeight="false" outlineLevel="0" collapsed="false">
      <c r="A33" s="24"/>
      <c r="B33" s="25"/>
      <c r="C33" s="25"/>
      <c r="D33" s="25"/>
      <c r="E33" s="25"/>
      <c r="F33" s="20" t="n">
        <f aca="false">IF(D33="",0,D33*E33)</f>
        <v>0</v>
      </c>
      <c r="G33" s="25"/>
      <c r="H33" s="24" t="str">
        <f aca="false">IF(G33="","",IFERROR(INDEX(NV_TEN,MATCH(G33,NV_MA,0)),"MÃ KHÔNG CÓ"))</f>
        <v/>
      </c>
      <c r="I33" s="25"/>
    </row>
    <row r="34" customFormat="false" ht="15" hidden="false" customHeight="false" outlineLevel="0" collapsed="false">
      <c r="A34" s="24"/>
      <c r="B34" s="25"/>
      <c r="C34" s="25"/>
      <c r="D34" s="25"/>
      <c r="E34" s="25"/>
      <c r="F34" s="20" t="n">
        <f aca="false">IF(D34="",0,D34*E34)</f>
        <v>0</v>
      </c>
      <c r="G34" s="25"/>
      <c r="H34" s="24" t="str">
        <f aca="false">IF(G34="","",IFERROR(INDEX(NV_TEN,MATCH(G34,NV_MA,0)),"MÃ KHÔNG CÓ"))</f>
        <v/>
      </c>
      <c r="I34" s="25"/>
    </row>
    <row r="35" customFormat="false" ht="15" hidden="false" customHeight="false" outlineLevel="0" collapsed="false">
      <c r="A35" s="24"/>
      <c r="B35" s="25"/>
      <c r="C35" s="25"/>
      <c r="D35" s="25"/>
      <c r="E35" s="25"/>
      <c r="F35" s="20" t="n">
        <f aca="false">IF(D35="",0,D35*E35)</f>
        <v>0</v>
      </c>
      <c r="G35" s="25"/>
      <c r="H35" s="24" t="str">
        <f aca="false">IF(G35="","",IFERROR(INDEX(NV_TEN,MATCH(G35,NV_MA,0)),"MÃ KHÔNG CÓ"))</f>
        <v/>
      </c>
      <c r="I35" s="25"/>
    </row>
    <row r="36" customFormat="false" ht="15" hidden="false" customHeight="false" outlineLevel="0" collapsed="false">
      <c r="A36" s="24"/>
      <c r="B36" s="25"/>
      <c r="C36" s="25"/>
      <c r="D36" s="25"/>
      <c r="E36" s="25"/>
      <c r="F36" s="20" t="n">
        <f aca="false">IF(D36="",0,D36*E36)</f>
        <v>0</v>
      </c>
      <c r="G36" s="25"/>
      <c r="H36" s="24" t="str">
        <f aca="false">IF(G36="","",IFERROR(INDEX(NV_TEN,MATCH(G36,NV_MA,0)),"MÃ KHÔNG CÓ"))</f>
        <v/>
      </c>
      <c r="I36" s="25"/>
    </row>
    <row r="37" customFormat="false" ht="15" hidden="false" customHeight="false" outlineLevel="0" collapsed="false">
      <c r="A37" s="24"/>
      <c r="B37" s="25"/>
      <c r="C37" s="25"/>
      <c r="D37" s="25"/>
      <c r="E37" s="25"/>
      <c r="F37" s="20" t="n">
        <f aca="false">IF(D37="",0,D37*E37)</f>
        <v>0</v>
      </c>
      <c r="G37" s="25"/>
      <c r="H37" s="24" t="str">
        <f aca="false">IF(G37="","",IFERROR(INDEX(NV_TEN,MATCH(G37,NV_MA,0)),"MÃ KHÔNG CÓ"))</f>
        <v/>
      </c>
      <c r="I37" s="25"/>
    </row>
    <row r="38" customFormat="false" ht="15" hidden="false" customHeight="false" outlineLevel="0" collapsed="false">
      <c r="A38" s="24"/>
      <c r="B38" s="25"/>
      <c r="C38" s="25"/>
      <c r="D38" s="25"/>
      <c r="E38" s="25"/>
      <c r="F38" s="20" t="n">
        <f aca="false">IF(D38="",0,D38*E38)</f>
        <v>0</v>
      </c>
      <c r="G38" s="25"/>
      <c r="H38" s="24" t="str">
        <f aca="false">IF(G38="","",IFERROR(INDEX(NV_TEN,MATCH(G38,NV_MA,0)),"MÃ KHÔNG CÓ"))</f>
        <v/>
      </c>
      <c r="I38" s="25"/>
    </row>
    <row r="39" customFormat="false" ht="15" hidden="false" customHeight="false" outlineLevel="0" collapsed="false">
      <c r="A39" s="24"/>
      <c r="B39" s="25"/>
      <c r="C39" s="25"/>
      <c r="D39" s="25"/>
      <c r="E39" s="25"/>
      <c r="F39" s="20" t="n">
        <f aca="false">IF(D39="",0,D39*E39)</f>
        <v>0</v>
      </c>
      <c r="G39" s="25"/>
      <c r="H39" s="24" t="str">
        <f aca="false">IF(G39="","",IFERROR(INDEX(NV_TEN,MATCH(G39,NV_MA,0)),"MÃ KHÔNG CÓ"))</f>
        <v/>
      </c>
      <c r="I39" s="25"/>
    </row>
    <row r="41" customFormat="false" ht="15" hidden="false" customHeight="false" outlineLevel="0" collapsed="false">
      <c r="C41" s="3" t="s">
        <v>262</v>
      </c>
      <c r="F41" s="26" t="n">
        <f aca="false">SUMIFS(F5:F39,G5:G39,"")</f>
        <v>-22450000</v>
      </c>
    </row>
    <row r="42" customFormat="false" ht="15" hidden="false" customHeight="false" outlineLevel="0" collapsed="false">
      <c r="C42" s="3" t="s">
        <v>263</v>
      </c>
      <c r="F42" s="26" t="n">
        <f aca="false">SUMIFS(F5:F39,G5:G39,"&lt;&gt;")</f>
        <v>400000</v>
      </c>
    </row>
    <row r="43" customFormat="false" ht="15" hidden="false" customHeight="false" outlineLevel="0" collapsed="false">
      <c r="C43" s="3" t="s">
        <v>264</v>
      </c>
      <c r="F43" s="26" t="n">
        <f aca="false">F41+F42</f>
        <v>-22050000</v>
      </c>
    </row>
  </sheetData>
  <sheetProtection sheet="true" formatColumns="false" formatRows="false" inser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35" min="5" style="0" width="4.3"/>
    <col collapsed="false" customWidth="true" hidden="false" outlineLevel="0" max="36" min="36" style="0" width="9"/>
    <col collapsed="false" customWidth="true" hidden="false" outlineLevel="0" max="37" min="37" style="0" width="8"/>
  </cols>
  <sheetData>
    <row r="1" customFormat="false" ht="17.35" hidden="false" customHeight="false" outlineLevel="0" collapsed="false">
      <c r="A1" s="1" t="s">
        <v>265</v>
      </c>
    </row>
    <row r="2" customFormat="false" ht="15" hidden="false" customHeight="false" outlineLevel="0" collapsed="false">
      <c r="A2" s="2" t="s">
        <v>266</v>
      </c>
    </row>
    <row r="3" customFormat="false" ht="15" hidden="false" customHeight="false" outlineLevel="0" collapsed="false">
      <c r="A3" s="2" t="s">
        <v>267</v>
      </c>
      <c r="E3" s="27" t="n">
        <f aca="false">IF(0&lt;DAY(EOMONTH(DATE(NAM,THANG,1),0)),DATE(NAM,THANG,1)+0,"")</f>
        <v>46235</v>
      </c>
      <c r="F3" s="27" t="n">
        <f aca="false">IF(1&lt;DAY(EOMONTH(DATE(NAM,THANG,1),0)),DATE(NAM,THANG,1)+1,"")</f>
        <v>46236</v>
      </c>
      <c r="G3" s="27" t="n">
        <f aca="false">IF(2&lt;DAY(EOMONTH(DATE(NAM,THANG,1),0)),DATE(NAM,THANG,1)+2,"")</f>
        <v>46237</v>
      </c>
      <c r="H3" s="27" t="n">
        <f aca="false">IF(3&lt;DAY(EOMONTH(DATE(NAM,THANG,1),0)),DATE(NAM,THANG,1)+3,"")</f>
        <v>46238</v>
      </c>
      <c r="I3" s="27" t="n">
        <f aca="false">IF(4&lt;DAY(EOMONTH(DATE(NAM,THANG,1),0)),DATE(NAM,THANG,1)+4,"")</f>
        <v>46239</v>
      </c>
      <c r="J3" s="27" t="n">
        <f aca="false">IF(5&lt;DAY(EOMONTH(DATE(NAM,THANG,1),0)),DATE(NAM,THANG,1)+5,"")</f>
        <v>46240</v>
      </c>
      <c r="K3" s="27" t="n">
        <f aca="false">IF(6&lt;DAY(EOMONTH(DATE(NAM,THANG,1),0)),DATE(NAM,THANG,1)+6,"")</f>
        <v>46241</v>
      </c>
      <c r="L3" s="27" t="n">
        <f aca="false">IF(7&lt;DAY(EOMONTH(DATE(NAM,THANG,1),0)),DATE(NAM,THANG,1)+7,"")</f>
        <v>46242</v>
      </c>
      <c r="M3" s="27" t="n">
        <f aca="false">IF(8&lt;DAY(EOMONTH(DATE(NAM,THANG,1),0)),DATE(NAM,THANG,1)+8,"")</f>
        <v>46243</v>
      </c>
      <c r="N3" s="27" t="n">
        <f aca="false">IF(9&lt;DAY(EOMONTH(DATE(NAM,THANG,1),0)),DATE(NAM,THANG,1)+9,"")</f>
        <v>46244</v>
      </c>
      <c r="O3" s="27" t="n">
        <f aca="false">IF(10&lt;DAY(EOMONTH(DATE(NAM,THANG,1),0)),DATE(NAM,THANG,1)+10,"")</f>
        <v>46245</v>
      </c>
      <c r="P3" s="27" t="n">
        <f aca="false">IF(11&lt;DAY(EOMONTH(DATE(NAM,THANG,1),0)),DATE(NAM,THANG,1)+11,"")</f>
        <v>46246</v>
      </c>
      <c r="Q3" s="27" t="n">
        <f aca="false">IF(12&lt;DAY(EOMONTH(DATE(NAM,THANG,1),0)),DATE(NAM,THANG,1)+12,"")</f>
        <v>46247</v>
      </c>
      <c r="R3" s="27" t="n">
        <f aca="false">IF(13&lt;DAY(EOMONTH(DATE(NAM,THANG,1),0)),DATE(NAM,THANG,1)+13,"")</f>
        <v>46248</v>
      </c>
      <c r="S3" s="27" t="n">
        <f aca="false">IF(14&lt;DAY(EOMONTH(DATE(NAM,THANG,1),0)),DATE(NAM,THANG,1)+14,"")</f>
        <v>46249</v>
      </c>
      <c r="T3" s="27" t="n">
        <f aca="false">IF(15&lt;DAY(EOMONTH(DATE(NAM,THANG,1),0)),DATE(NAM,THANG,1)+15,"")</f>
        <v>46250</v>
      </c>
      <c r="U3" s="27" t="n">
        <f aca="false">IF(16&lt;DAY(EOMONTH(DATE(NAM,THANG,1),0)),DATE(NAM,THANG,1)+16,"")</f>
        <v>46251</v>
      </c>
      <c r="V3" s="27" t="n">
        <f aca="false">IF(17&lt;DAY(EOMONTH(DATE(NAM,THANG,1),0)),DATE(NAM,THANG,1)+17,"")</f>
        <v>46252</v>
      </c>
      <c r="W3" s="27" t="n">
        <f aca="false">IF(18&lt;DAY(EOMONTH(DATE(NAM,THANG,1),0)),DATE(NAM,THANG,1)+18,"")</f>
        <v>46253</v>
      </c>
      <c r="X3" s="27" t="n">
        <f aca="false">IF(19&lt;DAY(EOMONTH(DATE(NAM,THANG,1),0)),DATE(NAM,THANG,1)+19,"")</f>
        <v>46254</v>
      </c>
      <c r="Y3" s="27" t="n">
        <f aca="false">IF(20&lt;DAY(EOMONTH(DATE(NAM,THANG,1),0)),DATE(NAM,THANG,1)+20,"")</f>
        <v>46255</v>
      </c>
      <c r="Z3" s="27" t="n">
        <f aca="false">IF(21&lt;DAY(EOMONTH(DATE(NAM,THANG,1),0)),DATE(NAM,THANG,1)+21,"")</f>
        <v>46256</v>
      </c>
      <c r="AA3" s="27" t="n">
        <f aca="false">IF(22&lt;DAY(EOMONTH(DATE(NAM,THANG,1),0)),DATE(NAM,THANG,1)+22,"")</f>
        <v>46257</v>
      </c>
      <c r="AB3" s="27" t="n">
        <f aca="false">IF(23&lt;DAY(EOMONTH(DATE(NAM,THANG,1),0)),DATE(NAM,THANG,1)+23,"")</f>
        <v>46258</v>
      </c>
      <c r="AC3" s="27" t="n">
        <f aca="false">IF(24&lt;DAY(EOMONTH(DATE(NAM,THANG,1),0)),DATE(NAM,THANG,1)+24,"")</f>
        <v>46259</v>
      </c>
      <c r="AD3" s="27" t="n">
        <f aca="false">IF(25&lt;DAY(EOMONTH(DATE(NAM,THANG,1),0)),DATE(NAM,THANG,1)+25,"")</f>
        <v>46260</v>
      </c>
      <c r="AE3" s="27" t="n">
        <f aca="false">IF(26&lt;DAY(EOMONTH(DATE(NAM,THANG,1),0)),DATE(NAM,THANG,1)+26,"")</f>
        <v>46261</v>
      </c>
      <c r="AF3" s="27" t="n">
        <f aca="false">IF(27&lt;DAY(EOMONTH(DATE(NAM,THANG,1),0)),DATE(NAM,THANG,1)+27,"")</f>
        <v>46262</v>
      </c>
      <c r="AG3" s="27" t="n">
        <f aca="false">IF(28&lt;DAY(EOMONTH(DATE(NAM,THANG,1),0)),DATE(NAM,THANG,1)+28,"")</f>
        <v>46263</v>
      </c>
      <c r="AH3" s="27" t="n">
        <f aca="false">IF(29&lt;DAY(EOMONTH(DATE(NAM,THANG,1),0)),DATE(NAM,THANG,1)+29,"")</f>
        <v>46264</v>
      </c>
      <c r="AI3" s="27" t="n">
        <f aca="false">IF(30&lt;DAY(EOMONTH(DATE(NAM,THANG,1),0)),DATE(NAM,THANG,1)+30,"")</f>
        <v>46265</v>
      </c>
    </row>
    <row r="4" customFormat="false" ht="15" hidden="false" customHeight="false" outlineLevel="0" collapsed="false">
      <c r="E4" s="28" t="str">
        <f aca="false">IF(E3="","",CHOOSE(WEEKDAY(E3),"CN","T2","T3","T4","T5","T6","T7"))</f>
        <v>T7</v>
      </c>
      <c r="F4" s="28" t="str">
        <f aca="false">IF(F3="","",CHOOSE(WEEKDAY(F3),"CN","T2","T3","T4","T5","T6","T7"))</f>
        <v>CN</v>
      </c>
      <c r="G4" s="28" t="str">
        <f aca="false">IF(G3="","",CHOOSE(WEEKDAY(G3),"CN","T2","T3","T4","T5","T6","T7"))</f>
        <v>T2</v>
      </c>
      <c r="H4" s="28" t="str">
        <f aca="false">IF(H3="","",CHOOSE(WEEKDAY(H3),"CN","T2","T3","T4","T5","T6","T7"))</f>
        <v>T3</v>
      </c>
      <c r="I4" s="28" t="str">
        <f aca="false">IF(I3="","",CHOOSE(WEEKDAY(I3),"CN","T2","T3","T4","T5","T6","T7"))</f>
        <v>T4</v>
      </c>
      <c r="J4" s="28" t="str">
        <f aca="false">IF(J3="","",CHOOSE(WEEKDAY(J3),"CN","T2","T3","T4","T5","T6","T7"))</f>
        <v>T5</v>
      </c>
      <c r="K4" s="28" t="str">
        <f aca="false">IF(K3="","",CHOOSE(WEEKDAY(K3),"CN","T2","T3","T4","T5","T6","T7"))</f>
        <v>T6</v>
      </c>
      <c r="L4" s="28" t="str">
        <f aca="false">IF(L3="","",CHOOSE(WEEKDAY(L3),"CN","T2","T3","T4","T5","T6","T7"))</f>
        <v>T7</v>
      </c>
      <c r="M4" s="28" t="str">
        <f aca="false">IF(M3="","",CHOOSE(WEEKDAY(M3),"CN","T2","T3","T4","T5","T6","T7"))</f>
        <v>CN</v>
      </c>
      <c r="N4" s="28" t="str">
        <f aca="false">IF(N3="","",CHOOSE(WEEKDAY(N3),"CN","T2","T3","T4","T5","T6","T7"))</f>
        <v>T2</v>
      </c>
      <c r="O4" s="28" t="str">
        <f aca="false">IF(O3="","",CHOOSE(WEEKDAY(O3),"CN","T2","T3","T4","T5","T6","T7"))</f>
        <v>T3</v>
      </c>
      <c r="P4" s="28" t="str">
        <f aca="false">IF(P3="","",CHOOSE(WEEKDAY(P3),"CN","T2","T3","T4","T5","T6","T7"))</f>
        <v>T4</v>
      </c>
      <c r="Q4" s="28" t="str">
        <f aca="false">IF(Q3="","",CHOOSE(WEEKDAY(Q3),"CN","T2","T3","T4","T5","T6","T7"))</f>
        <v>T5</v>
      </c>
      <c r="R4" s="28" t="str">
        <f aca="false">IF(R3="","",CHOOSE(WEEKDAY(R3),"CN","T2","T3","T4","T5","T6","T7"))</f>
        <v>T6</v>
      </c>
      <c r="S4" s="28" t="str">
        <f aca="false">IF(S3="","",CHOOSE(WEEKDAY(S3),"CN","T2","T3","T4","T5","T6","T7"))</f>
        <v>T7</v>
      </c>
      <c r="T4" s="28" t="str">
        <f aca="false">IF(T3="","",CHOOSE(WEEKDAY(T3),"CN","T2","T3","T4","T5","T6","T7"))</f>
        <v>CN</v>
      </c>
      <c r="U4" s="28" t="str">
        <f aca="false">IF(U3="","",CHOOSE(WEEKDAY(U3),"CN","T2","T3","T4","T5","T6","T7"))</f>
        <v>T2</v>
      </c>
      <c r="V4" s="28" t="str">
        <f aca="false">IF(V3="","",CHOOSE(WEEKDAY(V3),"CN","T2","T3","T4","T5","T6","T7"))</f>
        <v>T3</v>
      </c>
      <c r="W4" s="28" t="str">
        <f aca="false">IF(W3="","",CHOOSE(WEEKDAY(W3),"CN","T2","T3","T4","T5","T6","T7"))</f>
        <v>T4</v>
      </c>
      <c r="X4" s="28" t="str">
        <f aca="false">IF(X3="","",CHOOSE(WEEKDAY(X3),"CN","T2","T3","T4","T5","T6","T7"))</f>
        <v>T5</v>
      </c>
      <c r="Y4" s="28" t="str">
        <f aca="false">IF(Y3="","",CHOOSE(WEEKDAY(Y3),"CN","T2","T3","T4","T5","T6","T7"))</f>
        <v>T6</v>
      </c>
      <c r="Z4" s="28" t="str">
        <f aca="false">IF(Z3="","",CHOOSE(WEEKDAY(Z3),"CN","T2","T3","T4","T5","T6","T7"))</f>
        <v>T7</v>
      </c>
      <c r="AA4" s="28" t="str">
        <f aca="false">IF(AA3="","",CHOOSE(WEEKDAY(AA3),"CN","T2","T3","T4","T5","T6","T7"))</f>
        <v>CN</v>
      </c>
      <c r="AB4" s="28" t="str">
        <f aca="false">IF(AB3="","",CHOOSE(WEEKDAY(AB3),"CN","T2","T3","T4","T5","T6","T7"))</f>
        <v>T2</v>
      </c>
      <c r="AC4" s="28" t="str">
        <f aca="false">IF(AC3="","",CHOOSE(WEEKDAY(AC3),"CN","T2","T3","T4","T5","T6","T7"))</f>
        <v>T3</v>
      </c>
      <c r="AD4" s="28" t="str">
        <f aca="false">IF(AD3="","",CHOOSE(WEEKDAY(AD3),"CN","T2","T3","T4","T5","T6","T7"))</f>
        <v>T4</v>
      </c>
      <c r="AE4" s="28" t="str">
        <f aca="false">IF(AE3="","",CHOOSE(WEEKDAY(AE3),"CN","T2","T3","T4","T5","T6","T7"))</f>
        <v>T5</v>
      </c>
      <c r="AF4" s="28" t="str">
        <f aca="false">IF(AF3="","",CHOOSE(WEEKDAY(AF3),"CN","T2","T3","T4","T5","T6","T7"))</f>
        <v>T6</v>
      </c>
      <c r="AG4" s="28" t="str">
        <f aca="false">IF(AG3="","",CHOOSE(WEEKDAY(AG3),"CN","T2","T3","T4","T5","T6","T7"))</f>
        <v>T7</v>
      </c>
      <c r="AH4" s="28" t="str">
        <f aca="false">IF(AH3="","",CHOOSE(WEEKDAY(AH3),"CN","T2","T3","T4","T5","T6","T7"))</f>
        <v>CN</v>
      </c>
      <c r="AI4" s="28" t="str">
        <f aca="false">IF(AI3="","",CHOOSE(WEEKDAY(AI3),"CN","T2","T3","T4","T5","T6","T7"))</f>
        <v>T2</v>
      </c>
    </row>
    <row r="5" customFormat="false" ht="30" hidden="false" customHeight="true" outlineLevel="0" collapsed="false">
      <c r="A5" s="18" t="s">
        <v>108</v>
      </c>
      <c r="B5" s="18" t="s">
        <v>109</v>
      </c>
      <c r="C5" s="18" t="s">
        <v>110</v>
      </c>
      <c r="D5" s="18" t="s">
        <v>113</v>
      </c>
      <c r="E5" s="18" t="s">
        <v>268</v>
      </c>
      <c r="F5" s="18" t="s">
        <v>269</v>
      </c>
      <c r="G5" s="18" t="s">
        <v>270</v>
      </c>
      <c r="H5" s="18" t="s">
        <v>271</v>
      </c>
      <c r="I5" s="18" t="s">
        <v>272</v>
      </c>
      <c r="J5" s="18" t="s">
        <v>273</v>
      </c>
      <c r="K5" s="18" t="s">
        <v>274</v>
      </c>
      <c r="L5" s="18" t="s">
        <v>275</v>
      </c>
      <c r="M5" s="18" t="s">
        <v>276</v>
      </c>
      <c r="N5" s="18" t="s">
        <v>277</v>
      </c>
      <c r="O5" s="18" t="s">
        <v>278</v>
      </c>
      <c r="P5" s="18" t="s">
        <v>279</v>
      </c>
      <c r="Q5" s="18" t="s">
        <v>280</v>
      </c>
      <c r="R5" s="18" t="s">
        <v>281</v>
      </c>
      <c r="S5" s="18" t="s">
        <v>282</v>
      </c>
      <c r="T5" s="18" t="s">
        <v>283</v>
      </c>
      <c r="U5" s="18" t="s">
        <v>284</v>
      </c>
      <c r="V5" s="18" t="s">
        <v>285</v>
      </c>
      <c r="W5" s="18" t="s">
        <v>286</v>
      </c>
      <c r="X5" s="18" t="s">
        <v>287</v>
      </c>
      <c r="Y5" s="18" t="s">
        <v>288</v>
      </c>
      <c r="Z5" s="18" t="s">
        <v>289</v>
      </c>
      <c r="AA5" s="18" t="s">
        <v>290</v>
      </c>
      <c r="AB5" s="18" t="s">
        <v>291</v>
      </c>
      <c r="AC5" s="18" t="s">
        <v>292</v>
      </c>
      <c r="AD5" s="18" t="s">
        <v>293</v>
      </c>
      <c r="AE5" s="18" t="s">
        <v>294</v>
      </c>
      <c r="AF5" s="18" t="s">
        <v>295</v>
      </c>
      <c r="AG5" s="18" t="s">
        <v>296</v>
      </c>
      <c r="AH5" s="18" t="s">
        <v>297</v>
      </c>
      <c r="AI5" s="18" t="s">
        <v>298</v>
      </c>
      <c r="AJ5" s="18" t="s">
        <v>299</v>
      </c>
      <c r="AK5" s="18" t="s">
        <v>300</v>
      </c>
    </row>
    <row r="6" customFormat="false" ht="15" hidden="false" customHeight="false" outlineLevel="0" collapsed="false">
      <c r="A6" s="21" t="n">
        <v>1</v>
      </c>
      <c r="B6" s="22" t="s">
        <v>118</v>
      </c>
      <c r="C6" s="24" t="str">
        <f aca="false">IFERROR(INDEX(NV_TEN,MATCH(B6,NV_MA,0)),"MÃ KHÔNG CÓ")</f>
        <v>Lê Vang</v>
      </c>
      <c r="D6" s="24" t="str">
        <f aca="false">IFERROR(INDEX(NV_HINHTHUC,MATCH(B6,NV_MA,0)),"")</f>
        <v>Khoán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30" t="n">
        <f aca="false">SUM(E6:AI6)</f>
        <v>0</v>
      </c>
      <c r="AK6" s="31" t="n">
        <f aca="false">IF(AJ6=0,0,AJ6/GIO_CONG)</f>
        <v>0</v>
      </c>
    </row>
    <row r="7" customFormat="false" ht="15" hidden="false" customHeight="false" outlineLevel="0" collapsed="false">
      <c r="A7" s="21" t="n">
        <v>2</v>
      </c>
      <c r="B7" s="22" t="s">
        <v>124</v>
      </c>
      <c r="C7" s="24" t="str">
        <f aca="false">IFERROR(INDEX(NV_TEN,MATCH(B7,NV_MA,0)),"MÃ KHÔNG CÓ")</f>
        <v>Trần Đình Mạnh</v>
      </c>
      <c r="D7" s="24" t="str">
        <f aca="false">IFERROR(INDEX(NV_HINHTHUC,MATCH(B7,NV_MA,0)),"")</f>
        <v>Khoán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30" t="n">
        <f aca="false">SUM(E7:AI7)</f>
        <v>0</v>
      </c>
      <c r="AK7" s="31" t="n">
        <f aca="false">IF(AJ7=0,0,AJ7/GIO_CONG)</f>
        <v>0</v>
      </c>
    </row>
    <row r="8" customFormat="false" ht="15" hidden="false" customHeight="false" outlineLevel="0" collapsed="false">
      <c r="A8" s="21" t="n">
        <v>3</v>
      </c>
      <c r="B8" s="22" t="s">
        <v>127</v>
      </c>
      <c r="C8" s="24" t="str">
        <f aca="false">IFERROR(INDEX(NV_TEN,MATCH(B8,NV_MA,0)),"MÃ KHÔNG CÓ")</f>
        <v>Lê Thị Bình</v>
      </c>
      <c r="D8" s="24" t="str">
        <f aca="false">IFERROR(INDEX(NV_HINHTHUC,MATCH(B8,NV_MA,0)),"")</f>
        <v>Khoán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30" t="n">
        <f aca="false">SUM(E8:AI8)</f>
        <v>0</v>
      </c>
      <c r="AK8" s="31" t="n">
        <f aca="false">IF(AJ8=0,0,AJ8/GIO_CONG)</f>
        <v>0</v>
      </c>
    </row>
    <row r="9" customFormat="false" ht="15" hidden="false" customHeight="false" outlineLevel="0" collapsed="false">
      <c r="A9" s="21" t="n">
        <v>4</v>
      </c>
      <c r="B9" s="22" t="s">
        <v>130</v>
      </c>
      <c r="C9" s="24" t="str">
        <f aca="false">IFERROR(INDEX(NV_TEN,MATCH(B9,NV_MA,0)),"MÃ KHÔNG CÓ")</f>
        <v>Trần Thị Tích</v>
      </c>
      <c r="D9" s="24" t="str">
        <f aca="false">IFERROR(INDEX(NV_HINHTHUC,MATCH(B9,NV_MA,0)),"")</f>
        <v>Khoán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30" t="n">
        <f aca="false">SUM(E9:AI9)</f>
        <v>0</v>
      </c>
      <c r="AK9" s="31" t="n">
        <f aca="false">IF(AJ9=0,0,AJ9/GIO_CONG)</f>
        <v>0</v>
      </c>
    </row>
    <row r="10" customFormat="false" ht="15" hidden="false" customHeight="false" outlineLevel="0" collapsed="false">
      <c r="A10" s="21" t="n">
        <v>5</v>
      </c>
      <c r="B10" s="22" t="s">
        <v>132</v>
      </c>
      <c r="C10" s="24" t="str">
        <f aca="false">IFERROR(INDEX(NV_TEN,MATCH(B10,NV_MA,0)),"MÃ KHÔNG CÓ")</f>
        <v>Lê Thị Nga</v>
      </c>
      <c r="D10" s="24" t="str">
        <f aca="false">IFERROR(INDEX(NV_HINHTHUC,MATCH(B10,NV_MA,0)),"")</f>
        <v>Khoán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30" t="n">
        <f aca="false">SUM(E10:AI10)</f>
        <v>0</v>
      </c>
      <c r="AK10" s="31" t="n">
        <f aca="false">IF(AJ10=0,0,AJ10/GIO_CONG)</f>
        <v>0</v>
      </c>
    </row>
    <row r="11" customFormat="false" ht="15" hidden="false" customHeight="false" outlineLevel="0" collapsed="false">
      <c r="A11" s="21" t="n">
        <v>6</v>
      </c>
      <c r="B11" s="22" t="s">
        <v>134</v>
      </c>
      <c r="C11" s="24" t="str">
        <f aca="false">IFERROR(INDEX(NV_TEN,MATCH(B11,NV_MA,0)),"MÃ KHÔNG CÓ")</f>
        <v>Phạm Bá Lượng</v>
      </c>
      <c r="D11" s="24" t="str">
        <f aca="false">IFERROR(INDEX(NV_HINHTHUC,MATCH(B11,NV_MA,0)),"")</f>
        <v>Khoán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30" t="n">
        <f aca="false">SUM(E11:AI11)</f>
        <v>0</v>
      </c>
      <c r="AK11" s="31" t="n">
        <f aca="false">IF(AJ11=0,0,AJ11/GIO_CONG)</f>
        <v>0</v>
      </c>
    </row>
    <row r="12" customFormat="false" ht="15" hidden="false" customHeight="false" outlineLevel="0" collapsed="false">
      <c r="A12" s="21" t="n">
        <v>7</v>
      </c>
      <c r="B12" s="22" t="s">
        <v>136</v>
      </c>
      <c r="C12" s="24" t="str">
        <f aca="false">IFERROR(INDEX(NV_TEN,MATCH(B12,NV_MA,0)),"MÃ KHÔNG CÓ")</f>
        <v>Văn Thị Vinh</v>
      </c>
      <c r="D12" s="24" t="str">
        <f aca="false">IFERROR(INDEX(NV_HINHTHUC,MATCH(B12,NV_MA,0)),"")</f>
        <v>Khoán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30" t="n">
        <f aca="false">SUM(E12:AI12)</f>
        <v>0</v>
      </c>
      <c r="AK12" s="31" t="n">
        <f aca="false">IF(AJ12=0,0,AJ12/GIO_CONG)</f>
        <v>0</v>
      </c>
    </row>
    <row r="13" customFormat="false" ht="15" hidden="false" customHeight="false" outlineLevel="0" collapsed="false">
      <c r="A13" s="21" t="n">
        <v>8</v>
      </c>
      <c r="B13" s="22" t="s">
        <v>138</v>
      </c>
      <c r="C13" s="24" t="str">
        <f aca="false">IFERROR(INDEX(NV_TEN,MATCH(B13,NV_MA,0)),"MÃ KHÔNG CÓ")</f>
        <v>Nguyễn Thị Điệp</v>
      </c>
      <c r="D13" s="24" t="str">
        <f aca="false">IFERROR(INDEX(NV_HINHTHUC,MATCH(B13,NV_MA,0)),"")</f>
        <v>Khoán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30" t="n">
        <f aca="false">SUM(E13:AI13)</f>
        <v>0</v>
      </c>
      <c r="AK13" s="31" t="n">
        <f aca="false">IF(AJ13=0,0,AJ13/GIO_CONG)</f>
        <v>0</v>
      </c>
    </row>
    <row r="14" customFormat="false" ht="15" hidden="false" customHeight="false" outlineLevel="0" collapsed="false">
      <c r="A14" s="21" t="n">
        <v>9</v>
      </c>
      <c r="B14" s="22" t="s">
        <v>140</v>
      </c>
      <c r="C14" s="24" t="str">
        <f aca="false">IFERROR(INDEX(NV_TEN,MATCH(B14,NV_MA,0)),"MÃ KHÔNG CÓ")</f>
        <v>Lê Thị Kim Anh</v>
      </c>
      <c r="D14" s="24" t="str">
        <f aca="false">IFERROR(INDEX(NV_HINHTHUC,MATCH(B14,NV_MA,0)),"")</f>
        <v>Khoán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30" t="n">
        <f aca="false">SUM(E14:AI14)</f>
        <v>0</v>
      </c>
      <c r="AK14" s="31" t="n">
        <f aca="false">IF(AJ14=0,0,AJ14/GIO_CONG)</f>
        <v>0</v>
      </c>
    </row>
    <row r="15" customFormat="false" ht="15" hidden="false" customHeight="false" outlineLevel="0" collapsed="false">
      <c r="A15" s="21" t="n">
        <v>10</v>
      </c>
      <c r="B15" s="22" t="s">
        <v>143</v>
      </c>
      <c r="C15" s="24" t="str">
        <f aca="false">IFERROR(INDEX(NV_TEN,MATCH(B15,NV_MA,0)),"MÃ KHÔNG CÓ")</f>
        <v>Trần Đức Phúc</v>
      </c>
      <c r="D15" s="24" t="str">
        <f aca="false">IFERROR(INDEX(NV_HINHTHUC,MATCH(B15,NV_MA,0)),"")</f>
        <v>Khoán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30" t="n">
        <f aca="false">SUM(E15:AI15)</f>
        <v>0</v>
      </c>
      <c r="AK15" s="31" t="n">
        <f aca="false">IF(AJ15=0,0,AJ15/GIO_CONG)</f>
        <v>0</v>
      </c>
    </row>
    <row r="16" customFormat="false" ht="15" hidden="false" customHeight="false" outlineLevel="0" collapsed="false">
      <c r="A16" s="21" t="n">
        <v>11</v>
      </c>
      <c r="B16" s="22" t="s">
        <v>145</v>
      </c>
      <c r="C16" s="24" t="str">
        <f aca="false">IFERROR(INDEX(NV_TEN,MATCH(B16,NV_MA,0)),"MÃ KHÔNG CÓ")</f>
        <v>Nguyễn Thị Nhung</v>
      </c>
      <c r="D16" s="24" t="str">
        <f aca="false">IFERROR(INDEX(NV_HINHTHUC,MATCH(B16,NV_MA,0)),"")</f>
        <v>Khoán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30" t="n">
        <f aca="false">SUM(E16:AI16)</f>
        <v>0</v>
      </c>
      <c r="AK16" s="31" t="n">
        <f aca="false">IF(AJ16=0,0,AJ16/GIO_CONG)</f>
        <v>0</v>
      </c>
    </row>
    <row r="17" customFormat="false" ht="15" hidden="false" customHeight="false" outlineLevel="0" collapsed="false">
      <c r="A17" s="21" t="n">
        <v>12</v>
      </c>
      <c r="B17" s="22" t="s">
        <v>147</v>
      </c>
      <c r="C17" s="24" t="str">
        <f aca="false">IFERROR(INDEX(NV_TEN,MATCH(B17,NV_MA,0)),"MÃ KHÔNG CÓ")</f>
        <v>Lê Thị Thu Hữu</v>
      </c>
      <c r="D17" s="24" t="str">
        <f aca="false">IFERROR(INDEX(NV_HINHTHUC,MATCH(B17,NV_MA,0)),"")</f>
        <v>Khoán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30" t="n">
        <f aca="false">SUM(E17:AI17)</f>
        <v>0</v>
      </c>
      <c r="AK17" s="31" t="n">
        <f aca="false">IF(AJ17=0,0,AJ17/GIO_CONG)</f>
        <v>0</v>
      </c>
    </row>
    <row r="18" customFormat="false" ht="15" hidden="false" customHeight="false" outlineLevel="0" collapsed="false">
      <c r="A18" s="21" t="n">
        <v>13</v>
      </c>
      <c r="B18" s="22" t="s">
        <v>149</v>
      </c>
      <c r="C18" s="24" t="str">
        <f aca="false">IFERROR(INDEX(NV_TEN,MATCH(B18,NV_MA,0)),"MÃ KHÔNG CÓ")</f>
        <v>Trần Đình Lĩnh</v>
      </c>
      <c r="D18" s="24" t="str">
        <f aca="false">IFERROR(INDEX(NV_HINHTHUC,MATCH(B18,NV_MA,0)),"")</f>
        <v>Khoán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30" t="n">
        <f aca="false">SUM(E18:AI18)</f>
        <v>0</v>
      </c>
      <c r="AK18" s="31" t="n">
        <f aca="false">IF(AJ18=0,0,AJ18/GIO_CONG)</f>
        <v>0</v>
      </c>
    </row>
    <row r="19" customFormat="false" ht="15" hidden="false" customHeight="false" outlineLevel="0" collapsed="false">
      <c r="A19" s="21" t="n">
        <v>14</v>
      </c>
      <c r="B19" s="22" t="s">
        <v>152</v>
      </c>
      <c r="C19" s="24" t="str">
        <f aca="false">IFERROR(INDEX(NV_TEN,MATCH(B19,NV_MA,0)),"MÃ KHÔNG CÓ")</f>
        <v>Nguyễn Thị Thúy Vân</v>
      </c>
      <c r="D19" s="24" t="str">
        <f aca="false">IFERROR(INDEX(NV_HINHTHUC,MATCH(B19,NV_MA,0)),"")</f>
        <v>Khoán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30" t="n">
        <f aca="false">SUM(E19:AI19)</f>
        <v>0</v>
      </c>
      <c r="AK19" s="31" t="n">
        <f aca="false">IF(AJ19=0,0,AJ19/GIO_CONG)</f>
        <v>0</v>
      </c>
    </row>
    <row r="20" customFormat="false" ht="15" hidden="false" customHeight="false" outlineLevel="0" collapsed="false">
      <c r="A20" s="21" t="n">
        <v>15</v>
      </c>
      <c r="B20" s="22" t="s">
        <v>154</v>
      </c>
      <c r="C20" s="24" t="str">
        <f aca="false">IFERROR(INDEX(NV_TEN,MATCH(B20,NV_MA,0)),"MÃ KHÔNG CÓ")</f>
        <v>Trần Thị Thùy</v>
      </c>
      <c r="D20" s="24" t="str">
        <f aca="false">IFERROR(INDEX(NV_HINHTHUC,MATCH(B20,NV_MA,0)),"")</f>
        <v>Khoán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30" t="n">
        <f aca="false">SUM(E20:AI20)</f>
        <v>0</v>
      </c>
      <c r="AK20" s="31" t="n">
        <f aca="false">IF(AJ20=0,0,AJ20/GIO_CONG)</f>
        <v>0</v>
      </c>
    </row>
    <row r="21" customFormat="false" ht="15" hidden="false" customHeight="false" outlineLevel="0" collapsed="false">
      <c r="A21" s="21" t="n">
        <v>16</v>
      </c>
      <c r="B21" s="22" t="s">
        <v>156</v>
      </c>
      <c r="C21" s="24" t="str">
        <f aca="false">IFERROR(INDEX(NV_TEN,MATCH(B21,NV_MA,0)),"MÃ KHÔNG CÓ")</f>
        <v>Lê Thị Thơ</v>
      </c>
      <c r="D21" s="24" t="str">
        <f aca="false">IFERROR(INDEX(NV_HINHTHUC,MATCH(B21,NV_MA,0)),"")</f>
        <v>Khoán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30" t="n">
        <f aca="false">SUM(E21:AI21)</f>
        <v>0</v>
      </c>
      <c r="AK21" s="31" t="n">
        <f aca="false">IF(AJ21=0,0,AJ21/GIO_CONG)</f>
        <v>0</v>
      </c>
    </row>
    <row r="22" customFormat="false" ht="15" hidden="false" customHeight="false" outlineLevel="0" collapsed="false">
      <c r="A22" s="21" t="n">
        <v>17</v>
      </c>
      <c r="B22" s="22" t="s">
        <v>158</v>
      </c>
      <c r="C22" s="24" t="str">
        <f aca="false">IFERROR(INDEX(NV_TEN,MATCH(B22,NV_MA,0)),"MÃ KHÔNG CÓ")</f>
        <v>Lê Thị Hồng Lan</v>
      </c>
      <c r="D22" s="24" t="str">
        <f aca="false">IFERROR(INDEX(NV_HINHTHUC,MATCH(B22,NV_MA,0)),"")</f>
        <v>Khoán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0" t="n">
        <f aca="false">SUM(E22:AI22)</f>
        <v>0</v>
      </c>
      <c r="AK22" s="31" t="n">
        <f aca="false">IF(AJ22=0,0,AJ22/GIO_CONG)</f>
        <v>0</v>
      </c>
    </row>
    <row r="23" customFormat="false" ht="15" hidden="false" customHeight="false" outlineLevel="0" collapsed="false">
      <c r="A23" s="21" t="n">
        <v>18</v>
      </c>
      <c r="B23" s="22" t="s">
        <v>160</v>
      </c>
      <c r="C23" s="24" t="str">
        <f aca="false">IFERROR(INDEX(NV_TEN,MATCH(B23,NV_MA,0)),"MÃ KHÔNG CÓ")</f>
        <v>Nguyễn Quang Thọ</v>
      </c>
      <c r="D23" s="24" t="str">
        <f aca="false">IFERROR(INDEX(NV_HINHTHUC,MATCH(B23,NV_MA,0)),"")</f>
        <v>Khoán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30" t="n">
        <f aca="false">SUM(E23:AI23)</f>
        <v>0</v>
      </c>
      <c r="AK23" s="31" t="n">
        <f aca="false">IF(AJ23=0,0,AJ23/GIO_CONG)</f>
        <v>0</v>
      </c>
    </row>
    <row r="24" customFormat="false" ht="15" hidden="false" customHeight="false" outlineLevel="0" collapsed="false">
      <c r="A24" s="21" t="n">
        <v>19</v>
      </c>
      <c r="B24" s="22" t="s">
        <v>163</v>
      </c>
      <c r="C24" s="24" t="str">
        <f aca="false">IFERROR(INDEX(NV_TEN,MATCH(B24,NV_MA,0)),"MÃ KHÔNG CÓ")</f>
        <v>Nguyễn Ngọc Phương</v>
      </c>
      <c r="D24" s="24" t="str">
        <f aca="false">IFERROR(INDEX(NV_HINHTHUC,MATCH(B24,NV_MA,0)),"")</f>
        <v>Khoán</v>
      </c>
      <c r="E24" s="29"/>
      <c r="F24" s="29"/>
      <c r="G24" s="29" t="n">
        <v>8</v>
      </c>
      <c r="H24" s="29"/>
      <c r="I24" s="29" t="n">
        <v>8</v>
      </c>
      <c r="J24" s="29"/>
      <c r="K24" s="29"/>
      <c r="L24" s="29"/>
      <c r="M24" s="29"/>
      <c r="N24" s="29"/>
      <c r="O24" s="29" t="n">
        <v>8</v>
      </c>
      <c r="P24" s="29" t="n">
        <v>12</v>
      </c>
      <c r="Q24" s="29" t="n">
        <v>8</v>
      </c>
      <c r="R24" s="29" t="n">
        <v>12</v>
      </c>
      <c r="S24" s="29"/>
      <c r="T24" s="29"/>
      <c r="U24" s="29"/>
      <c r="V24" s="29"/>
      <c r="W24" s="29"/>
      <c r="X24" s="29"/>
      <c r="Y24" s="29"/>
      <c r="Z24" s="29" t="n">
        <v>12</v>
      </c>
      <c r="AA24" s="29" t="n">
        <v>16</v>
      </c>
      <c r="AB24" s="29" t="n">
        <v>12</v>
      </c>
      <c r="AC24" s="29" t="n">
        <v>4</v>
      </c>
      <c r="AD24" s="29" t="n">
        <v>12</v>
      </c>
      <c r="AE24" s="29" t="n">
        <v>8</v>
      </c>
      <c r="AF24" s="29" t="n">
        <v>4</v>
      </c>
      <c r="AG24" s="29" t="n">
        <v>8</v>
      </c>
      <c r="AH24" s="29"/>
      <c r="AI24" s="29"/>
      <c r="AJ24" s="30" t="n">
        <f aca="false">SUM(E24:AI24)</f>
        <v>132</v>
      </c>
      <c r="AK24" s="31" t="n">
        <f aca="false">IF(AJ24=0,0,AJ24/GIO_CONG)</f>
        <v>16.5</v>
      </c>
    </row>
    <row r="25" customFormat="false" ht="15" hidden="false" customHeight="false" outlineLevel="0" collapsed="false">
      <c r="A25" s="21" t="n">
        <v>20</v>
      </c>
      <c r="B25" s="22" t="s">
        <v>165</v>
      </c>
      <c r="C25" s="24" t="str">
        <f aca="false">IFERROR(INDEX(NV_TEN,MATCH(B25,NV_MA,0)),"MÃ KHÔNG CÓ")</f>
        <v>Lê Lộc</v>
      </c>
      <c r="D25" s="24" t="str">
        <f aca="false">IFERROR(INDEX(NV_HINHTHUC,MATCH(B25,NV_MA,0)),"")</f>
        <v>Khoán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30" t="n">
        <f aca="false">SUM(E25:AI25)</f>
        <v>0</v>
      </c>
      <c r="AK25" s="31" t="n">
        <f aca="false">IF(AJ25=0,0,AJ25/GIO_CONG)</f>
        <v>0</v>
      </c>
    </row>
    <row r="26" customFormat="false" ht="15" hidden="false" customHeight="false" outlineLevel="0" collapsed="false">
      <c r="A26" s="21" t="n">
        <v>21</v>
      </c>
      <c r="B26" s="22" t="s">
        <v>167</v>
      </c>
      <c r="C26" s="24" t="str">
        <f aca="false">IFERROR(INDEX(NV_TEN,MATCH(B26,NV_MA,0)),"MÃ KHÔNG CÓ")</f>
        <v>Thèn Thị Giang</v>
      </c>
      <c r="D26" s="24" t="str">
        <f aca="false">IFERROR(INDEX(NV_HINHTHUC,MATCH(B26,NV_MA,0)),"")</f>
        <v>Khoán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30" t="n">
        <f aca="false">SUM(E26:AI26)</f>
        <v>0</v>
      </c>
      <c r="AK26" s="31" t="n">
        <f aca="false">IF(AJ26=0,0,AJ26/GIO_CONG)</f>
        <v>0</v>
      </c>
    </row>
    <row r="27" customFormat="false" ht="15" hidden="false" customHeight="false" outlineLevel="0" collapsed="false">
      <c r="A27" s="21" t="n">
        <v>22</v>
      </c>
      <c r="B27" s="22" t="s">
        <v>169</v>
      </c>
      <c r="C27" s="24" t="str">
        <f aca="false">IFERROR(INDEX(NV_TEN,MATCH(B27,NV_MA,0)),"MÃ KHÔNG CÓ")</f>
        <v>Nguyễn Tình</v>
      </c>
      <c r="D27" s="24" t="str">
        <f aca="false">IFERROR(INDEX(NV_HINHTHUC,MATCH(B27,NV_MA,0)),"")</f>
        <v>Khoán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30" t="n">
        <f aca="false">SUM(E27:AI27)</f>
        <v>0</v>
      </c>
      <c r="AK27" s="31" t="n">
        <f aca="false">IF(AJ27=0,0,AJ27/GIO_CONG)</f>
        <v>0</v>
      </c>
    </row>
    <row r="28" customFormat="false" ht="15" hidden="false" customHeight="false" outlineLevel="0" collapsed="false">
      <c r="A28" s="21" t="n">
        <v>23</v>
      </c>
      <c r="B28" s="22" t="s">
        <v>171</v>
      </c>
      <c r="C28" s="24" t="str">
        <f aca="false">IFERROR(INDEX(NV_TEN,MATCH(B28,NV_MA,0)),"MÃ KHÔNG CÓ")</f>
        <v>Đặng Thị Huế</v>
      </c>
      <c r="D28" s="24" t="str">
        <f aca="false">IFERROR(INDEX(NV_HINHTHUC,MATCH(B28,NV_MA,0)),"")</f>
        <v>Khoán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30" t="n">
        <f aca="false">SUM(E28:AI28)</f>
        <v>0</v>
      </c>
      <c r="AK28" s="31" t="n">
        <f aca="false">IF(AJ28=0,0,AJ28/GIO_CONG)</f>
        <v>0</v>
      </c>
    </row>
    <row r="29" customFormat="false" ht="15" hidden="false" customHeight="false" outlineLevel="0" collapsed="false">
      <c r="A29" s="21" t="n">
        <v>24</v>
      </c>
      <c r="B29" s="22" t="s">
        <v>173</v>
      </c>
      <c r="C29" s="24" t="str">
        <f aca="false">IFERROR(INDEX(NV_TEN,MATCH(B29,NV_MA,0)),"MÃ KHÔNG CÓ")</f>
        <v>Trần Văn Trình</v>
      </c>
      <c r="D29" s="24" t="str">
        <f aca="false">IFERROR(INDEX(NV_HINHTHUC,MATCH(B29,NV_MA,0)),"")</f>
        <v>Khoán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0" t="n">
        <f aca="false">SUM(E29:AI29)</f>
        <v>0</v>
      </c>
      <c r="AK29" s="31" t="n">
        <f aca="false">IF(AJ29=0,0,AJ29/GIO_CONG)</f>
        <v>0</v>
      </c>
    </row>
    <row r="30" customFormat="false" ht="15" hidden="false" customHeight="false" outlineLevel="0" collapsed="false">
      <c r="A30" s="21" t="n">
        <v>25</v>
      </c>
      <c r="B30" s="22" t="s">
        <v>176</v>
      </c>
      <c r="C30" s="24" t="str">
        <f aca="false">IFERROR(INDEX(NV_TEN,MATCH(B30,NV_MA,0)),"MÃ KHÔNG CÓ")</f>
        <v>Trần Văn Hiền</v>
      </c>
      <c r="D30" s="24" t="str">
        <f aca="false">IFERROR(INDEX(NV_HINHTHUC,MATCH(B30,NV_MA,0)),"")</f>
        <v>Khoán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30" t="n">
        <f aca="false">SUM(E30:AI30)</f>
        <v>0</v>
      </c>
      <c r="AK30" s="31" t="n">
        <f aca="false">IF(AJ30=0,0,AJ30/GIO_CONG)</f>
        <v>0</v>
      </c>
    </row>
    <row r="31" customFormat="false" ht="15" hidden="false" customHeight="false" outlineLevel="0" collapsed="false">
      <c r="A31" s="21" t="n">
        <v>26</v>
      </c>
      <c r="B31" s="22" t="s">
        <v>178</v>
      </c>
      <c r="C31" s="24" t="str">
        <f aca="false">IFERROR(INDEX(NV_TEN,MATCH(B31,NV_MA,0)),"MÃ KHÔNG CÓ")</f>
        <v>Trần Văn Tâm</v>
      </c>
      <c r="D31" s="24" t="str">
        <f aca="false">IFERROR(INDEX(NV_HINHTHUC,MATCH(B31,NV_MA,0)),"")</f>
        <v>Khoán</v>
      </c>
      <c r="E31" s="29"/>
      <c r="F31" s="29"/>
      <c r="G31" s="29" t="n">
        <v>8</v>
      </c>
      <c r="H31" s="29"/>
      <c r="I31" s="29" t="n">
        <v>8</v>
      </c>
      <c r="J31" s="29"/>
      <c r="K31" s="29"/>
      <c r="L31" s="29"/>
      <c r="M31" s="29"/>
      <c r="N31" s="29"/>
      <c r="O31" s="29" t="n">
        <v>8</v>
      </c>
      <c r="P31" s="29" t="n">
        <v>12</v>
      </c>
      <c r="Q31" s="29" t="n">
        <v>8</v>
      </c>
      <c r="R31" s="29" t="n">
        <v>12</v>
      </c>
      <c r="S31" s="29"/>
      <c r="T31" s="29"/>
      <c r="U31" s="29"/>
      <c r="V31" s="29"/>
      <c r="W31" s="29"/>
      <c r="X31" s="29"/>
      <c r="Y31" s="29"/>
      <c r="Z31" s="29" t="n">
        <v>3</v>
      </c>
      <c r="AA31" s="29" t="n">
        <v>16</v>
      </c>
      <c r="AB31" s="29" t="n">
        <v>12</v>
      </c>
      <c r="AC31" s="29" t="n">
        <v>4</v>
      </c>
      <c r="AD31" s="29" t="n">
        <v>12</v>
      </c>
      <c r="AE31" s="29" t="n">
        <v>8</v>
      </c>
      <c r="AF31" s="29" t="n">
        <v>4</v>
      </c>
      <c r="AG31" s="29" t="n">
        <v>8</v>
      </c>
      <c r="AH31" s="29"/>
      <c r="AI31" s="29"/>
      <c r="AJ31" s="30" t="n">
        <f aca="false">SUM(E31:AI31)</f>
        <v>123</v>
      </c>
      <c r="AK31" s="31" t="n">
        <f aca="false">IF(AJ31=0,0,AJ31/GIO_CONG)</f>
        <v>15.375</v>
      </c>
    </row>
    <row r="32" customFormat="false" ht="15" hidden="false" customHeight="false" outlineLevel="0" collapsed="false">
      <c r="A32" s="21" t="n">
        <v>27</v>
      </c>
      <c r="B32" s="22" t="s">
        <v>180</v>
      </c>
      <c r="C32" s="24" t="str">
        <f aca="false">IFERROR(INDEX(NV_TEN,MATCH(B32,NV_MA,0)),"MÃ KHÔNG CÓ")</f>
        <v>Trần Đình Hải</v>
      </c>
      <c r="D32" s="24" t="str">
        <f aca="false">IFERROR(INDEX(NV_HINHTHUC,MATCH(B32,NV_MA,0)),"")</f>
        <v>Khoán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30" t="n">
        <f aca="false">SUM(E32:AI32)</f>
        <v>0</v>
      </c>
      <c r="AK32" s="31" t="n">
        <f aca="false">IF(AJ32=0,0,AJ32/GIO_CONG)</f>
        <v>0</v>
      </c>
    </row>
    <row r="33" customFormat="false" ht="15" hidden="false" customHeight="false" outlineLevel="0" collapsed="false">
      <c r="A33" s="21" t="n">
        <v>28</v>
      </c>
      <c r="B33" s="22" t="s">
        <v>183</v>
      </c>
      <c r="C33" s="24" t="str">
        <f aca="false">IFERROR(INDEX(NV_TEN,MATCH(B33,NV_MA,0)),"MÃ KHÔNG CÓ")</f>
        <v>Hoàng Lự</v>
      </c>
      <c r="D33" s="24" t="str">
        <f aca="false">IFERROR(INDEX(NV_HINHTHUC,MATCH(B33,NV_MA,0)),"")</f>
        <v>Khoán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30" t="n">
        <f aca="false">SUM(E33:AI33)</f>
        <v>0</v>
      </c>
      <c r="AK33" s="31" t="n">
        <f aca="false">IF(AJ33=0,0,AJ33/GIO_CONG)</f>
        <v>0</v>
      </c>
    </row>
    <row r="34" customFormat="false" ht="15" hidden="false" customHeight="false" outlineLevel="0" collapsed="false">
      <c r="A34" s="21" t="n">
        <v>29</v>
      </c>
      <c r="B34" s="22" t="s">
        <v>185</v>
      </c>
      <c r="C34" s="24" t="str">
        <f aca="false">IFERROR(INDEX(NV_TEN,MATCH(B34,NV_MA,0)),"MÃ KHÔNG CÓ")</f>
        <v>Ngô Thị Thủy</v>
      </c>
      <c r="D34" s="24" t="str">
        <f aca="false">IFERROR(INDEX(NV_HINHTHUC,MATCH(B34,NV_MA,0)),"")</f>
        <v>Khoán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30" t="n">
        <f aca="false">SUM(E34:AI34)</f>
        <v>0</v>
      </c>
      <c r="AK34" s="31" t="n">
        <f aca="false">IF(AJ34=0,0,AJ34/GIO_CONG)</f>
        <v>0</v>
      </c>
    </row>
    <row r="35" customFormat="false" ht="15" hidden="false" customHeight="false" outlineLevel="0" collapsed="false">
      <c r="A35" s="21" t="n">
        <v>30</v>
      </c>
      <c r="B35" s="22" t="s">
        <v>187</v>
      </c>
      <c r="C35" s="24" t="str">
        <f aca="false">IFERROR(INDEX(NV_TEN,MATCH(B35,NV_MA,0)),"MÃ KHÔNG CÓ")</f>
        <v>Lê Thị Hương</v>
      </c>
      <c r="D35" s="24" t="str">
        <f aca="false">IFERROR(INDEX(NV_HINHTHUC,MATCH(B35,NV_MA,0)),"")</f>
        <v>Khoán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30" t="n">
        <f aca="false">SUM(E35:AI35)</f>
        <v>0</v>
      </c>
      <c r="AK35" s="31" t="n">
        <f aca="false">IF(AJ35=0,0,AJ35/GIO_CONG)</f>
        <v>0</v>
      </c>
    </row>
    <row r="36" customFormat="false" ht="15" hidden="false" customHeight="false" outlineLevel="0" collapsed="false">
      <c r="A36" s="21" t="n">
        <v>31</v>
      </c>
      <c r="B36" s="22" t="s">
        <v>189</v>
      </c>
      <c r="C36" s="24" t="str">
        <f aca="false">IFERROR(INDEX(NV_TEN,MATCH(B36,NV_MA,0)),"MÃ KHÔNG CÓ")</f>
        <v>Hoàng Thị Nhung</v>
      </c>
      <c r="D36" s="24" t="str">
        <f aca="false">IFERROR(INDEX(NV_HINHTHUC,MATCH(B36,NV_MA,0)),"")</f>
        <v>Khoán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0" t="n">
        <f aca="false">SUM(E36:AI36)</f>
        <v>0</v>
      </c>
      <c r="AK36" s="31" t="n">
        <f aca="false">IF(AJ36=0,0,AJ36/GIO_CONG)</f>
        <v>0</v>
      </c>
    </row>
    <row r="37" customFormat="false" ht="15" hidden="false" customHeight="false" outlineLevel="0" collapsed="false">
      <c r="A37" s="21" t="n">
        <v>32</v>
      </c>
      <c r="B37" s="22" t="s">
        <v>191</v>
      </c>
      <c r="C37" s="24" t="str">
        <f aca="false">IFERROR(INDEX(NV_TEN,MATCH(B37,NV_MA,0)),"MÃ KHÔNG CÓ")</f>
        <v>Trần Thị Thu Thủy</v>
      </c>
      <c r="D37" s="24" t="str">
        <f aca="false">IFERROR(INDEX(NV_HINHTHUC,MATCH(B37,NV_MA,0)),"")</f>
        <v>Khoán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30" t="n">
        <f aca="false">SUM(E37:AI37)</f>
        <v>0</v>
      </c>
      <c r="AK37" s="31" t="n">
        <f aca="false">IF(AJ37=0,0,AJ37/GIO_CONG)</f>
        <v>0</v>
      </c>
    </row>
    <row r="38" customFormat="false" ht="15" hidden="false" customHeight="false" outlineLevel="0" collapsed="false">
      <c r="A38" s="21" t="n">
        <v>33</v>
      </c>
      <c r="B38" s="22" t="s">
        <v>193</v>
      </c>
      <c r="C38" s="24" t="str">
        <f aca="false">IFERROR(INDEX(NV_TEN,MATCH(B38,NV_MA,0)),"MÃ KHÔNG CÓ")</f>
        <v>Trần Thị Cẩm Hà</v>
      </c>
      <c r="D38" s="24" t="str">
        <f aca="false">IFERROR(INDEX(NV_HINHTHUC,MATCH(B38,NV_MA,0)),"")</f>
        <v>Khoán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30" t="n">
        <f aca="false">SUM(E38:AI38)</f>
        <v>0</v>
      </c>
      <c r="AK38" s="31" t="n">
        <f aca="false">IF(AJ38=0,0,AJ38/GIO_CONG)</f>
        <v>0</v>
      </c>
    </row>
    <row r="39" customFormat="false" ht="15" hidden="false" customHeight="false" outlineLevel="0" collapsed="false">
      <c r="A39" s="21" t="n">
        <v>34</v>
      </c>
      <c r="B39" s="22" t="s">
        <v>195</v>
      </c>
      <c r="C39" s="24" t="str">
        <f aca="false">IFERROR(INDEX(NV_TEN,MATCH(B39,NV_MA,0)),"MÃ KHÔNG CÓ")</f>
        <v>Nguyễn Thị Kim Tin</v>
      </c>
      <c r="D39" s="24" t="str">
        <f aca="false">IFERROR(INDEX(NV_HINHTHUC,MATCH(B39,NV_MA,0)),"")</f>
        <v>Khoán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30" t="n">
        <f aca="false">SUM(E39:AI39)</f>
        <v>0</v>
      </c>
      <c r="AK39" s="31" t="n">
        <f aca="false">IF(AJ39=0,0,AJ39/GIO_CONG)</f>
        <v>0</v>
      </c>
    </row>
    <row r="40" customFormat="false" ht="15" hidden="false" customHeight="false" outlineLevel="0" collapsed="false">
      <c r="A40" s="21" t="n">
        <v>35</v>
      </c>
      <c r="B40" s="22" t="s">
        <v>197</v>
      </c>
      <c r="C40" s="24" t="str">
        <f aca="false">IFERROR(INDEX(NV_TEN,MATCH(B40,NV_MA,0)),"MÃ KHÔNG CÓ")</f>
        <v>Nguyễn Thị Loan</v>
      </c>
      <c r="D40" s="24" t="str">
        <f aca="false">IFERROR(INDEX(NV_HINHTHUC,MATCH(B40,NV_MA,0)),"")</f>
        <v>Khoán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30" t="n">
        <f aca="false">SUM(E40:AI40)</f>
        <v>0</v>
      </c>
      <c r="AK40" s="31" t="n">
        <f aca="false">IF(AJ40=0,0,AJ40/GIO_CONG)</f>
        <v>0</v>
      </c>
    </row>
    <row r="41" customFormat="false" ht="15" hidden="false" customHeight="false" outlineLevel="0" collapsed="false">
      <c r="A41" s="21" t="n">
        <v>36</v>
      </c>
      <c r="B41" s="22" t="s">
        <v>199</v>
      </c>
      <c r="C41" s="24" t="str">
        <f aca="false">IFERROR(INDEX(NV_TEN,MATCH(B41,NV_MA,0)),"MÃ KHÔNG CÓ")</f>
        <v>Nguyễn Thị Thu Hà</v>
      </c>
      <c r="D41" s="24" t="str">
        <f aca="false">IFERROR(INDEX(NV_HINHTHUC,MATCH(B41,NV_MA,0)),"")</f>
        <v>Khoán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30" t="n">
        <f aca="false">SUM(E41:AI41)</f>
        <v>0</v>
      </c>
      <c r="AK41" s="31" t="n">
        <f aca="false">IF(AJ41=0,0,AJ41/GIO_CONG)</f>
        <v>0</v>
      </c>
    </row>
    <row r="42" customFormat="false" ht="15" hidden="false" customHeight="false" outlineLevel="0" collapsed="false">
      <c r="A42" s="21" t="n">
        <v>37</v>
      </c>
      <c r="B42" s="22" t="s">
        <v>201</v>
      </c>
      <c r="C42" s="24" t="str">
        <f aca="false">IFERROR(INDEX(NV_TEN,MATCH(B42,NV_MA,0)),"MÃ KHÔNG CÓ")</f>
        <v>Ngô Văn Đính</v>
      </c>
      <c r="D42" s="24" t="str">
        <f aca="false">IFERROR(INDEX(NV_HINHTHUC,MATCH(B42,NV_MA,0)),"")</f>
        <v>Khoán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0" t="n">
        <f aca="false">SUM(E42:AI42)</f>
        <v>0</v>
      </c>
      <c r="AK42" s="31" t="n">
        <f aca="false">IF(AJ42=0,0,AJ42/GIO_CONG)</f>
        <v>0</v>
      </c>
    </row>
    <row r="43" customFormat="false" ht="15" hidden="false" customHeight="false" outlineLevel="0" collapsed="false">
      <c r="A43" s="21" t="n">
        <v>38</v>
      </c>
      <c r="B43" s="22" t="s">
        <v>203</v>
      </c>
      <c r="C43" s="24" t="str">
        <f aca="false">IFERROR(INDEX(NV_TEN,MATCH(B43,NV_MA,0)),"MÃ KHÔNG CÓ")</f>
        <v>Ngô Thị Quý</v>
      </c>
      <c r="D43" s="24" t="str">
        <f aca="false">IFERROR(INDEX(NV_HINHTHUC,MATCH(B43,NV_MA,0)),"")</f>
        <v>Khoán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30" t="n">
        <f aca="false">SUM(E43:AI43)</f>
        <v>0</v>
      </c>
      <c r="AK43" s="31" t="n">
        <f aca="false">IF(AJ43=0,0,AJ43/GIO_CONG)</f>
        <v>0</v>
      </c>
    </row>
    <row r="44" customFormat="false" ht="15" hidden="false" customHeight="false" outlineLevel="0" collapsed="false">
      <c r="A44" s="21" t="n">
        <v>39</v>
      </c>
      <c r="B44" s="22" t="s">
        <v>205</v>
      </c>
      <c r="C44" s="24" t="str">
        <f aca="false">IFERROR(INDEX(NV_TEN,MATCH(B44,NV_MA,0)),"MÃ KHÔNG CÓ")</f>
        <v>Ngô Văn Tịnh</v>
      </c>
      <c r="D44" s="24" t="str">
        <f aca="false">IFERROR(INDEX(NV_HINHTHUC,MATCH(B44,NV_MA,0)),"")</f>
        <v>Khoán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30" t="n">
        <f aca="false">SUM(E44:AI44)</f>
        <v>0</v>
      </c>
      <c r="AK44" s="31" t="n">
        <f aca="false">IF(AJ44=0,0,AJ44/GIO_CONG)</f>
        <v>0</v>
      </c>
    </row>
    <row r="45" customFormat="false" ht="15" hidden="false" customHeight="false" outlineLevel="0" collapsed="false">
      <c r="A45" s="21" t="n">
        <v>40</v>
      </c>
      <c r="B45" s="22" t="s">
        <v>207</v>
      </c>
      <c r="C45" s="24" t="str">
        <f aca="false">IFERROR(INDEX(NV_TEN,MATCH(B45,NV_MA,0)),"MÃ KHÔNG CÓ")</f>
        <v>Đỗ Thị Hoài</v>
      </c>
      <c r="D45" s="24" t="str">
        <f aca="false">IFERROR(INDEX(NV_HINHTHUC,MATCH(B45,NV_MA,0)),"")</f>
        <v>Khoán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30" t="n">
        <f aca="false">SUM(E45:AI45)</f>
        <v>0</v>
      </c>
      <c r="AK45" s="31" t="n">
        <f aca="false">IF(AJ45=0,0,AJ45/GIO_CONG)</f>
        <v>0</v>
      </c>
    </row>
    <row r="46" customFormat="false" ht="15" hidden="false" customHeight="false" outlineLevel="0" collapsed="false">
      <c r="A46" s="21" t="n">
        <v>41</v>
      </c>
      <c r="B46" s="22" t="s">
        <v>209</v>
      </c>
      <c r="C46" s="24" t="str">
        <f aca="false">IFERROR(INDEX(NV_TEN,MATCH(B46,NV_MA,0)),"MÃ KHÔNG CÓ")</f>
        <v>Nguyễn Thị Lợi</v>
      </c>
      <c r="D46" s="24" t="str">
        <f aca="false">IFERROR(INDEX(NV_HINHTHUC,MATCH(B46,NV_MA,0)),"")</f>
        <v>Khoán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30" t="n">
        <f aca="false">SUM(E46:AI46)</f>
        <v>0</v>
      </c>
      <c r="AK46" s="31" t="n">
        <f aca="false">IF(AJ46=0,0,AJ46/GIO_CONG)</f>
        <v>0</v>
      </c>
    </row>
    <row r="47" customFormat="false" ht="15" hidden="false" customHeight="false" outlineLevel="0" collapsed="false">
      <c r="A47" s="21" t="n">
        <v>42</v>
      </c>
      <c r="B47" s="22" t="s">
        <v>211</v>
      </c>
      <c r="C47" s="24" t="str">
        <f aca="false">IFERROR(INDEX(NV_TEN,MATCH(B47,NV_MA,0)),"MÃ KHÔNG CÓ")</f>
        <v>Trần Văn Tấn</v>
      </c>
      <c r="D47" s="24" t="str">
        <f aca="false">IFERROR(INDEX(NV_HINHTHUC,MATCH(B47,NV_MA,0)),"")</f>
        <v>Khoán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0" t="n">
        <f aca="false">SUM(E47:AI47)</f>
        <v>0</v>
      </c>
      <c r="AK47" s="31" t="n">
        <f aca="false">IF(AJ47=0,0,AJ47/GIO_CONG)</f>
        <v>0</v>
      </c>
    </row>
    <row r="48" customFormat="false" ht="15" hidden="false" customHeight="false" outlineLevel="0" collapsed="false">
      <c r="A48" s="21" t="n">
        <v>43</v>
      </c>
      <c r="B48" s="22" t="s">
        <v>213</v>
      </c>
      <c r="C48" s="24" t="str">
        <f aca="false">IFERROR(INDEX(NV_TEN,MATCH(B48,NV_MA,0)),"MÃ KHÔNG CÓ")</f>
        <v>Hoàng Văn Anh</v>
      </c>
      <c r="D48" s="24" t="str">
        <f aca="false">IFERROR(INDEX(NV_HINHTHUC,MATCH(B48,NV_MA,0)),"")</f>
        <v>Khoán</v>
      </c>
      <c r="E48" s="29" t="n">
        <v>8</v>
      </c>
      <c r="F48" s="29" t="n">
        <v>8</v>
      </c>
      <c r="G48" s="29" t="n">
        <v>8</v>
      </c>
      <c r="H48" s="29" t="n">
        <v>8</v>
      </c>
      <c r="I48" s="29" t="n">
        <v>8</v>
      </c>
      <c r="J48" s="29" t="n">
        <v>8</v>
      </c>
      <c r="K48" s="29" t="n">
        <v>8</v>
      </c>
      <c r="L48" s="29" t="n">
        <v>8</v>
      </c>
      <c r="M48" s="29" t="n">
        <v>8</v>
      </c>
      <c r="N48" s="29" t="n">
        <v>8</v>
      </c>
      <c r="O48" s="29" t="n">
        <v>8</v>
      </c>
      <c r="P48" s="29" t="n">
        <v>8</v>
      </c>
      <c r="Q48" s="29" t="n">
        <v>8</v>
      </c>
      <c r="R48" s="29" t="n">
        <v>8</v>
      </c>
      <c r="S48" s="29" t="n">
        <v>8</v>
      </c>
      <c r="T48" s="29" t="n">
        <v>8</v>
      </c>
      <c r="U48" s="29" t="n">
        <v>8</v>
      </c>
      <c r="V48" s="29" t="n">
        <v>8</v>
      </c>
      <c r="W48" s="29" t="n">
        <v>8</v>
      </c>
      <c r="X48" s="29" t="n">
        <v>8</v>
      </c>
      <c r="Y48" s="29" t="n">
        <v>8</v>
      </c>
      <c r="Z48" s="29" t="n">
        <v>8</v>
      </c>
      <c r="AA48" s="29" t="n">
        <v>8</v>
      </c>
      <c r="AB48" s="29" t="n">
        <v>8</v>
      </c>
      <c r="AC48" s="29" t="n">
        <v>8</v>
      </c>
      <c r="AD48" s="29"/>
      <c r="AE48" s="29"/>
      <c r="AF48" s="29"/>
      <c r="AG48" s="29"/>
      <c r="AH48" s="29"/>
      <c r="AI48" s="29"/>
      <c r="AJ48" s="30" t="n">
        <f aca="false">SUM(E48:AI48)</f>
        <v>200</v>
      </c>
      <c r="AK48" s="31" t="n">
        <f aca="false">IF(AJ48=0,0,AJ48/GIO_CONG)</f>
        <v>25</v>
      </c>
    </row>
    <row r="49" customFormat="false" ht="15" hidden="false" customHeight="false" outlineLevel="0" collapsed="false">
      <c r="A49" s="21" t="n">
        <v>44</v>
      </c>
      <c r="B49" s="22" t="s">
        <v>215</v>
      </c>
      <c r="C49" s="24" t="str">
        <f aca="false">IFERROR(INDEX(NV_TEN,MATCH(B49,NV_MA,0)),"MÃ KHÔNG CÓ")</f>
        <v>(Ví dụ) Nguyễn Văn A</v>
      </c>
      <c r="D49" s="24" t="str">
        <f aca="false">IFERROR(INDEX(NV_HINHTHUC,MATCH(B49,NV_MA,0)),"")</f>
        <v>Công nhật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30" t="n">
        <f aca="false">SUM(E49:AI49)</f>
        <v>0</v>
      </c>
      <c r="AK49" s="31" t="n">
        <f aca="false">IF(AJ49=0,0,AJ49/GIO_CONG)</f>
        <v>0</v>
      </c>
    </row>
    <row r="50" customFormat="false" ht="15" hidden="false" customHeight="false" outlineLevel="0" collapsed="false">
      <c r="A50" s="24"/>
      <c r="B50" s="25"/>
      <c r="C50" s="24" t="str">
        <f aca="false">IF(B50="","",IFERROR(INDEX(NV_TEN,MATCH(B50,NV_MA,0)),"MÃ KHÔNG CÓ"))</f>
        <v/>
      </c>
      <c r="D50" s="24" t="str">
        <f aca="false">IF(B50="","",IFERROR(INDEX(NV_HINHTHUC,MATCH(B50,NV_MA,0)),""))</f>
        <v/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30" t="str">
        <f aca="false">IF(B50="","",SUM(E50:AI50))</f>
        <v/>
      </c>
      <c r="AK50" s="31" t="str">
        <f aca="false">IF(B50="","",AJ50/GIO_CONG)</f>
        <v/>
      </c>
    </row>
    <row r="51" customFormat="false" ht="15" hidden="false" customHeight="false" outlineLevel="0" collapsed="false">
      <c r="A51" s="24"/>
      <c r="B51" s="25"/>
      <c r="C51" s="24" t="str">
        <f aca="false">IF(B51="","",IFERROR(INDEX(NV_TEN,MATCH(B51,NV_MA,0)),"MÃ KHÔNG CÓ"))</f>
        <v/>
      </c>
      <c r="D51" s="24" t="str">
        <f aca="false">IF(B51="","",IFERROR(INDEX(NV_HINHTHUC,MATCH(B51,NV_MA,0)),""))</f>
        <v/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30" t="str">
        <f aca="false">IF(B51="","",SUM(E51:AI51))</f>
        <v/>
      </c>
      <c r="AK51" s="31" t="str">
        <f aca="false">IF(B51="","",AJ51/GIO_CONG)</f>
        <v/>
      </c>
    </row>
    <row r="52" customFormat="false" ht="15" hidden="false" customHeight="false" outlineLevel="0" collapsed="false">
      <c r="A52" s="24"/>
      <c r="B52" s="25"/>
      <c r="C52" s="24" t="str">
        <f aca="false">IF(B52="","",IFERROR(INDEX(NV_TEN,MATCH(B52,NV_MA,0)),"MÃ KHÔNG CÓ"))</f>
        <v/>
      </c>
      <c r="D52" s="24" t="str">
        <f aca="false">IF(B52="","",IFERROR(INDEX(NV_HINHTHUC,MATCH(B52,NV_MA,0)),""))</f>
        <v/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30" t="str">
        <f aca="false">IF(B52="","",SUM(E52:AI52))</f>
        <v/>
      </c>
      <c r="AK52" s="31" t="str">
        <f aca="false">IF(B52="","",AJ52/GIO_CONG)</f>
        <v/>
      </c>
    </row>
    <row r="53" customFormat="false" ht="15" hidden="false" customHeight="false" outlineLevel="0" collapsed="false">
      <c r="A53" s="24"/>
      <c r="B53" s="25"/>
      <c r="C53" s="24" t="str">
        <f aca="false">IF(B53="","",IFERROR(INDEX(NV_TEN,MATCH(B53,NV_MA,0)),"MÃ KHÔNG CÓ"))</f>
        <v/>
      </c>
      <c r="D53" s="24" t="str">
        <f aca="false">IF(B53="","",IFERROR(INDEX(NV_HINHTHUC,MATCH(B53,NV_MA,0)),""))</f>
        <v/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30" t="str">
        <f aca="false">IF(B53="","",SUM(E53:AI53))</f>
        <v/>
      </c>
      <c r="AK53" s="31" t="str">
        <f aca="false">IF(B53="","",AJ53/GIO_CONG)</f>
        <v/>
      </c>
    </row>
    <row r="54" customFormat="false" ht="15" hidden="false" customHeight="false" outlineLevel="0" collapsed="false">
      <c r="A54" s="24"/>
      <c r="B54" s="25"/>
      <c r="C54" s="24" t="str">
        <f aca="false">IF(B54="","",IFERROR(INDEX(NV_TEN,MATCH(B54,NV_MA,0)),"MÃ KHÔNG CÓ"))</f>
        <v/>
      </c>
      <c r="D54" s="24" t="str">
        <f aca="false">IF(B54="","",IFERROR(INDEX(NV_HINHTHUC,MATCH(B54,NV_MA,0)),""))</f>
        <v/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30" t="str">
        <f aca="false">IF(B54="","",SUM(E54:AI54))</f>
        <v/>
      </c>
      <c r="AK54" s="31" t="str">
        <f aca="false">IF(B54="","",AJ54/GIO_CONG)</f>
        <v/>
      </c>
    </row>
    <row r="55" customFormat="false" ht="15" hidden="false" customHeight="false" outlineLevel="0" collapsed="false">
      <c r="A55" s="24"/>
      <c r="B55" s="25"/>
      <c r="C55" s="24" t="str">
        <f aca="false">IF(B55="","",IFERROR(INDEX(NV_TEN,MATCH(B55,NV_MA,0)),"MÃ KHÔNG CÓ"))</f>
        <v/>
      </c>
      <c r="D55" s="24" t="str">
        <f aca="false">IF(B55="","",IFERROR(INDEX(NV_HINHTHUC,MATCH(B55,NV_MA,0)),""))</f>
        <v/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30" t="str">
        <f aca="false">IF(B55="","",SUM(E55:AI55))</f>
        <v/>
      </c>
      <c r="AK55" s="31" t="str">
        <f aca="false">IF(B55="","",AJ55/GIO_CONG)</f>
        <v/>
      </c>
    </row>
    <row r="56" customFormat="false" ht="15" hidden="false" customHeight="false" outlineLevel="0" collapsed="false">
      <c r="A56" s="24"/>
      <c r="B56" s="25"/>
      <c r="C56" s="24" t="str">
        <f aca="false">IF(B56="","",IFERROR(INDEX(NV_TEN,MATCH(B56,NV_MA,0)),"MÃ KHÔNG CÓ"))</f>
        <v/>
      </c>
      <c r="D56" s="24" t="str">
        <f aca="false">IF(B56="","",IFERROR(INDEX(NV_HINHTHUC,MATCH(B56,NV_MA,0)),""))</f>
        <v/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30" t="str">
        <f aca="false">IF(B56="","",SUM(E56:AI56))</f>
        <v/>
      </c>
      <c r="AK56" s="31" t="str">
        <f aca="false">IF(B56="","",AJ56/GIO_CONG)</f>
        <v/>
      </c>
    </row>
    <row r="57" customFormat="false" ht="15" hidden="false" customHeight="false" outlineLevel="0" collapsed="false">
      <c r="A57" s="24"/>
      <c r="B57" s="25"/>
      <c r="C57" s="24" t="str">
        <f aca="false">IF(B57="","",IFERROR(INDEX(NV_TEN,MATCH(B57,NV_MA,0)),"MÃ KHÔNG CÓ"))</f>
        <v/>
      </c>
      <c r="D57" s="24" t="str">
        <f aca="false">IF(B57="","",IFERROR(INDEX(NV_HINHTHUC,MATCH(B57,NV_MA,0)),""))</f>
        <v/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30" t="str">
        <f aca="false">IF(B57="","",SUM(E57:AI57))</f>
        <v/>
      </c>
      <c r="AK57" s="31" t="str">
        <f aca="false">IF(B57="","",AJ57/GIO_CONG)</f>
        <v/>
      </c>
    </row>
    <row r="58" customFormat="false" ht="15" hidden="false" customHeight="false" outlineLevel="0" collapsed="false">
      <c r="A58" s="24"/>
      <c r="B58" s="25"/>
      <c r="C58" s="24" t="str">
        <f aca="false">IF(B58="","",IFERROR(INDEX(NV_TEN,MATCH(B58,NV_MA,0)),"MÃ KHÔNG CÓ"))</f>
        <v/>
      </c>
      <c r="D58" s="24" t="str">
        <f aca="false">IF(B58="","",IFERROR(INDEX(NV_HINHTHUC,MATCH(B58,NV_MA,0)),""))</f>
        <v/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30" t="str">
        <f aca="false">IF(B58="","",SUM(E58:AI58))</f>
        <v/>
      </c>
      <c r="AK58" s="31" t="str">
        <f aca="false">IF(B58="","",AJ58/GIO_CONG)</f>
        <v/>
      </c>
    </row>
    <row r="59" customFormat="false" ht="15" hidden="false" customHeight="false" outlineLevel="0" collapsed="false">
      <c r="A59" s="24"/>
      <c r="B59" s="25"/>
      <c r="C59" s="24" t="str">
        <f aca="false">IF(B59="","",IFERROR(INDEX(NV_TEN,MATCH(B59,NV_MA,0)),"MÃ KHÔNG CÓ"))</f>
        <v/>
      </c>
      <c r="D59" s="24" t="str">
        <f aca="false">IF(B59="","",IFERROR(INDEX(NV_HINHTHUC,MATCH(B59,NV_MA,0)),""))</f>
        <v/>
      </c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30" t="str">
        <f aca="false">IF(B59="","",SUM(E59:AI59))</f>
        <v/>
      </c>
      <c r="AK59" s="31" t="str">
        <f aca="false">IF(B59="","",AJ59/GIO_CONG)</f>
        <v/>
      </c>
    </row>
    <row r="60" customFormat="false" ht="15" hidden="false" customHeight="false" outlineLevel="0" collapsed="false">
      <c r="A60" s="24"/>
      <c r="B60" s="25"/>
      <c r="C60" s="24" t="str">
        <f aca="false">IF(B60="","",IFERROR(INDEX(NV_TEN,MATCH(B60,NV_MA,0)),"MÃ KHÔNG CÓ"))</f>
        <v/>
      </c>
      <c r="D60" s="24" t="str">
        <f aca="false">IF(B60="","",IFERROR(INDEX(NV_HINHTHUC,MATCH(B60,NV_MA,0)),""))</f>
        <v/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30" t="str">
        <f aca="false">IF(B60="","",SUM(E60:AI60))</f>
        <v/>
      </c>
      <c r="AK60" s="31" t="str">
        <f aca="false">IF(B60="","",AJ60/GIO_CONG)</f>
        <v/>
      </c>
    </row>
    <row r="61" customFormat="false" ht="15" hidden="false" customHeight="false" outlineLevel="0" collapsed="false">
      <c r="A61" s="24"/>
      <c r="B61" s="25"/>
      <c r="C61" s="24" t="str">
        <f aca="false">IF(B61="","",IFERROR(INDEX(NV_TEN,MATCH(B61,NV_MA,0)),"MÃ KHÔNG CÓ"))</f>
        <v/>
      </c>
      <c r="D61" s="24" t="str">
        <f aca="false">IF(B61="","",IFERROR(INDEX(NV_HINHTHUC,MATCH(B61,NV_MA,0)),""))</f>
        <v/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30" t="str">
        <f aca="false">IF(B61="","",SUM(E61:AI61))</f>
        <v/>
      </c>
      <c r="AK61" s="31" t="str">
        <f aca="false">IF(B61="","",AJ61/GIO_CONG)</f>
        <v/>
      </c>
    </row>
    <row r="62" customFormat="false" ht="15" hidden="false" customHeight="false" outlineLevel="0" collapsed="false">
      <c r="A62" s="24"/>
      <c r="B62" s="25"/>
      <c r="C62" s="24" t="str">
        <f aca="false">IF(B62="","",IFERROR(INDEX(NV_TEN,MATCH(B62,NV_MA,0)),"MÃ KHÔNG CÓ"))</f>
        <v/>
      </c>
      <c r="D62" s="24" t="str">
        <f aca="false">IF(B62="","",IFERROR(INDEX(NV_HINHTHUC,MATCH(B62,NV_MA,0)),""))</f>
        <v/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30" t="str">
        <f aca="false">IF(B62="","",SUM(E62:AI62))</f>
        <v/>
      </c>
      <c r="AK62" s="31" t="str">
        <f aca="false">IF(B62="","",AJ62/GIO_CONG)</f>
        <v/>
      </c>
    </row>
    <row r="63" customFormat="false" ht="15" hidden="false" customHeight="false" outlineLevel="0" collapsed="false">
      <c r="A63" s="24"/>
      <c r="B63" s="25"/>
      <c r="C63" s="24" t="str">
        <f aca="false">IF(B63="","",IFERROR(INDEX(NV_TEN,MATCH(B63,NV_MA,0)),"MÃ KHÔNG CÓ"))</f>
        <v/>
      </c>
      <c r="D63" s="24" t="str">
        <f aca="false">IF(B63="","",IFERROR(INDEX(NV_HINHTHUC,MATCH(B63,NV_MA,0)),""))</f>
        <v/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30" t="str">
        <f aca="false">IF(B63="","",SUM(E63:AI63))</f>
        <v/>
      </c>
      <c r="AK63" s="31" t="str">
        <f aca="false">IF(B63="","",AJ63/GIO_CONG)</f>
        <v/>
      </c>
    </row>
    <row r="64" customFormat="false" ht="15" hidden="false" customHeight="false" outlineLevel="0" collapsed="false">
      <c r="A64" s="24"/>
      <c r="B64" s="25"/>
      <c r="C64" s="24" t="str">
        <f aca="false">IF(B64="","",IFERROR(INDEX(NV_TEN,MATCH(B64,NV_MA,0)),"MÃ KHÔNG CÓ"))</f>
        <v/>
      </c>
      <c r="D64" s="24" t="str">
        <f aca="false">IF(B64="","",IFERROR(INDEX(NV_HINHTHUC,MATCH(B64,NV_MA,0)),""))</f>
        <v/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30" t="str">
        <f aca="false">IF(B64="","",SUM(E64:AI64))</f>
        <v/>
      </c>
      <c r="AK64" s="31" t="str">
        <f aca="false">IF(B64="","",AJ64/GIO_CONG)</f>
        <v/>
      </c>
    </row>
    <row r="65" customFormat="false" ht="15" hidden="false" customHeight="false" outlineLevel="0" collapsed="false">
      <c r="A65" s="24"/>
      <c r="B65" s="25"/>
      <c r="C65" s="24" t="str">
        <f aca="false">IF(B65="","",IFERROR(INDEX(NV_TEN,MATCH(B65,NV_MA,0)),"MÃ KHÔNG CÓ"))</f>
        <v/>
      </c>
      <c r="D65" s="24" t="str">
        <f aca="false">IF(B65="","",IFERROR(INDEX(NV_HINHTHUC,MATCH(B65,NV_MA,0)),""))</f>
        <v/>
      </c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30" t="str">
        <f aca="false">IF(B65="","",SUM(E65:AI65))</f>
        <v/>
      </c>
      <c r="AK65" s="31" t="str">
        <f aca="false">IF(B65="","",AJ65/GIO_CONG)</f>
        <v/>
      </c>
    </row>
    <row r="66" customFormat="false" ht="15" hidden="false" customHeight="false" outlineLevel="0" collapsed="false">
      <c r="A66" s="24"/>
      <c r="B66" s="25"/>
      <c r="C66" s="24" t="str">
        <f aca="false">IF(B66="","",IFERROR(INDEX(NV_TEN,MATCH(B66,NV_MA,0)),"MÃ KHÔNG CÓ"))</f>
        <v/>
      </c>
      <c r="D66" s="24" t="str">
        <f aca="false">IF(B66="","",IFERROR(INDEX(NV_HINHTHUC,MATCH(B66,NV_MA,0)),""))</f>
        <v/>
      </c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30" t="str">
        <f aca="false">IF(B66="","",SUM(E66:AI66))</f>
        <v/>
      </c>
      <c r="AK66" s="31" t="str">
        <f aca="false">IF(B66="","",AJ66/GIO_CONG)</f>
        <v/>
      </c>
    </row>
    <row r="67" customFormat="false" ht="15" hidden="false" customHeight="false" outlineLevel="0" collapsed="false">
      <c r="A67" s="24"/>
      <c r="B67" s="25"/>
      <c r="C67" s="24" t="str">
        <f aca="false">IF(B67="","",IFERROR(INDEX(NV_TEN,MATCH(B67,NV_MA,0)),"MÃ KHÔNG CÓ"))</f>
        <v/>
      </c>
      <c r="D67" s="24" t="str">
        <f aca="false">IF(B67="","",IFERROR(INDEX(NV_HINHTHUC,MATCH(B67,NV_MA,0)),""))</f>
        <v/>
      </c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30" t="str">
        <f aca="false">IF(B67="","",SUM(E67:AI67))</f>
        <v/>
      </c>
      <c r="AK67" s="31" t="str">
        <f aca="false">IF(B67="","",AJ67/GIO_CONG)</f>
        <v/>
      </c>
    </row>
    <row r="68" customFormat="false" ht="15" hidden="false" customHeight="false" outlineLevel="0" collapsed="false">
      <c r="A68" s="24"/>
      <c r="B68" s="25"/>
      <c r="C68" s="24" t="str">
        <f aca="false">IF(B68="","",IFERROR(INDEX(NV_TEN,MATCH(B68,NV_MA,0)),"MÃ KHÔNG CÓ"))</f>
        <v/>
      </c>
      <c r="D68" s="24" t="str">
        <f aca="false">IF(B68="","",IFERROR(INDEX(NV_HINHTHUC,MATCH(B68,NV_MA,0)),""))</f>
        <v/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30" t="str">
        <f aca="false">IF(B68="","",SUM(E68:AI68))</f>
        <v/>
      </c>
      <c r="AK68" s="31" t="str">
        <f aca="false">IF(B68="","",AJ68/GIO_CONG)</f>
        <v/>
      </c>
    </row>
    <row r="69" customFormat="false" ht="15" hidden="false" customHeight="false" outlineLevel="0" collapsed="false">
      <c r="A69" s="24"/>
      <c r="B69" s="25"/>
      <c r="C69" s="24" t="str">
        <f aca="false">IF(B69="","",IFERROR(INDEX(NV_TEN,MATCH(B69,NV_MA,0)),"MÃ KHÔNG CÓ"))</f>
        <v/>
      </c>
      <c r="D69" s="24" t="str">
        <f aca="false">IF(B69="","",IFERROR(INDEX(NV_HINHTHUC,MATCH(B69,NV_MA,0)),""))</f>
        <v/>
      </c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30" t="str">
        <f aca="false">IF(B69="","",SUM(E69:AI69))</f>
        <v/>
      </c>
      <c r="AK69" s="31" t="str">
        <f aca="false">IF(B69="","",AJ69/GIO_CONG)</f>
        <v/>
      </c>
    </row>
    <row r="70" customFormat="false" ht="15" hidden="false" customHeight="false" outlineLevel="0" collapsed="false">
      <c r="A70" s="24"/>
      <c r="B70" s="25"/>
      <c r="C70" s="24" t="str">
        <f aca="false">IF(B70="","",IFERROR(INDEX(NV_TEN,MATCH(B70,NV_MA,0)),"MÃ KHÔNG CÓ"))</f>
        <v/>
      </c>
      <c r="D70" s="24" t="str">
        <f aca="false">IF(B70="","",IFERROR(INDEX(NV_HINHTHUC,MATCH(B70,NV_MA,0)),""))</f>
        <v/>
      </c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30" t="str">
        <f aca="false">IF(B70="","",SUM(E70:AI70))</f>
        <v/>
      </c>
      <c r="AK70" s="31" t="str">
        <f aca="false">IF(B70="","",AJ70/GIO_CONG)</f>
        <v/>
      </c>
    </row>
    <row r="71" customFormat="false" ht="15" hidden="false" customHeight="false" outlineLevel="0" collapsed="false">
      <c r="A71" s="24"/>
      <c r="B71" s="25"/>
      <c r="C71" s="24" t="str">
        <f aca="false">IF(B71="","",IFERROR(INDEX(NV_TEN,MATCH(B71,NV_MA,0)),"MÃ KHÔNG CÓ"))</f>
        <v/>
      </c>
      <c r="D71" s="24" t="str">
        <f aca="false">IF(B71="","",IFERROR(INDEX(NV_HINHTHUC,MATCH(B71,NV_MA,0)),""))</f>
        <v/>
      </c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30" t="str">
        <f aca="false">IF(B71="","",SUM(E71:AI71))</f>
        <v/>
      </c>
      <c r="AK71" s="31" t="str">
        <f aca="false">IF(B71="","",AJ71/GIO_CONG)</f>
        <v/>
      </c>
    </row>
    <row r="72" customFormat="false" ht="15" hidden="false" customHeight="false" outlineLevel="0" collapsed="false">
      <c r="A72" s="24"/>
      <c r="B72" s="25"/>
      <c r="C72" s="24" t="str">
        <f aca="false">IF(B72="","",IFERROR(INDEX(NV_TEN,MATCH(B72,NV_MA,0)),"MÃ KHÔNG CÓ"))</f>
        <v/>
      </c>
      <c r="D72" s="24" t="str">
        <f aca="false">IF(B72="","",IFERROR(INDEX(NV_HINHTHUC,MATCH(B72,NV_MA,0)),""))</f>
        <v/>
      </c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30" t="str">
        <f aca="false">IF(B72="","",SUM(E72:AI72))</f>
        <v/>
      </c>
      <c r="AK72" s="31" t="str">
        <f aca="false">IF(B72="","",AJ72/GIO_CONG)</f>
        <v/>
      </c>
    </row>
    <row r="73" customFormat="false" ht="15" hidden="false" customHeight="false" outlineLevel="0" collapsed="false">
      <c r="A73" s="24"/>
      <c r="B73" s="25"/>
      <c r="C73" s="24" t="str">
        <f aca="false">IF(B73="","",IFERROR(INDEX(NV_TEN,MATCH(B73,NV_MA,0)),"MÃ KHÔNG CÓ"))</f>
        <v/>
      </c>
      <c r="D73" s="24" t="str">
        <f aca="false">IF(B73="","",IFERROR(INDEX(NV_HINHTHUC,MATCH(B73,NV_MA,0)),""))</f>
        <v/>
      </c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30" t="str">
        <f aca="false">IF(B73="","",SUM(E73:AI73))</f>
        <v/>
      </c>
      <c r="AK73" s="31" t="str">
        <f aca="false">IF(B73="","",AJ73/GIO_CONG)</f>
        <v/>
      </c>
    </row>
    <row r="74" customFormat="false" ht="15" hidden="false" customHeight="false" outlineLevel="0" collapsed="false">
      <c r="A74" s="24"/>
      <c r="B74" s="25"/>
      <c r="C74" s="24" t="str">
        <f aca="false">IF(B74="","",IFERROR(INDEX(NV_TEN,MATCH(B74,NV_MA,0)),"MÃ KHÔNG CÓ"))</f>
        <v/>
      </c>
      <c r="D74" s="24" t="str">
        <f aca="false">IF(B74="","",IFERROR(INDEX(NV_HINHTHUC,MATCH(B74,NV_MA,0)),""))</f>
        <v/>
      </c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30" t="str">
        <f aca="false">IF(B74="","",SUM(E74:AI74))</f>
        <v/>
      </c>
      <c r="AK74" s="31" t="str">
        <f aca="false">IF(B74="","",AJ74/GIO_CONG)</f>
        <v/>
      </c>
    </row>
    <row r="75" customFormat="false" ht="15" hidden="false" customHeight="false" outlineLevel="0" collapsed="false">
      <c r="A75" s="24"/>
      <c r="B75" s="25"/>
      <c r="C75" s="24" t="str">
        <f aca="false">IF(B75="","",IFERROR(INDEX(NV_TEN,MATCH(B75,NV_MA,0)),"MÃ KHÔNG CÓ"))</f>
        <v/>
      </c>
      <c r="D75" s="24" t="str">
        <f aca="false">IF(B75="","",IFERROR(INDEX(NV_HINHTHUC,MATCH(B75,NV_MA,0)),""))</f>
        <v/>
      </c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30" t="str">
        <f aca="false">IF(B75="","",SUM(E75:AI75))</f>
        <v/>
      </c>
      <c r="AK75" s="31" t="str">
        <f aca="false">IF(B75="","",AJ75/GIO_CONG)</f>
        <v/>
      </c>
    </row>
    <row r="76" customFormat="false" ht="15" hidden="false" customHeight="false" outlineLevel="0" collapsed="false">
      <c r="A76" s="24"/>
      <c r="B76" s="25"/>
      <c r="C76" s="24" t="str">
        <f aca="false">IF(B76="","",IFERROR(INDEX(NV_TEN,MATCH(B76,NV_MA,0)),"MÃ KHÔNG CÓ"))</f>
        <v/>
      </c>
      <c r="D76" s="24" t="str">
        <f aca="false">IF(B76="","",IFERROR(INDEX(NV_HINHTHUC,MATCH(B76,NV_MA,0)),""))</f>
        <v/>
      </c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30" t="str">
        <f aca="false">IF(B76="","",SUM(E76:AI76))</f>
        <v/>
      </c>
      <c r="AK76" s="31" t="str">
        <f aca="false">IF(B76="","",AJ76/GIO_CONG)</f>
        <v/>
      </c>
    </row>
    <row r="77" customFormat="false" ht="15" hidden="false" customHeight="false" outlineLevel="0" collapsed="false">
      <c r="A77" s="24"/>
      <c r="B77" s="25"/>
      <c r="C77" s="24" t="str">
        <f aca="false">IF(B77="","",IFERROR(INDEX(NV_TEN,MATCH(B77,NV_MA,0)),"MÃ KHÔNG CÓ"))</f>
        <v/>
      </c>
      <c r="D77" s="24" t="str">
        <f aca="false">IF(B77="","",IFERROR(INDEX(NV_HINHTHUC,MATCH(B77,NV_MA,0)),""))</f>
        <v/>
      </c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30" t="str">
        <f aca="false">IF(B77="","",SUM(E77:AI77))</f>
        <v/>
      </c>
      <c r="AK77" s="31" t="str">
        <f aca="false">IF(B77="","",AJ77/GIO_CONG)</f>
        <v/>
      </c>
    </row>
    <row r="78" customFormat="false" ht="15" hidden="false" customHeight="false" outlineLevel="0" collapsed="false">
      <c r="A78" s="24"/>
      <c r="B78" s="25"/>
      <c r="C78" s="24" t="str">
        <f aca="false">IF(B78="","",IFERROR(INDEX(NV_TEN,MATCH(B78,NV_MA,0)),"MÃ KHÔNG CÓ"))</f>
        <v/>
      </c>
      <c r="D78" s="24" t="str">
        <f aca="false">IF(B78="","",IFERROR(INDEX(NV_HINHTHUC,MATCH(B78,NV_MA,0)),""))</f>
        <v/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30" t="str">
        <f aca="false">IF(B78="","",SUM(E78:AI78))</f>
        <v/>
      </c>
      <c r="AK78" s="31" t="str">
        <f aca="false">IF(B78="","",AJ78/GIO_CONG)</f>
        <v/>
      </c>
    </row>
    <row r="79" customFormat="false" ht="15" hidden="false" customHeight="false" outlineLevel="0" collapsed="false">
      <c r="A79" s="24"/>
      <c r="B79" s="25"/>
      <c r="C79" s="24" t="str">
        <f aca="false">IF(B79="","",IFERROR(INDEX(NV_TEN,MATCH(B79,NV_MA,0)),"MÃ KHÔNG CÓ"))</f>
        <v/>
      </c>
      <c r="D79" s="24" t="str">
        <f aca="false">IF(B79="","",IFERROR(INDEX(NV_HINHTHUC,MATCH(B79,NV_MA,0)),""))</f>
        <v/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30" t="str">
        <f aca="false">IF(B79="","",SUM(E79:AI79))</f>
        <v/>
      </c>
      <c r="AK79" s="31" t="str">
        <f aca="false">IF(B79="","",AJ79/GIO_CONG)</f>
        <v/>
      </c>
    </row>
    <row r="80" customFormat="false" ht="15" hidden="false" customHeight="false" outlineLevel="0" collapsed="false">
      <c r="A80" s="24"/>
      <c r="B80" s="25"/>
      <c r="C80" s="24" t="str">
        <f aca="false">IF(B80="","",IFERROR(INDEX(NV_TEN,MATCH(B80,NV_MA,0)),"MÃ KHÔNG CÓ"))</f>
        <v/>
      </c>
      <c r="D80" s="24" t="str">
        <f aca="false">IF(B80="","",IFERROR(INDEX(NV_HINHTHUC,MATCH(B80,NV_MA,0)),""))</f>
        <v/>
      </c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30" t="str">
        <f aca="false">IF(B80="","",SUM(E80:AI80))</f>
        <v/>
      </c>
      <c r="AK80" s="31" t="str">
        <f aca="false">IF(B80="","",AJ80/GIO_CONG)</f>
        <v/>
      </c>
    </row>
    <row r="81" customFormat="false" ht="15" hidden="false" customHeight="false" outlineLevel="0" collapsed="false">
      <c r="A81" s="24"/>
      <c r="B81" s="25"/>
      <c r="C81" s="24" t="str">
        <f aca="false">IF(B81="","",IFERROR(INDEX(NV_TEN,MATCH(B81,NV_MA,0)),"MÃ KHÔNG CÓ"))</f>
        <v/>
      </c>
      <c r="D81" s="24" t="str">
        <f aca="false">IF(B81="","",IFERROR(INDEX(NV_HINHTHUC,MATCH(B81,NV_MA,0)),""))</f>
        <v/>
      </c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30" t="str">
        <f aca="false">IF(B81="","",SUM(E81:AI81))</f>
        <v/>
      </c>
      <c r="AK81" s="31" t="str">
        <f aca="false">IF(B81="","",AJ81/GIO_CONG)</f>
        <v/>
      </c>
    </row>
    <row r="82" customFormat="false" ht="15" hidden="false" customHeight="false" outlineLevel="0" collapsed="false">
      <c r="A82" s="24"/>
      <c r="B82" s="25"/>
      <c r="C82" s="24" t="str">
        <f aca="false">IF(B82="","",IFERROR(INDEX(NV_TEN,MATCH(B82,NV_MA,0)),"MÃ KHÔNG CÓ"))</f>
        <v/>
      </c>
      <c r="D82" s="24" t="str">
        <f aca="false">IF(B82="","",IFERROR(INDEX(NV_HINHTHUC,MATCH(B82,NV_MA,0)),""))</f>
        <v/>
      </c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30" t="str">
        <f aca="false">IF(B82="","",SUM(E82:AI82))</f>
        <v/>
      </c>
      <c r="AK82" s="31" t="str">
        <f aca="false">IF(B82="","",AJ82/GIO_CONG)</f>
        <v/>
      </c>
    </row>
    <row r="83" customFormat="false" ht="15" hidden="false" customHeight="false" outlineLevel="0" collapsed="false">
      <c r="A83" s="24"/>
      <c r="B83" s="25"/>
      <c r="C83" s="24" t="str">
        <f aca="false">IF(B83="","",IFERROR(INDEX(NV_TEN,MATCH(B83,NV_MA,0)),"MÃ KHÔNG CÓ"))</f>
        <v/>
      </c>
      <c r="D83" s="24" t="str">
        <f aca="false">IF(B83="","",IFERROR(INDEX(NV_HINHTHUC,MATCH(B83,NV_MA,0)),""))</f>
        <v/>
      </c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30" t="str">
        <f aca="false">IF(B83="","",SUM(E83:AI83))</f>
        <v/>
      </c>
      <c r="AK83" s="31" t="str">
        <f aca="false">IF(B83="","",AJ83/GIO_CONG)</f>
        <v/>
      </c>
    </row>
    <row r="84" customFormat="false" ht="15" hidden="false" customHeight="false" outlineLevel="0" collapsed="false">
      <c r="A84" s="24"/>
      <c r="B84" s="25"/>
      <c r="C84" s="24" t="str">
        <f aca="false">IF(B84="","",IFERROR(INDEX(NV_TEN,MATCH(B84,NV_MA,0)),"MÃ KHÔNG CÓ"))</f>
        <v/>
      </c>
      <c r="D84" s="24" t="str">
        <f aca="false">IF(B84="","",IFERROR(INDEX(NV_HINHTHUC,MATCH(B84,NV_MA,0)),""))</f>
        <v/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30" t="str">
        <f aca="false">IF(B84="","",SUM(E84:AI84))</f>
        <v/>
      </c>
      <c r="AK84" s="31" t="str">
        <f aca="false">IF(B84="","",AJ84/GIO_CONG)</f>
        <v/>
      </c>
    </row>
    <row r="85" customFormat="false" ht="15" hidden="false" customHeight="false" outlineLevel="0" collapsed="false">
      <c r="A85" s="24"/>
      <c r="B85" s="25"/>
      <c r="C85" s="24" t="str">
        <f aca="false">IF(B85="","",IFERROR(INDEX(NV_TEN,MATCH(B85,NV_MA,0)),"MÃ KHÔNG CÓ"))</f>
        <v/>
      </c>
      <c r="D85" s="24" t="str">
        <f aca="false">IF(B85="","",IFERROR(INDEX(NV_HINHTHUC,MATCH(B85,NV_MA,0)),""))</f>
        <v/>
      </c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30" t="str">
        <f aca="false">IF(B85="","",SUM(E85:AI85))</f>
        <v/>
      </c>
      <c r="AK85" s="31" t="str">
        <f aca="false">IF(B85="","",AJ85/GIO_CONG)</f>
        <v/>
      </c>
    </row>
    <row r="86" customFormat="false" ht="15" hidden="false" customHeight="false" outlineLevel="0" collapsed="false">
      <c r="A86" s="24"/>
      <c r="B86" s="25"/>
      <c r="C86" s="24" t="str">
        <f aca="false">IF(B86="","",IFERROR(INDEX(NV_TEN,MATCH(B86,NV_MA,0)),"MÃ KHÔNG CÓ"))</f>
        <v/>
      </c>
      <c r="D86" s="24" t="str">
        <f aca="false">IF(B86="","",IFERROR(INDEX(NV_HINHTHUC,MATCH(B86,NV_MA,0)),""))</f>
        <v/>
      </c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30" t="str">
        <f aca="false">IF(B86="","",SUM(E86:AI86))</f>
        <v/>
      </c>
      <c r="AK86" s="31" t="str">
        <f aca="false">IF(B86="","",AJ86/GIO_CONG)</f>
        <v/>
      </c>
    </row>
    <row r="87" customFormat="false" ht="15" hidden="false" customHeight="false" outlineLevel="0" collapsed="false">
      <c r="A87" s="24"/>
      <c r="B87" s="25"/>
      <c r="C87" s="24" t="str">
        <f aca="false">IF(B87="","",IFERROR(INDEX(NV_TEN,MATCH(B87,NV_MA,0)),"MÃ KHÔNG CÓ"))</f>
        <v/>
      </c>
      <c r="D87" s="24" t="str">
        <f aca="false">IF(B87="","",IFERROR(INDEX(NV_HINHTHUC,MATCH(B87,NV_MA,0)),""))</f>
        <v/>
      </c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30" t="str">
        <f aca="false">IF(B87="","",SUM(E87:AI87))</f>
        <v/>
      </c>
      <c r="AK87" s="31" t="str">
        <f aca="false">IF(B87="","",AJ87/GIO_CONG)</f>
        <v/>
      </c>
    </row>
    <row r="88" customFormat="false" ht="15" hidden="false" customHeight="false" outlineLevel="0" collapsed="false">
      <c r="A88" s="24"/>
      <c r="B88" s="25"/>
      <c r="C88" s="24" t="str">
        <f aca="false">IF(B88="","",IFERROR(INDEX(NV_TEN,MATCH(B88,NV_MA,0)),"MÃ KHÔNG CÓ"))</f>
        <v/>
      </c>
      <c r="D88" s="24" t="str">
        <f aca="false">IF(B88="","",IFERROR(INDEX(NV_HINHTHUC,MATCH(B88,NV_MA,0)),""))</f>
        <v/>
      </c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30" t="str">
        <f aca="false">IF(B88="","",SUM(E88:AI88))</f>
        <v/>
      </c>
      <c r="AK88" s="31" t="str">
        <f aca="false">IF(B88="","",AJ88/GIO_CONG)</f>
        <v/>
      </c>
    </row>
    <row r="89" customFormat="false" ht="15" hidden="false" customHeight="false" outlineLevel="0" collapsed="false">
      <c r="A89" s="24"/>
      <c r="B89" s="25"/>
      <c r="C89" s="24" t="str">
        <f aca="false">IF(B89="","",IFERROR(INDEX(NV_TEN,MATCH(B89,NV_MA,0)),"MÃ KHÔNG CÓ"))</f>
        <v/>
      </c>
      <c r="D89" s="24" t="str">
        <f aca="false">IF(B89="","",IFERROR(INDEX(NV_HINHTHUC,MATCH(B89,NV_MA,0)),""))</f>
        <v/>
      </c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30" t="str">
        <f aca="false">IF(B89="","",SUM(E89:AI89))</f>
        <v/>
      </c>
      <c r="AK89" s="31" t="str">
        <f aca="false">IF(B89="","",AJ89/GIO_CONG)</f>
        <v/>
      </c>
    </row>
    <row r="90" customFormat="false" ht="15" hidden="false" customHeight="false" outlineLevel="0" collapsed="false">
      <c r="A90" s="24"/>
      <c r="B90" s="25"/>
      <c r="C90" s="24" t="str">
        <f aca="false">IF(B90="","",IFERROR(INDEX(NV_TEN,MATCH(B90,NV_MA,0)),"MÃ KHÔNG CÓ"))</f>
        <v/>
      </c>
      <c r="D90" s="24" t="str">
        <f aca="false">IF(B90="","",IFERROR(INDEX(NV_HINHTHUC,MATCH(B90,NV_MA,0)),""))</f>
        <v/>
      </c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30" t="str">
        <f aca="false">IF(B90="","",SUM(E90:AI90))</f>
        <v/>
      </c>
      <c r="AK90" s="31" t="str">
        <f aca="false">IF(B90="","",AJ90/GIO_CONG)</f>
        <v/>
      </c>
    </row>
    <row r="91" customFormat="false" ht="15" hidden="false" customHeight="false" outlineLevel="0" collapsed="false">
      <c r="A91" s="24"/>
      <c r="B91" s="25"/>
      <c r="C91" s="24" t="str">
        <f aca="false">IF(B91="","",IFERROR(INDEX(NV_TEN,MATCH(B91,NV_MA,0)),"MÃ KHÔNG CÓ"))</f>
        <v/>
      </c>
      <c r="D91" s="24" t="str">
        <f aca="false">IF(B91="","",IFERROR(INDEX(NV_HINHTHUC,MATCH(B91,NV_MA,0)),""))</f>
        <v/>
      </c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30" t="str">
        <f aca="false">IF(B91="","",SUM(E91:AI91))</f>
        <v/>
      </c>
      <c r="AK91" s="31" t="str">
        <f aca="false">IF(B91="","",AJ91/GIO_CONG)</f>
        <v/>
      </c>
    </row>
    <row r="92" customFormat="false" ht="15" hidden="false" customHeight="false" outlineLevel="0" collapsed="false">
      <c r="A92" s="24"/>
      <c r="B92" s="25"/>
      <c r="C92" s="24" t="str">
        <f aca="false">IF(B92="","",IFERROR(INDEX(NV_TEN,MATCH(B92,NV_MA,0)),"MÃ KHÔNG CÓ"))</f>
        <v/>
      </c>
      <c r="D92" s="24" t="str">
        <f aca="false">IF(B92="","",IFERROR(INDEX(NV_HINHTHUC,MATCH(B92,NV_MA,0)),""))</f>
        <v/>
      </c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30" t="str">
        <f aca="false">IF(B92="","",SUM(E92:AI92))</f>
        <v/>
      </c>
      <c r="AK92" s="31" t="str">
        <f aca="false">IF(B92="","",AJ92/GIO_CONG)</f>
        <v/>
      </c>
    </row>
    <row r="93" customFormat="false" ht="15" hidden="false" customHeight="false" outlineLevel="0" collapsed="false">
      <c r="A93" s="24"/>
      <c r="B93" s="25"/>
      <c r="C93" s="24" t="str">
        <f aca="false">IF(B93="","",IFERROR(INDEX(NV_TEN,MATCH(B93,NV_MA,0)),"MÃ KHÔNG CÓ"))</f>
        <v/>
      </c>
      <c r="D93" s="24" t="str">
        <f aca="false">IF(B93="","",IFERROR(INDEX(NV_HINHTHUC,MATCH(B93,NV_MA,0)),""))</f>
        <v/>
      </c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30" t="str">
        <f aca="false">IF(B93="","",SUM(E93:AI93))</f>
        <v/>
      </c>
      <c r="AK93" s="31" t="str">
        <f aca="false">IF(B93="","",AJ93/GIO_CONG)</f>
        <v/>
      </c>
    </row>
    <row r="94" customFormat="false" ht="15" hidden="false" customHeight="false" outlineLevel="0" collapsed="false">
      <c r="A94" s="24"/>
      <c r="B94" s="25"/>
      <c r="C94" s="24" t="str">
        <f aca="false">IF(B94="","",IFERROR(INDEX(NV_TEN,MATCH(B94,NV_MA,0)),"MÃ KHÔNG CÓ"))</f>
        <v/>
      </c>
      <c r="D94" s="24" t="str">
        <f aca="false">IF(B94="","",IFERROR(INDEX(NV_HINHTHUC,MATCH(B94,NV_MA,0)),""))</f>
        <v/>
      </c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30" t="str">
        <f aca="false">IF(B94="","",SUM(E94:AI94))</f>
        <v/>
      </c>
      <c r="AK94" s="31" t="str">
        <f aca="false">IF(B94="","",AJ94/GIO_CONG)</f>
        <v/>
      </c>
    </row>
    <row r="95" customFormat="false" ht="15" hidden="false" customHeight="false" outlineLevel="0" collapsed="false">
      <c r="A95" s="24"/>
      <c r="B95" s="25"/>
      <c r="C95" s="24" t="str">
        <f aca="false">IF(B95="","",IFERROR(INDEX(NV_TEN,MATCH(B95,NV_MA,0)),"MÃ KHÔNG CÓ"))</f>
        <v/>
      </c>
      <c r="D95" s="24" t="str">
        <f aca="false">IF(B95="","",IFERROR(INDEX(NV_HINHTHUC,MATCH(B95,NV_MA,0)),""))</f>
        <v/>
      </c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30" t="str">
        <f aca="false">IF(B95="","",SUM(E95:AI95))</f>
        <v/>
      </c>
      <c r="AK95" s="31" t="str">
        <f aca="false">IF(B95="","",AJ95/GIO_CONG)</f>
        <v/>
      </c>
    </row>
    <row r="96" customFormat="false" ht="15" hidden="false" customHeight="false" outlineLevel="0" collapsed="false">
      <c r="A96" s="24"/>
      <c r="B96" s="25"/>
      <c r="C96" s="24" t="str">
        <f aca="false">IF(B96="","",IFERROR(INDEX(NV_TEN,MATCH(B96,NV_MA,0)),"MÃ KHÔNG CÓ"))</f>
        <v/>
      </c>
      <c r="D96" s="24" t="str">
        <f aca="false">IF(B96="","",IFERROR(INDEX(NV_HINHTHUC,MATCH(B96,NV_MA,0)),""))</f>
        <v/>
      </c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30" t="str">
        <f aca="false">IF(B96="","",SUM(E96:AI96))</f>
        <v/>
      </c>
      <c r="AK96" s="31" t="str">
        <f aca="false">IF(B96="","",AJ96/GIO_CONG)</f>
        <v/>
      </c>
    </row>
    <row r="97" customFormat="false" ht="15" hidden="false" customHeight="false" outlineLevel="0" collapsed="false">
      <c r="A97" s="24"/>
      <c r="B97" s="25"/>
      <c r="C97" s="24" t="str">
        <f aca="false">IF(B97="","",IFERROR(INDEX(NV_TEN,MATCH(B97,NV_MA,0)),"MÃ KHÔNG CÓ"))</f>
        <v/>
      </c>
      <c r="D97" s="24" t="str">
        <f aca="false">IF(B97="","",IFERROR(INDEX(NV_HINHTHUC,MATCH(B97,NV_MA,0)),""))</f>
        <v/>
      </c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30" t="str">
        <f aca="false">IF(B97="","",SUM(E97:AI97))</f>
        <v/>
      </c>
      <c r="AK97" s="31" t="str">
        <f aca="false">IF(B97="","",AJ97/GIO_CONG)</f>
        <v/>
      </c>
    </row>
    <row r="98" customFormat="false" ht="15" hidden="false" customHeight="false" outlineLevel="0" collapsed="false">
      <c r="A98" s="24"/>
      <c r="B98" s="25"/>
      <c r="C98" s="24" t="str">
        <f aca="false">IF(B98="","",IFERROR(INDEX(NV_TEN,MATCH(B98,NV_MA,0)),"MÃ KHÔNG CÓ"))</f>
        <v/>
      </c>
      <c r="D98" s="24" t="str">
        <f aca="false">IF(B98="","",IFERROR(INDEX(NV_HINHTHUC,MATCH(B98,NV_MA,0)),""))</f>
        <v/>
      </c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30" t="str">
        <f aca="false">IF(B98="","",SUM(E98:AI98))</f>
        <v/>
      </c>
      <c r="AK98" s="31" t="str">
        <f aca="false">IF(B98="","",AJ98/GIO_CONG)</f>
        <v/>
      </c>
    </row>
    <row r="99" customFormat="false" ht="15" hidden="false" customHeight="false" outlineLevel="0" collapsed="false">
      <c r="A99" s="24"/>
      <c r="B99" s="25"/>
      <c r="C99" s="24" t="str">
        <f aca="false">IF(B99="","",IFERROR(INDEX(NV_TEN,MATCH(B99,NV_MA,0)),"MÃ KHÔNG CÓ"))</f>
        <v/>
      </c>
      <c r="D99" s="24" t="str">
        <f aca="false">IF(B99="","",IFERROR(INDEX(NV_HINHTHUC,MATCH(B99,NV_MA,0)),""))</f>
        <v/>
      </c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30" t="str">
        <f aca="false">IF(B99="","",SUM(E99:AI99))</f>
        <v/>
      </c>
      <c r="AK99" s="31" t="str">
        <f aca="false">IF(B99="","",AJ99/GIO_CONG)</f>
        <v/>
      </c>
    </row>
    <row r="100" customFormat="false" ht="15" hidden="false" customHeight="false" outlineLevel="0" collapsed="false">
      <c r="A100" s="24"/>
      <c r="B100" s="25"/>
      <c r="C100" s="24" t="str">
        <f aca="false">IF(B100="","",IFERROR(INDEX(NV_TEN,MATCH(B100,NV_MA,0)),"MÃ KHÔNG CÓ"))</f>
        <v/>
      </c>
      <c r="D100" s="24" t="str">
        <f aca="false">IF(B100="","",IFERROR(INDEX(NV_HINHTHUC,MATCH(B100,NV_MA,0)),""))</f>
        <v/>
      </c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30" t="str">
        <f aca="false">IF(B100="","",SUM(E100:AI100))</f>
        <v/>
      </c>
      <c r="AK100" s="31" t="str">
        <f aca="false">IF(B100="","",AJ100/GIO_CONG)</f>
        <v/>
      </c>
    </row>
    <row r="102" customFormat="false" ht="15" hidden="false" customHeight="false" outlineLevel="0" collapsed="false">
      <c r="C102" s="3" t="s">
        <v>301</v>
      </c>
      <c r="AJ102" s="32" t="n">
        <f aca="false">SUM(AJ6:AJ100)</f>
        <v>455</v>
      </c>
      <c r="AK102" s="33" t="n">
        <f aca="false">SUM(AK6:AK100)</f>
        <v>56.875</v>
      </c>
    </row>
  </sheetData>
  <sheetProtection sheet="true" formatColumns="false" formatRows="false" inser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8" min="7" style="0" width="9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4" min="11" style="0" width="12"/>
    <col collapsed="false" customWidth="true" hidden="false" outlineLevel="0" max="16" min="15" style="0" width="13"/>
    <col collapsed="false" customWidth="true" hidden="false" outlineLevel="0" max="17" min="17" style="0" width="16"/>
    <col collapsed="false" customWidth="true" hidden="false" outlineLevel="0" max="19" min="18" style="0" width="15"/>
    <col collapsed="false" customWidth="true" hidden="false" outlineLevel="0" max="20" min="20" style="0" width="30"/>
  </cols>
  <sheetData>
    <row r="1" customFormat="false" ht="17.35" hidden="false" customHeight="false" outlineLevel="0" collapsed="false">
      <c r="A1" s="1" t="s">
        <v>302</v>
      </c>
    </row>
    <row r="2" customFormat="false" ht="15" hidden="false" customHeight="false" outlineLevel="0" collapsed="false">
      <c r="A2" s="2" t="s">
        <v>303</v>
      </c>
    </row>
    <row r="4" customFormat="false" ht="42" hidden="false" customHeight="true" outlineLevel="0" collapsed="false">
      <c r="A4" s="18" t="s">
        <v>108</v>
      </c>
      <c r="B4" s="18" t="s">
        <v>109</v>
      </c>
      <c r="C4" s="18" t="s">
        <v>110</v>
      </c>
      <c r="D4" s="18" t="s">
        <v>113</v>
      </c>
      <c r="E4" s="18" t="s">
        <v>101</v>
      </c>
      <c r="F4" s="18" t="s">
        <v>102</v>
      </c>
      <c r="G4" s="18" t="s">
        <v>304</v>
      </c>
      <c r="H4" s="18" t="s">
        <v>305</v>
      </c>
      <c r="I4" s="18" t="s">
        <v>306</v>
      </c>
      <c r="J4" s="18" t="s">
        <v>307</v>
      </c>
      <c r="K4" s="18" t="s">
        <v>308</v>
      </c>
      <c r="L4" s="18" t="s">
        <v>309</v>
      </c>
      <c r="M4" s="18" t="s">
        <v>310</v>
      </c>
      <c r="N4" s="18" t="s">
        <v>311</v>
      </c>
      <c r="O4" s="18" t="s">
        <v>312</v>
      </c>
      <c r="P4" s="18" t="s">
        <v>313</v>
      </c>
      <c r="Q4" s="18" t="s">
        <v>314</v>
      </c>
      <c r="R4" s="18" t="s">
        <v>315</v>
      </c>
      <c r="S4" s="18" t="s">
        <v>316</v>
      </c>
      <c r="T4" s="18" t="s">
        <v>117</v>
      </c>
    </row>
    <row r="5" customFormat="false" ht="22.35" hidden="false" customHeight="false" outlineLevel="0" collapsed="false">
      <c r="A5" s="28"/>
      <c r="B5" s="28" t="s">
        <v>317</v>
      </c>
      <c r="C5" s="28" t="s">
        <v>318</v>
      </c>
      <c r="D5" s="28"/>
      <c r="E5" s="28" t="s">
        <v>319</v>
      </c>
      <c r="F5" s="28" t="s">
        <v>320</v>
      </c>
      <c r="G5" s="28" t="s">
        <v>321</v>
      </c>
      <c r="H5" s="28" t="s">
        <v>322</v>
      </c>
      <c r="I5" s="28" t="s">
        <v>323</v>
      </c>
      <c r="J5" s="28" t="s">
        <v>324</v>
      </c>
      <c r="K5" s="28" t="s">
        <v>325</v>
      </c>
      <c r="L5" s="28" t="s">
        <v>326</v>
      </c>
      <c r="M5" s="28" t="s">
        <v>327</v>
      </c>
      <c r="N5" s="28" t="s">
        <v>328</v>
      </c>
      <c r="O5" s="28" t="s">
        <v>329</v>
      </c>
      <c r="P5" s="28" t="s">
        <v>330</v>
      </c>
      <c r="Q5" s="28" t="s">
        <v>331</v>
      </c>
      <c r="R5" s="28" t="s">
        <v>332</v>
      </c>
      <c r="S5" s="28" t="s">
        <v>333</v>
      </c>
      <c r="T5" s="28"/>
    </row>
    <row r="6" customFormat="false" ht="15" hidden="false" customHeight="false" outlineLevel="0" collapsed="false">
      <c r="A6" s="24" t="n">
        <f aca="false">IF(B6="","",1)</f>
        <v>1</v>
      </c>
      <c r="B6" s="34" t="str">
        <f aca="false">IF(BCC_KHOAN!B6="","",BCC_KHOAN!B6)</f>
        <v>046085007061</v>
      </c>
      <c r="C6" s="24" t="str">
        <f aca="false">IF(B6="","",IFERROR(INDEX(NV_TEN,MATCH(B6,NV_MA,0)),"MÃ KHÔNG CÓ"))</f>
        <v>Lê Vang</v>
      </c>
      <c r="D6" s="24" t="str">
        <f aca="false">IF(B6="","",IFERROR(INDEX(NV_HINHTHUC,MATCH(B6,NV_MA,0)),""))</f>
        <v>Khoán</v>
      </c>
      <c r="E6" s="35" t="n">
        <f aca="false">IF(D6="Khoán",IFERROR(INDEX(NV_HESO,MATCH(B6,NV_MA,0)),0),"")</f>
        <v>1.5</v>
      </c>
      <c r="F6" s="20" t="n">
        <f aca="false">IF(D6="Khoán",IFERROR(INDEX(HS_SX!$B$5:$B$30,MATCH(E6,HS_SX!$A$5:$A$30,0)),0),"")</f>
        <v>9600</v>
      </c>
      <c r="G6" s="30" t="n">
        <f aca="false">IF(B6="","",IFERROR(INDEX(BCC_GIO,MATCH(B6,BCC_MA,0)),0))</f>
        <v>0</v>
      </c>
      <c r="H6" s="31" t="n">
        <f aca="false">IF(B6="","",G6/GIO_CONG)</f>
        <v>0</v>
      </c>
      <c r="I6" s="36" t="n">
        <f aca="false">IF(D6="Khoán",IF(GIO_TB&gt;0,G6/GIO_TB*KL_CHEBIEN,0),0)</f>
        <v>0</v>
      </c>
      <c r="J6" s="20" t="n">
        <f aca="false">IF(D6="Khoán",F6*I6,0)</f>
        <v>0</v>
      </c>
      <c r="K6" s="20" t="n">
        <f aca="false">IF(D6="Khoán",IF(TONG_GIO_KHOAN&gt;0,QUY_HANGING/TONG_GIO_KHOAN*G6,0),0)</f>
        <v>0</v>
      </c>
      <c r="L6" s="20" t="n">
        <f aca="false">IF(D6="Khoán",IF(TONG_GIO_KHOAN&gt;0,QUY_KHAC/TONG_GIO_KHOAN*G6,0),0)</f>
        <v>-0</v>
      </c>
      <c r="M6" s="20" t="n">
        <f aca="false">IF(B6="",0,SUMIFS(KHOAN_KHAC!$F$5:$F$39,KHOAN_KHAC!$G$5:$G$39,B6))</f>
        <v>100000</v>
      </c>
      <c r="N6" s="20" t="n">
        <f aca="false">IF(D6="Khoán",IF(TONG_GIO_KHOAN&gt;0,QUY_CHEN/TONG_GIO_KHOAN*G6,0),0)</f>
        <v>0</v>
      </c>
      <c r="O6" s="20" t="n">
        <f aca="false">IF(D6="Khoán",IF(TONG_GIO_KHOAN&gt;0,-TONG_CONGNHAT/TONG_GIO_KHOAN*G6,0),0)</f>
        <v>-0</v>
      </c>
      <c r="P6" s="20" t="n">
        <f aca="false">IF(D6="Công nhật",H6*IFERROR(IF(INDEX(NV_DGCN,MATCH(B6,NV_MA,0))="",DG_CONGNHAT,INDEX(NV_DGCN,MATCH(B6,NV_MA,0))),DG_CONGNHAT),0)</f>
        <v>0</v>
      </c>
      <c r="Q6" s="37" t="n">
        <f aca="false">IF(B6="","",IF(D6="Khoán",ROUNDDOWN(J6+K6+L6+M6+N6+O6,-3),P6+M6))</f>
        <v>100000</v>
      </c>
      <c r="R6" s="37" t="n">
        <f aca="false">IF(B6="","",ROUNDDOWN(TIENAN_CONG*H6,-3))</f>
        <v>0</v>
      </c>
      <c r="S6" s="37" t="n">
        <f aca="false">IF(B6="","",Q6+R6)</f>
        <v>100000</v>
      </c>
      <c r="T6" s="24"/>
    </row>
    <row r="7" customFormat="false" ht="15" hidden="false" customHeight="false" outlineLevel="0" collapsed="false">
      <c r="A7" s="24" t="n">
        <f aca="false">IF(B7="","",2)</f>
        <v>2</v>
      </c>
      <c r="B7" s="34" t="str">
        <f aca="false">IF(BCC_KHOAN!B7="","",BCC_KHOAN!B7)</f>
        <v>046077003925</v>
      </c>
      <c r="C7" s="24" t="str">
        <f aca="false">IF(B7="","",IFERROR(INDEX(NV_TEN,MATCH(B7,NV_MA,0)),"MÃ KHÔNG CÓ"))</f>
        <v>Trần Đình Mạnh</v>
      </c>
      <c r="D7" s="24" t="str">
        <f aca="false">IF(B7="","",IFERROR(INDEX(NV_HINHTHUC,MATCH(B7,NV_MA,0)),""))</f>
        <v>Khoán</v>
      </c>
      <c r="E7" s="35" t="n">
        <f aca="false">IF(D7="Khoán",IFERROR(INDEX(NV_HESO,MATCH(B7,NV_MA,0)),0),"")</f>
        <v>1.35</v>
      </c>
      <c r="F7" s="20" t="n">
        <f aca="false">IF(D7="Khoán",IFERROR(INDEX(HS_SX!$B$5:$B$30,MATCH(E7,HS_SX!$A$5:$A$30,0)),0),"")</f>
        <v>8600</v>
      </c>
      <c r="G7" s="30" t="n">
        <f aca="false">IF(B7="","",IFERROR(INDEX(BCC_GIO,MATCH(B7,BCC_MA,0)),0))</f>
        <v>0</v>
      </c>
      <c r="H7" s="31" t="n">
        <f aca="false">IF(B7="","",G7/GIO_CONG)</f>
        <v>0</v>
      </c>
      <c r="I7" s="36" t="n">
        <f aca="false">IF(D7="Khoán",IF(GIO_TB&gt;0,G7/GIO_TB*KL_CHEBIEN,0),0)</f>
        <v>0</v>
      </c>
      <c r="J7" s="20" t="n">
        <f aca="false">IF(D7="Khoán",F7*I7,0)</f>
        <v>0</v>
      </c>
      <c r="K7" s="20" t="n">
        <f aca="false">IF(D7="Khoán",IF(TONG_GIO_KHOAN&gt;0,QUY_HANGING/TONG_GIO_KHOAN*G7,0),0)</f>
        <v>0</v>
      </c>
      <c r="L7" s="20" t="n">
        <f aca="false">IF(D7="Khoán",IF(TONG_GIO_KHOAN&gt;0,QUY_KHAC/TONG_GIO_KHOAN*G7,0),0)</f>
        <v>-0</v>
      </c>
      <c r="M7" s="20" t="n">
        <f aca="false">IF(B7="",0,SUMIFS(KHOAN_KHAC!$F$5:$F$39,KHOAN_KHAC!$G$5:$G$39,B7))</f>
        <v>0</v>
      </c>
      <c r="N7" s="20" t="n">
        <f aca="false">IF(D7="Khoán",IF(TONG_GIO_KHOAN&gt;0,QUY_CHEN/TONG_GIO_KHOAN*G7,0),0)</f>
        <v>0</v>
      </c>
      <c r="O7" s="20" t="n">
        <f aca="false">IF(D7="Khoán",IF(TONG_GIO_KHOAN&gt;0,-TONG_CONGNHAT/TONG_GIO_KHOAN*G7,0),0)</f>
        <v>-0</v>
      </c>
      <c r="P7" s="20" t="n">
        <f aca="false">IF(D7="Công nhật",H7*IFERROR(IF(INDEX(NV_DGCN,MATCH(B7,NV_MA,0))="",DG_CONGNHAT,INDEX(NV_DGCN,MATCH(B7,NV_MA,0))),DG_CONGNHAT),0)</f>
        <v>0</v>
      </c>
      <c r="Q7" s="37" t="n">
        <f aca="false">IF(B7="","",IF(D7="Khoán",ROUNDDOWN(J7+K7+L7+M7+N7+O7,-3),P7+M7))</f>
        <v>0</v>
      </c>
      <c r="R7" s="37" t="n">
        <f aca="false">IF(B7="","",ROUNDDOWN(TIENAN_CONG*H7,-3))</f>
        <v>0</v>
      </c>
      <c r="S7" s="37" t="n">
        <f aca="false">IF(B7="","",Q7+R7)</f>
        <v>0</v>
      </c>
      <c r="T7" s="24"/>
    </row>
    <row r="8" customFormat="false" ht="15" hidden="false" customHeight="false" outlineLevel="0" collapsed="false">
      <c r="A8" s="24" t="n">
        <f aca="false">IF(B8="","",3)</f>
        <v>3</v>
      </c>
      <c r="B8" s="34" t="str">
        <f aca="false">IF(BCC_KHOAN!B8="","",BCC_KHOAN!B8)</f>
        <v>046177012486</v>
      </c>
      <c r="C8" s="24" t="str">
        <f aca="false">IF(B8="","",IFERROR(INDEX(NV_TEN,MATCH(B8,NV_MA,0)),"MÃ KHÔNG CÓ"))</f>
        <v>Lê Thị Bình</v>
      </c>
      <c r="D8" s="24" t="str">
        <f aca="false">IF(B8="","",IFERROR(INDEX(NV_HINHTHUC,MATCH(B8,NV_MA,0)),""))</f>
        <v>Khoán</v>
      </c>
      <c r="E8" s="35" t="n">
        <f aca="false">IF(D8="Khoán",IFERROR(INDEX(NV_HESO,MATCH(B8,NV_MA,0)),0),"")</f>
        <v>1.1</v>
      </c>
      <c r="F8" s="20" t="n">
        <f aca="false">IF(D8="Khoán",IFERROR(INDEX(HS_SX!$B$5:$B$30,MATCH(E8,HS_SX!$A$5:$A$30,0)),0),"")</f>
        <v>7100</v>
      </c>
      <c r="G8" s="30" t="n">
        <f aca="false">IF(B8="","",IFERROR(INDEX(BCC_GIO,MATCH(B8,BCC_MA,0)),0))</f>
        <v>0</v>
      </c>
      <c r="H8" s="31" t="n">
        <f aca="false">IF(B8="","",G8/GIO_CONG)</f>
        <v>0</v>
      </c>
      <c r="I8" s="36" t="n">
        <f aca="false">IF(D8="Khoán",IF(GIO_TB&gt;0,G8/GIO_TB*KL_CHEBIEN,0),0)</f>
        <v>0</v>
      </c>
      <c r="J8" s="20" t="n">
        <f aca="false">IF(D8="Khoán",F8*I8,0)</f>
        <v>0</v>
      </c>
      <c r="K8" s="20" t="n">
        <f aca="false">IF(D8="Khoán",IF(TONG_GIO_KHOAN&gt;0,QUY_HANGING/TONG_GIO_KHOAN*G8,0),0)</f>
        <v>0</v>
      </c>
      <c r="L8" s="20" t="n">
        <f aca="false">IF(D8="Khoán",IF(TONG_GIO_KHOAN&gt;0,QUY_KHAC/TONG_GIO_KHOAN*G8,0),0)</f>
        <v>-0</v>
      </c>
      <c r="M8" s="20" t="n">
        <f aca="false">IF(B8="",0,SUMIFS(KHOAN_KHAC!$F$5:$F$39,KHOAN_KHAC!$G$5:$G$39,B8))</f>
        <v>0</v>
      </c>
      <c r="N8" s="20" t="n">
        <f aca="false">IF(D8="Khoán",IF(TONG_GIO_KHOAN&gt;0,QUY_CHEN/TONG_GIO_KHOAN*G8,0),0)</f>
        <v>0</v>
      </c>
      <c r="O8" s="20" t="n">
        <f aca="false">IF(D8="Khoán",IF(TONG_GIO_KHOAN&gt;0,-TONG_CONGNHAT/TONG_GIO_KHOAN*G8,0),0)</f>
        <v>-0</v>
      </c>
      <c r="P8" s="20" t="n">
        <f aca="false">IF(D8="Công nhật",H8*IFERROR(IF(INDEX(NV_DGCN,MATCH(B8,NV_MA,0))="",DG_CONGNHAT,INDEX(NV_DGCN,MATCH(B8,NV_MA,0))),DG_CONGNHAT),0)</f>
        <v>0</v>
      </c>
      <c r="Q8" s="37" t="n">
        <f aca="false">IF(B8="","",IF(D8="Khoán",ROUNDDOWN(J8+K8+L8+M8+N8+O8,-3),P8+M8))</f>
        <v>0</v>
      </c>
      <c r="R8" s="37" t="n">
        <f aca="false">IF(B8="","",ROUNDDOWN(TIENAN_CONG*H8,-3))</f>
        <v>0</v>
      </c>
      <c r="S8" s="37" t="n">
        <f aca="false">IF(B8="","",Q8+R8)</f>
        <v>0</v>
      </c>
      <c r="T8" s="24"/>
    </row>
    <row r="9" customFormat="false" ht="15" hidden="false" customHeight="false" outlineLevel="0" collapsed="false">
      <c r="A9" s="24" t="n">
        <f aca="false">IF(B9="","",4)</f>
        <v>4</v>
      </c>
      <c r="B9" s="34" t="str">
        <f aca="false">IF(BCC_KHOAN!B9="","",BCC_KHOAN!B9)</f>
        <v>046179008435</v>
      </c>
      <c r="C9" s="24" t="str">
        <f aca="false">IF(B9="","",IFERROR(INDEX(NV_TEN,MATCH(B9,NV_MA,0)),"MÃ KHÔNG CÓ"))</f>
        <v>Trần Thị Tích</v>
      </c>
      <c r="D9" s="24" t="str">
        <f aca="false">IF(B9="","",IFERROR(INDEX(NV_HINHTHUC,MATCH(B9,NV_MA,0)),""))</f>
        <v>Khoán</v>
      </c>
      <c r="E9" s="35" t="n">
        <f aca="false">IF(D9="Khoán",IFERROR(INDEX(NV_HESO,MATCH(B9,NV_MA,0)),0),"")</f>
        <v>1.15</v>
      </c>
      <c r="F9" s="20" t="n">
        <f aca="false">IF(D9="Khoán",IFERROR(INDEX(HS_SX!$B$5:$B$30,MATCH(E9,HS_SX!$A$5:$A$30,0)),0),"")</f>
        <v>7400</v>
      </c>
      <c r="G9" s="30" t="n">
        <f aca="false">IF(B9="","",IFERROR(INDEX(BCC_GIO,MATCH(B9,BCC_MA,0)),0))</f>
        <v>0</v>
      </c>
      <c r="H9" s="31" t="n">
        <f aca="false">IF(B9="","",G9/GIO_CONG)</f>
        <v>0</v>
      </c>
      <c r="I9" s="36" t="n">
        <f aca="false">IF(D9="Khoán",IF(GIO_TB&gt;0,G9/GIO_TB*KL_CHEBIEN,0),0)</f>
        <v>0</v>
      </c>
      <c r="J9" s="20" t="n">
        <f aca="false">IF(D9="Khoán",F9*I9,0)</f>
        <v>0</v>
      </c>
      <c r="K9" s="20" t="n">
        <f aca="false">IF(D9="Khoán",IF(TONG_GIO_KHOAN&gt;0,QUY_HANGING/TONG_GIO_KHOAN*G9,0),0)</f>
        <v>0</v>
      </c>
      <c r="L9" s="20" t="n">
        <f aca="false">IF(D9="Khoán",IF(TONG_GIO_KHOAN&gt;0,QUY_KHAC/TONG_GIO_KHOAN*G9,0),0)</f>
        <v>-0</v>
      </c>
      <c r="M9" s="20" t="n">
        <f aca="false">IF(B9="",0,SUMIFS(KHOAN_KHAC!$F$5:$F$39,KHOAN_KHAC!$G$5:$G$39,B9))</f>
        <v>0</v>
      </c>
      <c r="N9" s="20" t="n">
        <f aca="false">IF(D9="Khoán",IF(TONG_GIO_KHOAN&gt;0,QUY_CHEN/TONG_GIO_KHOAN*G9,0),0)</f>
        <v>0</v>
      </c>
      <c r="O9" s="20" t="n">
        <f aca="false">IF(D9="Khoán",IF(TONG_GIO_KHOAN&gt;0,-TONG_CONGNHAT/TONG_GIO_KHOAN*G9,0),0)</f>
        <v>-0</v>
      </c>
      <c r="P9" s="20" t="n">
        <f aca="false">IF(D9="Công nhật",H9*IFERROR(IF(INDEX(NV_DGCN,MATCH(B9,NV_MA,0))="",DG_CONGNHAT,INDEX(NV_DGCN,MATCH(B9,NV_MA,0))),DG_CONGNHAT),0)</f>
        <v>0</v>
      </c>
      <c r="Q9" s="37" t="n">
        <f aca="false">IF(B9="","",IF(D9="Khoán",ROUNDDOWN(J9+K9+L9+M9+N9+O9,-3),P9+M9))</f>
        <v>0</v>
      </c>
      <c r="R9" s="37" t="n">
        <f aca="false">IF(B9="","",ROUNDDOWN(TIENAN_CONG*H9,-3))</f>
        <v>0</v>
      </c>
      <c r="S9" s="37" t="n">
        <f aca="false">IF(B9="","",Q9+R9)</f>
        <v>0</v>
      </c>
      <c r="T9" s="24"/>
    </row>
    <row r="10" customFormat="false" ht="15" hidden="false" customHeight="false" outlineLevel="0" collapsed="false">
      <c r="A10" s="24" t="n">
        <f aca="false">IF(B10="","",5)</f>
        <v>5</v>
      </c>
      <c r="B10" s="34" t="str">
        <f aca="false">IF(BCC_KHOAN!B10="","",BCC_KHOAN!B10)</f>
        <v>046175005132</v>
      </c>
      <c r="C10" s="24" t="str">
        <f aca="false">IF(B10="","",IFERROR(INDEX(NV_TEN,MATCH(B10,NV_MA,0)),"MÃ KHÔNG CÓ"))</f>
        <v>Lê Thị Nga</v>
      </c>
      <c r="D10" s="24" t="str">
        <f aca="false">IF(B10="","",IFERROR(INDEX(NV_HINHTHUC,MATCH(B10,NV_MA,0)),""))</f>
        <v>Khoán</v>
      </c>
      <c r="E10" s="35" t="n">
        <f aca="false">IF(D10="Khoán",IFERROR(INDEX(NV_HESO,MATCH(B10,NV_MA,0)),0),"")</f>
        <v>1.15</v>
      </c>
      <c r="F10" s="20" t="n">
        <f aca="false">IF(D10="Khoán",IFERROR(INDEX(HS_SX!$B$5:$B$30,MATCH(E10,HS_SX!$A$5:$A$30,0)),0),"")</f>
        <v>7400</v>
      </c>
      <c r="G10" s="30" t="n">
        <f aca="false">IF(B10="","",IFERROR(INDEX(BCC_GIO,MATCH(B10,BCC_MA,0)),0))</f>
        <v>0</v>
      </c>
      <c r="H10" s="31" t="n">
        <f aca="false">IF(B10="","",G10/GIO_CONG)</f>
        <v>0</v>
      </c>
      <c r="I10" s="36" t="n">
        <f aca="false">IF(D10="Khoán",IF(GIO_TB&gt;0,G10/GIO_TB*KL_CHEBIEN,0),0)</f>
        <v>0</v>
      </c>
      <c r="J10" s="20" t="n">
        <f aca="false">IF(D10="Khoán",F10*I10,0)</f>
        <v>0</v>
      </c>
      <c r="K10" s="20" t="n">
        <f aca="false">IF(D10="Khoán",IF(TONG_GIO_KHOAN&gt;0,QUY_HANGING/TONG_GIO_KHOAN*G10,0),0)</f>
        <v>0</v>
      </c>
      <c r="L10" s="20" t="n">
        <f aca="false">IF(D10="Khoán",IF(TONG_GIO_KHOAN&gt;0,QUY_KHAC/TONG_GIO_KHOAN*G10,0),0)</f>
        <v>-0</v>
      </c>
      <c r="M10" s="20" t="n">
        <f aca="false">IF(B10="",0,SUMIFS(KHOAN_KHAC!$F$5:$F$39,KHOAN_KHAC!$G$5:$G$39,B10))</f>
        <v>0</v>
      </c>
      <c r="N10" s="20" t="n">
        <f aca="false">IF(D10="Khoán",IF(TONG_GIO_KHOAN&gt;0,QUY_CHEN/TONG_GIO_KHOAN*G10,0),0)</f>
        <v>0</v>
      </c>
      <c r="O10" s="20" t="n">
        <f aca="false">IF(D10="Khoán",IF(TONG_GIO_KHOAN&gt;0,-TONG_CONGNHAT/TONG_GIO_KHOAN*G10,0),0)</f>
        <v>-0</v>
      </c>
      <c r="P10" s="20" t="n">
        <f aca="false">IF(D10="Công nhật",H10*IFERROR(IF(INDEX(NV_DGCN,MATCH(B10,NV_MA,0))="",DG_CONGNHAT,INDEX(NV_DGCN,MATCH(B10,NV_MA,0))),DG_CONGNHAT),0)</f>
        <v>0</v>
      </c>
      <c r="Q10" s="37" t="n">
        <f aca="false">IF(B10="","",IF(D10="Khoán",ROUNDDOWN(J10+K10+L10+M10+N10+O10,-3),P10+M10))</f>
        <v>0</v>
      </c>
      <c r="R10" s="37" t="n">
        <f aca="false">IF(B10="","",ROUNDDOWN(TIENAN_CONG*H10,-3))</f>
        <v>0</v>
      </c>
      <c r="S10" s="37" t="n">
        <f aca="false">IF(B10="","",Q10+R10)</f>
        <v>0</v>
      </c>
      <c r="T10" s="24"/>
    </row>
    <row r="11" customFormat="false" ht="15" hidden="false" customHeight="false" outlineLevel="0" collapsed="false">
      <c r="A11" s="24" t="n">
        <f aca="false">IF(B11="","",6)</f>
        <v>6</v>
      </c>
      <c r="B11" s="34" t="str">
        <f aca="false">IF(BCC_KHOAN!B11="","",BCC_KHOAN!B11)</f>
        <v>046090006706</v>
      </c>
      <c r="C11" s="24" t="str">
        <f aca="false">IF(B11="","",IFERROR(INDEX(NV_TEN,MATCH(B11,NV_MA,0)),"MÃ KHÔNG CÓ"))</f>
        <v>Phạm Bá Lượng</v>
      </c>
      <c r="D11" s="24" t="str">
        <f aca="false">IF(B11="","",IFERROR(INDEX(NV_HINHTHUC,MATCH(B11,NV_MA,0)),""))</f>
        <v>Khoán</v>
      </c>
      <c r="E11" s="35" t="n">
        <f aca="false">IF(D11="Khoán",IFERROR(INDEX(NV_HESO,MATCH(B11,NV_MA,0)),0),"")</f>
        <v>1.3</v>
      </c>
      <c r="F11" s="20" t="n">
        <f aca="false">IF(D11="Khoán",IFERROR(INDEX(HS_SX!$B$5:$B$30,MATCH(E11,HS_SX!$A$5:$A$30,0)),0),"")</f>
        <v>8300</v>
      </c>
      <c r="G11" s="30" t="n">
        <f aca="false">IF(B11="","",IFERROR(INDEX(BCC_GIO,MATCH(B11,BCC_MA,0)),0))</f>
        <v>0</v>
      </c>
      <c r="H11" s="31" t="n">
        <f aca="false">IF(B11="","",G11/GIO_CONG)</f>
        <v>0</v>
      </c>
      <c r="I11" s="36" t="n">
        <f aca="false">IF(D11="Khoán",IF(GIO_TB&gt;0,G11/GIO_TB*KL_CHEBIEN,0),0)</f>
        <v>0</v>
      </c>
      <c r="J11" s="20" t="n">
        <f aca="false">IF(D11="Khoán",F11*I11,0)</f>
        <v>0</v>
      </c>
      <c r="K11" s="20" t="n">
        <f aca="false">IF(D11="Khoán",IF(TONG_GIO_KHOAN&gt;0,QUY_HANGING/TONG_GIO_KHOAN*G11,0),0)</f>
        <v>0</v>
      </c>
      <c r="L11" s="20" t="n">
        <f aca="false">IF(D11="Khoán",IF(TONG_GIO_KHOAN&gt;0,QUY_KHAC/TONG_GIO_KHOAN*G11,0),0)</f>
        <v>-0</v>
      </c>
      <c r="M11" s="20" t="n">
        <f aca="false">IF(B11="",0,SUMIFS(KHOAN_KHAC!$F$5:$F$39,KHOAN_KHAC!$G$5:$G$39,B11))</f>
        <v>100000</v>
      </c>
      <c r="N11" s="20" t="n">
        <f aca="false">IF(D11="Khoán",IF(TONG_GIO_KHOAN&gt;0,QUY_CHEN/TONG_GIO_KHOAN*G11,0),0)</f>
        <v>0</v>
      </c>
      <c r="O11" s="20" t="n">
        <f aca="false">IF(D11="Khoán",IF(TONG_GIO_KHOAN&gt;0,-TONG_CONGNHAT/TONG_GIO_KHOAN*G11,0),0)</f>
        <v>-0</v>
      </c>
      <c r="P11" s="20" t="n">
        <f aca="false">IF(D11="Công nhật",H11*IFERROR(IF(INDEX(NV_DGCN,MATCH(B11,NV_MA,0))="",DG_CONGNHAT,INDEX(NV_DGCN,MATCH(B11,NV_MA,0))),DG_CONGNHAT),0)</f>
        <v>0</v>
      </c>
      <c r="Q11" s="37" t="n">
        <f aca="false">IF(B11="","",IF(D11="Khoán",ROUNDDOWN(J11+K11+L11+M11+N11+O11,-3),P11+M11))</f>
        <v>100000</v>
      </c>
      <c r="R11" s="37" t="n">
        <f aca="false">IF(B11="","",ROUNDDOWN(TIENAN_CONG*H11,-3))</f>
        <v>0</v>
      </c>
      <c r="S11" s="37" t="n">
        <f aca="false">IF(B11="","",Q11+R11)</f>
        <v>100000</v>
      </c>
      <c r="T11" s="24"/>
    </row>
    <row r="12" customFormat="false" ht="15" hidden="false" customHeight="false" outlineLevel="0" collapsed="false">
      <c r="A12" s="24" t="n">
        <f aca="false">IF(B12="","",7)</f>
        <v>7</v>
      </c>
      <c r="B12" s="34" t="str">
        <f aca="false">IF(BCC_KHOAN!B12="","",BCC_KHOAN!B12)</f>
        <v>046178011746</v>
      </c>
      <c r="C12" s="24" t="str">
        <f aca="false">IF(B12="","",IFERROR(INDEX(NV_TEN,MATCH(B12,NV_MA,0)),"MÃ KHÔNG CÓ"))</f>
        <v>Văn Thị Vinh</v>
      </c>
      <c r="D12" s="24" t="str">
        <f aca="false">IF(B12="","",IFERROR(INDEX(NV_HINHTHUC,MATCH(B12,NV_MA,0)),""))</f>
        <v>Khoán</v>
      </c>
      <c r="E12" s="35" t="n">
        <f aca="false">IF(D12="Khoán",IFERROR(INDEX(NV_HESO,MATCH(B12,NV_MA,0)),0),"")</f>
        <v>1.1</v>
      </c>
      <c r="F12" s="20" t="n">
        <f aca="false">IF(D12="Khoán",IFERROR(INDEX(HS_SX!$B$5:$B$30,MATCH(E12,HS_SX!$A$5:$A$30,0)),0),"")</f>
        <v>7100</v>
      </c>
      <c r="G12" s="30" t="n">
        <f aca="false">IF(B12="","",IFERROR(INDEX(BCC_GIO,MATCH(B12,BCC_MA,0)),0))</f>
        <v>0</v>
      </c>
      <c r="H12" s="31" t="n">
        <f aca="false">IF(B12="","",G12/GIO_CONG)</f>
        <v>0</v>
      </c>
      <c r="I12" s="36" t="n">
        <f aca="false">IF(D12="Khoán",IF(GIO_TB&gt;0,G12/GIO_TB*KL_CHEBIEN,0),0)</f>
        <v>0</v>
      </c>
      <c r="J12" s="20" t="n">
        <f aca="false">IF(D12="Khoán",F12*I12,0)</f>
        <v>0</v>
      </c>
      <c r="K12" s="20" t="n">
        <f aca="false">IF(D12="Khoán",IF(TONG_GIO_KHOAN&gt;0,QUY_HANGING/TONG_GIO_KHOAN*G12,0),0)</f>
        <v>0</v>
      </c>
      <c r="L12" s="20" t="n">
        <f aca="false">IF(D12="Khoán",IF(TONG_GIO_KHOAN&gt;0,QUY_KHAC/TONG_GIO_KHOAN*G12,0),0)</f>
        <v>-0</v>
      </c>
      <c r="M12" s="20" t="n">
        <f aca="false">IF(B12="",0,SUMIFS(KHOAN_KHAC!$F$5:$F$39,KHOAN_KHAC!$G$5:$G$39,B12))</f>
        <v>0</v>
      </c>
      <c r="N12" s="20" t="n">
        <f aca="false">IF(D12="Khoán",IF(TONG_GIO_KHOAN&gt;0,QUY_CHEN/TONG_GIO_KHOAN*G12,0),0)</f>
        <v>0</v>
      </c>
      <c r="O12" s="20" t="n">
        <f aca="false">IF(D12="Khoán",IF(TONG_GIO_KHOAN&gt;0,-TONG_CONGNHAT/TONG_GIO_KHOAN*G12,0),0)</f>
        <v>-0</v>
      </c>
      <c r="P12" s="20" t="n">
        <f aca="false">IF(D12="Công nhật",H12*IFERROR(IF(INDEX(NV_DGCN,MATCH(B12,NV_MA,0))="",DG_CONGNHAT,INDEX(NV_DGCN,MATCH(B12,NV_MA,0))),DG_CONGNHAT),0)</f>
        <v>0</v>
      </c>
      <c r="Q12" s="37" t="n">
        <f aca="false">IF(B12="","",IF(D12="Khoán",ROUNDDOWN(J12+K12+L12+M12+N12+O12,-3),P12+M12))</f>
        <v>0</v>
      </c>
      <c r="R12" s="37" t="n">
        <f aca="false">IF(B12="","",ROUNDDOWN(TIENAN_CONG*H12,-3))</f>
        <v>0</v>
      </c>
      <c r="S12" s="37" t="n">
        <f aca="false">IF(B12="","",Q12+R12)</f>
        <v>0</v>
      </c>
      <c r="T12" s="24"/>
    </row>
    <row r="13" customFormat="false" ht="15" hidden="false" customHeight="false" outlineLevel="0" collapsed="false">
      <c r="A13" s="24" t="n">
        <f aca="false">IF(B13="","",8)</f>
        <v>8</v>
      </c>
      <c r="B13" s="34" t="str">
        <f aca="false">IF(BCC_KHOAN!B13="","",BCC_KHOAN!B13)</f>
        <v>046172008975</v>
      </c>
      <c r="C13" s="24" t="str">
        <f aca="false">IF(B13="","",IFERROR(INDEX(NV_TEN,MATCH(B13,NV_MA,0)),"MÃ KHÔNG CÓ"))</f>
        <v>Nguyễn Thị Điệp</v>
      </c>
      <c r="D13" s="24" t="str">
        <f aca="false">IF(B13="","",IFERROR(INDEX(NV_HINHTHUC,MATCH(B13,NV_MA,0)),""))</f>
        <v>Khoán</v>
      </c>
      <c r="E13" s="35" t="n">
        <f aca="false">IF(D13="Khoán",IFERROR(INDEX(NV_HESO,MATCH(B13,NV_MA,0)),0),"")</f>
        <v>1.1</v>
      </c>
      <c r="F13" s="20" t="n">
        <f aca="false">IF(D13="Khoán",IFERROR(INDEX(HS_SX!$B$5:$B$30,MATCH(E13,HS_SX!$A$5:$A$30,0)),0),"")</f>
        <v>7100</v>
      </c>
      <c r="G13" s="30" t="n">
        <f aca="false">IF(B13="","",IFERROR(INDEX(BCC_GIO,MATCH(B13,BCC_MA,0)),0))</f>
        <v>0</v>
      </c>
      <c r="H13" s="31" t="n">
        <f aca="false">IF(B13="","",G13/GIO_CONG)</f>
        <v>0</v>
      </c>
      <c r="I13" s="36" t="n">
        <f aca="false">IF(D13="Khoán",IF(GIO_TB&gt;0,G13/GIO_TB*KL_CHEBIEN,0),0)</f>
        <v>0</v>
      </c>
      <c r="J13" s="20" t="n">
        <f aca="false">IF(D13="Khoán",F13*I13,0)</f>
        <v>0</v>
      </c>
      <c r="K13" s="20" t="n">
        <f aca="false">IF(D13="Khoán",IF(TONG_GIO_KHOAN&gt;0,QUY_HANGING/TONG_GIO_KHOAN*G13,0),0)</f>
        <v>0</v>
      </c>
      <c r="L13" s="20" t="n">
        <f aca="false">IF(D13="Khoán",IF(TONG_GIO_KHOAN&gt;0,QUY_KHAC/TONG_GIO_KHOAN*G13,0),0)</f>
        <v>-0</v>
      </c>
      <c r="M13" s="20" t="n">
        <f aca="false">IF(B13="",0,SUMIFS(KHOAN_KHAC!$F$5:$F$39,KHOAN_KHAC!$G$5:$G$39,B13))</f>
        <v>0</v>
      </c>
      <c r="N13" s="20" t="n">
        <f aca="false">IF(D13="Khoán",IF(TONG_GIO_KHOAN&gt;0,QUY_CHEN/TONG_GIO_KHOAN*G13,0),0)</f>
        <v>0</v>
      </c>
      <c r="O13" s="20" t="n">
        <f aca="false">IF(D13="Khoán",IF(TONG_GIO_KHOAN&gt;0,-TONG_CONGNHAT/TONG_GIO_KHOAN*G13,0),0)</f>
        <v>-0</v>
      </c>
      <c r="P13" s="20" t="n">
        <f aca="false">IF(D13="Công nhật",H13*IFERROR(IF(INDEX(NV_DGCN,MATCH(B13,NV_MA,0))="",DG_CONGNHAT,INDEX(NV_DGCN,MATCH(B13,NV_MA,0))),DG_CONGNHAT),0)</f>
        <v>0</v>
      </c>
      <c r="Q13" s="37" t="n">
        <f aca="false">IF(B13="","",IF(D13="Khoán",ROUNDDOWN(J13+K13+L13+M13+N13+O13,-3),P13+M13))</f>
        <v>0</v>
      </c>
      <c r="R13" s="37" t="n">
        <f aca="false">IF(B13="","",ROUNDDOWN(TIENAN_CONG*H13,-3))</f>
        <v>0</v>
      </c>
      <c r="S13" s="37" t="n">
        <f aca="false">IF(B13="","",Q13+R13)</f>
        <v>0</v>
      </c>
      <c r="T13" s="24"/>
    </row>
    <row r="14" customFormat="false" ht="15" hidden="false" customHeight="false" outlineLevel="0" collapsed="false">
      <c r="A14" s="24" t="n">
        <f aca="false">IF(B14="","",9)</f>
        <v>9</v>
      </c>
      <c r="B14" s="34" t="str">
        <f aca="false">IF(BCC_KHOAN!B14="","",BCC_KHOAN!B14)</f>
        <v>NV_KIMANH</v>
      </c>
      <c r="C14" s="24" t="str">
        <f aca="false">IF(B14="","",IFERROR(INDEX(NV_TEN,MATCH(B14,NV_MA,0)),"MÃ KHÔNG CÓ"))</f>
        <v>Lê Thị Kim Anh</v>
      </c>
      <c r="D14" s="24" t="str">
        <f aca="false">IF(B14="","",IFERROR(INDEX(NV_HINHTHUC,MATCH(B14,NV_MA,0)),""))</f>
        <v>Khoán</v>
      </c>
      <c r="E14" s="35" t="n">
        <f aca="false">IF(D14="Khoán",IFERROR(INDEX(NV_HESO,MATCH(B14,NV_MA,0)),0),"")</f>
        <v>1</v>
      </c>
      <c r="F14" s="20" t="n">
        <f aca="false">IF(D14="Khoán",IFERROR(INDEX(HS_SX!$B$5:$B$30,MATCH(E14,HS_SX!$A$5:$A$30,0)),0),"")</f>
        <v>6400</v>
      </c>
      <c r="G14" s="30" t="n">
        <f aca="false">IF(B14="","",IFERROR(INDEX(BCC_GIO,MATCH(B14,BCC_MA,0)),0))</f>
        <v>0</v>
      </c>
      <c r="H14" s="31" t="n">
        <f aca="false">IF(B14="","",G14/GIO_CONG)</f>
        <v>0</v>
      </c>
      <c r="I14" s="36" t="n">
        <f aca="false">IF(D14="Khoán",IF(GIO_TB&gt;0,G14/GIO_TB*KL_CHEBIEN,0),0)</f>
        <v>0</v>
      </c>
      <c r="J14" s="20" t="n">
        <f aca="false">IF(D14="Khoán",F14*I14,0)</f>
        <v>0</v>
      </c>
      <c r="K14" s="20" t="n">
        <f aca="false">IF(D14="Khoán",IF(TONG_GIO_KHOAN&gt;0,QUY_HANGING/TONG_GIO_KHOAN*G14,0),0)</f>
        <v>0</v>
      </c>
      <c r="L14" s="20" t="n">
        <f aca="false">IF(D14="Khoán",IF(TONG_GIO_KHOAN&gt;0,QUY_KHAC/TONG_GIO_KHOAN*G14,0),0)</f>
        <v>-0</v>
      </c>
      <c r="M14" s="20" t="n">
        <f aca="false">IF(B14="",0,SUMIFS(KHOAN_KHAC!$F$5:$F$39,KHOAN_KHAC!$G$5:$G$39,B14))</f>
        <v>0</v>
      </c>
      <c r="N14" s="20" t="n">
        <f aca="false">IF(D14="Khoán",IF(TONG_GIO_KHOAN&gt;0,QUY_CHEN/TONG_GIO_KHOAN*G14,0),0)</f>
        <v>0</v>
      </c>
      <c r="O14" s="20" t="n">
        <f aca="false">IF(D14="Khoán",IF(TONG_GIO_KHOAN&gt;0,-TONG_CONGNHAT/TONG_GIO_KHOAN*G14,0),0)</f>
        <v>-0</v>
      </c>
      <c r="P14" s="20" t="n">
        <f aca="false">IF(D14="Công nhật",H14*IFERROR(IF(INDEX(NV_DGCN,MATCH(B14,NV_MA,0))="",DG_CONGNHAT,INDEX(NV_DGCN,MATCH(B14,NV_MA,0))),DG_CONGNHAT),0)</f>
        <v>0</v>
      </c>
      <c r="Q14" s="37" t="n">
        <f aca="false">IF(B14="","",IF(D14="Khoán",ROUNDDOWN(J14+K14+L14+M14+N14+O14,-3),P14+M14))</f>
        <v>0</v>
      </c>
      <c r="R14" s="37" t="n">
        <f aca="false">IF(B14="","",ROUNDDOWN(TIENAN_CONG*H14,-3))</f>
        <v>0</v>
      </c>
      <c r="S14" s="37" t="n">
        <f aca="false">IF(B14="","",Q14+R14)</f>
        <v>0</v>
      </c>
      <c r="T14" s="24"/>
    </row>
    <row r="15" customFormat="false" ht="15" hidden="false" customHeight="false" outlineLevel="0" collapsed="false">
      <c r="A15" s="24" t="n">
        <f aca="false">IF(B15="","",10)</f>
        <v>10</v>
      </c>
      <c r="B15" s="34" t="str">
        <f aca="false">IF(BCC_KHOAN!B15="","",BCC_KHOAN!B15)</f>
        <v>046074011254</v>
      </c>
      <c r="C15" s="24" t="str">
        <f aca="false">IF(B15="","",IFERROR(INDEX(NV_TEN,MATCH(B15,NV_MA,0)),"MÃ KHÔNG CÓ"))</f>
        <v>Trần Đức Phúc</v>
      </c>
      <c r="D15" s="24" t="str">
        <f aca="false">IF(B15="","",IFERROR(INDEX(NV_HINHTHUC,MATCH(B15,NV_MA,0)),""))</f>
        <v>Khoán</v>
      </c>
      <c r="E15" s="35" t="n">
        <f aca="false">IF(D15="Khoán",IFERROR(INDEX(NV_HESO,MATCH(B15,NV_MA,0)),0),"")</f>
        <v>1.1</v>
      </c>
      <c r="F15" s="20" t="n">
        <f aca="false">IF(D15="Khoán",IFERROR(INDEX(HS_SX!$B$5:$B$30,MATCH(E15,HS_SX!$A$5:$A$30,0)),0),"")</f>
        <v>7100</v>
      </c>
      <c r="G15" s="30" t="n">
        <f aca="false">IF(B15="","",IFERROR(INDEX(BCC_GIO,MATCH(B15,BCC_MA,0)),0))</f>
        <v>0</v>
      </c>
      <c r="H15" s="31" t="n">
        <f aca="false">IF(B15="","",G15/GIO_CONG)</f>
        <v>0</v>
      </c>
      <c r="I15" s="36" t="n">
        <f aca="false">IF(D15="Khoán",IF(GIO_TB&gt;0,G15/GIO_TB*KL_CHEBIEN,0),0)</f>
        <v>0</v>
      </c>
      <c r="J15" s="20" t="n">
        <f aca="false">IF(D15="Khoán",F15*I15,0)</f>
        <v>0</v>
      </c>
      <c r="K15" s="20" t="n">
        <f aca="false">IF(D15="Khoán",IF(TONG_GIO_KHOAN&gt;0,QUY_HANGING/TONG_GIO_KHOAN*G15,0),0)</f>
        <v>0</v>
      </c>
      <c r="L15" s="20" t="n">
        <f aca="false">IF(D15="Khoán",IF(TONG_GIO_KHOAN&gt;0,QUY_KHAC/TONG_GIO_KHOAN*G15,0),0)</f>
        <v>-0</v>
      </c>
      <c r="M15" s="20" t="n">
        <f aca="false">IF(B15="",0,SUMIFS(KHOAN_KHAC!$F$5:$F$39,KHOAN_KHAC!$G$5:$G$39,B15))</f>
        <v>0</v>
      </c>
      <c r="N15" s="20" t="n">
        <f aca="false">IF(D15="Khoán",IF(TONG_GIO_KHOAN&gt;0,QUY_CHEN/TONG_GIO_KHOAN*G15,0),0)</f>
        <v>0</v>
      </c>
      <c r="O15" s="20" t="n">
        <f aca="false">IF(D15="Khoán",IF(TONG_GIO_KHOAN&gt;0,-TONG_CONGNHAT/TONG_GIO_KHOAN*G15,0),0)</f>
        <v>-0</v>
      </c>
      <c r="P15" s="20" t="n">
        <f aca="false">IF(D15="Công nhật",H15*IFERROR(IF(INDEX(NV_DGCN,MATCH(B15,NV_MA,0))="",DG_CONGNHAT,INDEX(NV_DGCN,MATCH(B15,NV_MA,0))),DG_CONGNHAT),0)</f>
        <v>0</v>
      </c>
      <c r="Q15" s="37" t="n">
        <f aca="false">IF(B15="","",IF(D15="Khoán",ROUNDDOWN(J15+K15+L15+M15+N15+O15,-3),P15+M15))</f>
        <v>0</v>
      </c>
      <c r="R15" s="37" t="n">
        <f aca="false">IF(B15="","",ROUNDDOWN(TIENAN_CONG*H15,-3))</f>
        <v>0</v>
      </c>
      <c r="S15" s="37" t="n">
        <f aca="false">IF(B15="","",Q15+R15)</f>
        <v>0</v>
      </c>
      <c r="T15" s="24"/>
    </row>
    <row r="16" customFormat="false" ht="15" hidden="false" customHeight="false" outlineLevel="0" collapsed="false">
      <c r="A16" s="24" t="n">
        <f aca="false">IF(B16="","",11)</f>
        <v>11</v>
      </c>
      <c r="B16" s="34" t="str">
        <f aca="false">IF(BCC_KHOAN!B16="","",BCC_KHOAN!B16)</f>
        <v>046172013837</v>
      </c>
      <c r="C16" s="24" t="str">
        <f aca="false">IF(B16="","",IFERROR(INDEX(NV_TEN,MATCH(B16,NV_MA,0)),"MÃ KHÔNG CÓ"))</f>
        <v>Nguyễn Thị Nhung</v>
      </c>
      <c r="D16" s="24" t="str">
        <f aca="false">IF(B16="","",IFERROR(INDEX(NV_HINHTHUC,MATCH(B16,NV_MA,0)),""))</f>
        <v>Khoán</v>
      </c>
      <c r="E16" s="35" t="n">
        <f aca="false">IF(D16="Khoán",IFERROR(INDEX(NV_HESO,MATCH(B16,NV_MA,0)),0),"")</f>
        <v>0.9</v>
      </c>
      <c r="F16" s="20" t="n">
        <f aca="false">IF(D16="Khoán",IFERROR(INDEX(HS_SX!$B$5:$B$30,MATCH(E16,HS_SX!$A$5:$A$30,0)),0),"")</f>
        <v>5800</v>
      </c>
      <c r="G16" s="30" t="n">
        <f aca="false">IF(B16="","",IFERROR(INDEX(BCC_GIO,MATCH(B16,BCC_MA,0)),0))</f>
        <v>0</v>
      </c>
      <c r="H16" s="31" t="n">
        <f aca="false">IF(B16="","",G16/GIO_CONG)</f>
        <v>0</v>
      </c>
      <c r="I16" s="36" t="n">
        <f aca="false">IF(D16="Khoán",IF(GIO_TB&gt;0,G16/GIO_TB*KL_CHEBIEN,0),0)</f>
        <v>0</v>
      </c>
      <c r="J16" s="20" t="n">
        <f aca="false">IF(D16="Khoán",F16*I16,0)</f>
        <v>0</v>
      </c>
      <c r="K16" s="20" t="n">
        <f aca="false">IF(D16="Khoán",IF(TONG_GIO_KHOAN&gt;0,QUY_HANGING/TONG_GIO_KHOAN*G16,0),0)</f>
        <v>0</v>
      </c>
      <c r="L16" s="20" t="n">
        <f aca="false">IF(D16="Khoán",IF(TONG_GIO_KHOAN&gt;0,QUY_KHAC/TONG_GIO_KHOAN*G16,0),0)</f>
        <v>-0</v>
      </c>
      <c r="M16" s="20" t="n">
        <f aca="false">IF(B16="",0,SUMIFS(KHOAN_KHAC!$F$5:$F$39,KHOAN_KHAC!$G$5:$G$39,B16))</f>
        <v>0</v>
      </c>
      <c r="N16" s="20" t="n">
        <f aca="false">IF(D16="Khoán",IF(TONG_GIO_KHOAN&gt;0,QUY_CHEN/TONG_GIO_KHOAN*G16,0),0)</f>
        <v>0</v>
      </c>
      <c r="O16" s="20" t="n">
        <f aca="false">IF(D16="Khoán",IF(TONG_GIO_KHOAN&gt;0,-TONG_CONGNHAT/TONG_GIO_KHOAN*G16,0),0)</f>
        <v>-0</v>
      </c>
      <c r="P16" s="20" t="n">
        <f aca="false">IF(D16="Công nhật",H16*IFERROR(IF(INDEX(NV_DGCN,MATCH(B16,NV_MA,0))="",DG_CONGNHAT,INDEX(NV_DGCN,MATCH(B16,NV_MA,0))),DG_CONGNHAT),0)</f>
        <v>0</v>
      </c>
      <c r="Q16" s="37" t="n">
        <f aca="false">IF(B16="","",IF(D16="Khoán",ROUNDDOWN(J16+K16+L16+M16+N16+O16,-3),P16+M16))</f>
        <v>0</v>
      </c>
      <c r="R16" s="37" t="n">
        <f aca="false">IF(B16="","",ROUNDDOWN(TIENAN_CONG*H16,-3))</f>
        <v>0</v>
      </c>
      <c r="S16" s="37" t="n">
        <f aca="false">IF(B16="","",Q16+R16)</f>
        <v>0</v>
      </c>
      <c r="T16" s="24"/>
    </row>
    <row r="17" customFormat="false" ht="15" hidden="false" customHeight="false" outlineLevel="0" collapsed="false">
      <c r="A17" s="24" t="n">
        <f aca="false">IF(B17="","",12)</f>
        <v>12</v>
      </c>
      <c r="B17" s="34" t="str">
        <f aca="false">IF(BCC_KHOAN!B17="","",BCC_KHOAN!B17)</f>
        <v>046175008129</v>
      </c>
      <c r="C17" s="24" t="str">
        <f aca="false">IF(B17="","",IFERROR(INDEX(NV_TEN,MATCH(B17,NV_MA,0)),"MÃ KHÔNG CÓ"))</f>
        <v>Lê Thị Thu Hữu</v>
      </c>
      <c r="D17" s="24" t="str">
        <f aca="false">IF(B17="","",IFERROR(INDEX(NV_HINHTHUC,MATCH(B17,NV_MA,0)),""))</f>
        <v>Khoán</v>
      </c>
      <c r="E17" s="35" t="n">
        <f aca="false">IF(D17="Khoán",IFERROR(INDEX(NV_HESO,MATCH(B17,NV_MA,0)),0),"")</f>
        <v>1.1</v>
      </c>
      <c r="F17" s="20" t="n">
        <f aca="false">IF(D17="Khoán",IFERROR(INDEX(HS_SX!$B$5:$B$30,MATCH(E17,HS_SX!$A$5:$A$30,0)),0),"")</f>
        <v>7100</v>
      </c>
      <c r="G17" s="30" t="n">
        <f aca="false">IF(B17="","",IFERROR(INDEX(BCC_GIO,MATCH(B17,BCC_MA,0)),0))</f>
        <v>0</v>
      </c>
      <c r="H17" s="31" t="n">
        <f aca="false">IF(B17="","",G17/GIO_CONG)</f>
        <v>0</v>
      </c>
      <c r="I17" s="36" t="n">
        <f aca="false">IF(D17="Khoán",IF(GIO_TB&gt;0,G17/GIO_TB*KL_CHEBIEN,0),0)</f>
        <v>0</v>
      </c>
      <c r="J17" s="20" t="n">
        <f aca="false">IF(D17="Khoán",F17*I17,0)</f>
        <v>0</v>
      </c>
      <c r="K17" s="20" t="n">
        <f aca="false">IF(D17="Khoán",IF(TONG_GIO_KHOAN&gt;0,QUY_HANGING/TONG_GIO_KHOAN*G17,0),0)</f>
        <v>0</v>
      </c>
      <c r="L17" s="20" t="n">
        <f aca="false">IF(D17="Khoán",IF(TONG_GIO_KHOAN&gt;0,QUY_KHAC/TONG_GIO_KHOAN*G17,0),0)</f>
        <v>-0</v>
      </c>
      <c r="M17" s="20" t="n">
        <f aca="false">IF(B17="",0,SUMIFS(KHOAN_KHAC!$F$5:$F$39,KHOAN_KHAC!$G$5:$G$39,B17))</f>
        <v>0</v>
      </c>
      <c r="N17" s="20" t="n">
        <f aca="false">IF(D17="Khoán",IF(TONG_GIO_KHOAN&gt;0,QUY_CHEN/TONG_GIO_KHOAN*G17,0),0)</f>
        <v>0</v>
      </c>
      <c r="O17" s="20" t="n">
        <f aca="false">IF(D17="Khoán",IF(TONG_GIO_KHOAN&gt;0,-TONG_CONGNHAT/TONG_GIO_KHOAN*G17,0),0)</f>
        <v>-0</v>
      </c>
      <c r="P17" s="20" t="n">
        <f aca="false">IF(D17="Công nhật",H17*IFERROR(IF(INDEX(NV_DGCN,MATCH(B17,NV_MA,0))="",DG_CONGNHAT,INDEX(NV_DGCN,MATCH(B17,NV_MA,0))),DG_CONGNHAT),0)</f>
        <v>0</v>
      </c>
      <c r="Q17" s="37" t="n">
        <f aca="false">IF(B17="","",IF(D17="Khoán",ROUNDDOWN(J17+K17+L17+M17+N17+O17,-3),P17+M17))</f>
        <v>0</v>
      </c>
      <c r="R17" s="37" t="n">
        <f aca="false">IF(B17="","",ROUNDDOWN(TIENAN_CONG*H17,-3))</f>
        <v>0</v>
      </c>
      <c r="S17" s="37" t="n">
        <f aca="false">IF(B17="","",Q17+R17)</f>
        <v>0</v>
      </c>
      <c r="T17" s="24"/>
    </row>
    <row r="18" customFormat="false" ht="15" hidden="false" customHeight="false" outlineLevel="0" collapsed="false">
      <c r="A18" s="24" t="n">
        <f aca="false">IF(B18="","",13)</f>
        <v>13</v>
      </c>
      <c r="B18" s="34" t="str">
        <f aca="false">IF(BCC_KHOAN!B18="","",BCC_KHOAN!B18)</f>
        <v>046206004482</v>
      </c>
      <c r="C18" s="24" t="str">
        <f aca="false">IF(B18="","",IFERROR(INDEX(NV_TEN,MATCH(B18,NV_MA,0)),"MÃ KHÔNG CÓ"))</f>
        <v>Trần Đình Lĩnh</v>
      </c>
      <c r="D18" s="24" t="str">
        <f aca="false">IF(B18="","",IFERROR(INDEX(NV_HINHTHUC,MATCH(B18,NV_MA,0)),""))</f>
        <v>Khoán</v>
      </c>
      <c r="E18" s="35" t="n">
        <f aca="false">IF(D18="Khoán",IFERROR(INDEX(NV_HESO,MATCH(B18,NV_MA,0)),0),"")</f>
        <v>1.05</v>
      </c>
      <c r="F18" s="20" t="n">
        <f aca="false">IF(D18="Khoán",IFERROR(INDEX(HS_SX!$B$5:$B$30,MATCH(E18,HS_SX!$A$5:$A$30,0)),0),"")</f>
        <v>6700</v>
      </c>
      <c r="G18" s="30" t="n">
        <f aca="false">IF(B18="","",IFERROR(INDEX(BCC_GIO,MATCH(B18,BCC_MA,0)),0))</f>
        <v>0</v>
      </c>
      <c r="H18" s="31" t="n">
        <f aca="false">IF(B18="","",G18/GIO_CONG)</f>
        <v>0</v>
      </c>
      <c r="I18" s="36" t="n">
        <f aca="false">IF(D18="Khoán",IF(GIO_TB&gt;0,G18/GIO_TB*KL_CHEBIEN,0),0)</f>
        <v>0</v>
      </c>
      <c r="J18" s="20" t="n">
        <f aca="false">IF(D18="Khoán",F18*I18,0)</f>
        <v>0</v>
      </c>
      <c r="K18" s="20" t="n">
        <f aca="false">IF(D18="Khoán",IF(TONG_GIO_KHOAN&gt;0,QUY_HANGING/TONG_GIO_KHOAN*G18,0),0)</f>
        <v>0</v>
      </c>
      <c r="L18" s="20" t="n">
        <f aca="false">IF(D18="Khoán",IF(TONG_GIO_KHOAN&gt;0,QUY_KHAC/TONG_GIO_KHOAN*G18,0),0)</f>
        <v>-0</v>
      </c>
      <c r="M18" s="20" t="n">
        <f aca="false">IF(B18="",0,SUMIFS(KHOAN_KHAC!$F$5:$F$39,KHOAN_KHAC!$G$5:$G$39,B18))</f>
        <v>0</v>
      </c>
      <c r="N18" s="20" t="n">
        <f aca="false">IF(D18="Khoán",IF(TONG_GIO_KHOAN&gt;0,QUY_CHEN/TONG_GIO_KHOAN*G18,0),0)</f>
        <v>0</v>
      </c>
      <c r="O18" s="20" t="n">
        <f aca="false">IF(D18="Khoán",IF(TONG_GIO_KHOAN&gt;0,-TONG_CONGNHAT/TONG_GIO_KHOAN*G18,0),0)</f>
        <v>-0</v>
      </c>
      <c r="P18" s="20" t="n">
        <f aca="false">IF(D18="Công nhật",H18*IFERROR(IF(INDEX(NV_DGCN,MATCH(B18,NV_MA,0))="",DG_CONGNHAT,INDEX(NV_DGCN,MATCH(B18,NV_MA,0))),DG_CONGNHAT),0)</f>
        <v>0</v>
      </c>
      <c r="Q18" s="37" t="n">
        <f aca="false">IF(B18="","",IF(D18="Khoán",ROUNDDOWN(J18+K18+L18+M18+N18+O18,-3),P18+M18))</f>
        <v>0</v>
      </c>
      <c r="R18" s="37" t="n">
        <f aca="false">IF(B18="","",ROUNDDOWN(TIENAN_CONG*H18,-3))</f>
        <v>0</v>
      </c>
      <c r="S18" s="37" t="n">
        <f aca="false">IF(B18="","",Q18+R18)</f>
        <v>0</v>
      </c>
      <c r="T18" s="24"/>
    </row>
    <row r="19" customFormat="false" ht="15" hidden="false" customHeight="false" outlineLevel="0" collapsed="false">
      <c r="A19" s="24" t="n">
        <f aca="false">IF(B19="","",14)</f>
        <v>14</v>
      </c>
      <c r="B19" s="34" t="str">
        <f aca="false">IF(BCC_KHOAN!B19="","",BCC_KHOAN!B19)</f>
        <v>046178006439</v>
      </c>
      <c r="C19" s="24" t="str">
        <f aca="false">IF(B19="","",IFERROR(INDEX(NV_TEN,MATCH(B19,NV_MA,0)),"MÃ KHÔNG CÓ"))</f>
        <v>Nguyễn Thị Thúy Vân</v>
      </c>
      <c r="D19" s="24" t="str">
        <f aca="false">IF(B19="","",IFERROR(INDEX(NV_HINHTHUC,MATCH(B19,NV_MA,0)),""))</f>
        <v>Khoán</v>
      </c>
      <c r="E19" s="35" t="n">
        <f aca="false">IF(D19="Khoán",IFERROR(INDEX(NV_HESO,MATCH(B19,NV_MA,0)),0),"")</f>
        <v>1.15</v>
      </c>
      <c r="F19" s="20" t="n">
        <f aca="false">IF(D19="Khoán",IFERROR(INDEX(HS_SX!$B$5:$B$30,MATCH(E19,HS_SX!$A$5:$A$30,0)),0),"")</f>
        <v>7400</v>
      </c>
      <c r="G19" s="30" t="n">
        <f aca="false">IF(B19="","",IFERROR(INDEX(BCC_GIO,MATCH(B19,BCC_MA,0)),0))</f>
        <v>0</v>
      </c>
      <c r="H19" s="31" t="n">
        <f aca="false">IF(B19="","",G19/GIO_CONG)</f>
        <v>0</v>
      </c>
      <c r="I19" s="36" t="n">
        <f aca="false">IF(D19="Khoán",IF(GIO_TB&gt;0,G19/GIO_TB*KL_CHEBIEN,0),0)</f>
        <v>0</v>
      </c>
      <c r="J19" s="20" t="n">
        <f aca="false">IF(D19="Khoán",F19*I19,0)</f>
        <v>0</v>
      </c>
      <c r="K19" s="20" t="n">
        <f aca="false">IF(D19="Khoán",IF(TONG_GIO_KHOAN&gt;0,QUY_HANGING/TONG_GIO_KHOAN*G19,0),0)</f>
        <v>0</v>
      </c>
      <c r="L19" s="20" t="n">
        <f aca="false">IF(D19="Khoán",IF(TONG_GIO_KHOAN&gt;0,QUY_KHAC/TONG_GIO_KHOAN*G19,0),0)</f>
        <v>-0</v>
      </c>
      <c r="M19" s="20" t="n">
        <f aca="false">IF(B19="",0,SUMIFS(KHOAN_KHAC!$F$5:$F$39,KHOAN_KHAC!$G$5:$G$39,B19))</f>
        <v>0</v>
      </c>
      <c r="N19" s="20" t="n">
        <f aca="false">IF(D19="Khoán",IF(TONG_GIO_KHOAN&gt;0,QUY_CHEN/TONG_GIO_KHOAN*G19,0),0)</f>
        <v>0</v>
      </c>
      <c r="O19" s="20" t="n">
        <f aca="false">IF(D19="Khoán",IF(TONG_GIO_KHOAN&gt;0,-TONG_CONGNHAT/TONG_GIO_KHOAN*G19,0),0)</f>
        <v>-0</v>
      </c>
      <c r="P19" s="20" t="n">
        <f aca="false">IF(D19="Công nhật",H19*IFERROR(IF(INDEX(NV_DGCN,MATCH(B19,NV_MA,0))="",DG_CONGNHAT,INDEX(NV_DGCN,MATCH(B19,NV_MA,0))),DG_CONGNHAT),0)</f>
        <v>0</v>
      </c>
      <c r="Q19" s="37" t="n">
        <f aca="false">IF(B19="","",IF(D19="Khoán",ROUNDDOWN(J19+K19+L19+M19+N19+O19,-3),P19+M19))</f>
        <v>0</v>
      </c>
      <c r="R19" s="37" t="n">
        <f aca="false">IF(B19="","",ROUNDDOWN(TIENAN_CONG*H19,-3))</f>
        <v>0</v>
      </c>
      <c r="S19" s="37" t="n">
        <f aca="false">IF(B19="","",Q19+R19)</f>
        <v>0</v>
      </c>
      <c r="T19" s="24"/>
    </row>
    <row r="20" customFormat="false" ht="15" hidden="false" customHeight="false" outlineLevel="0" collapsed="false">
      <c r="A20" s="24" t="n">
        <f aca="false">IF(B20="","",15)</f>
        <v>15</v>
      </c>
      <c r="B20" s="34" t="str">
        <f aca="false">IF(BCC_KHOAN!B20="","",BCC_KHOAN!B20)</f>
        <v>046172008914</v>
      </c>
      <c r="C20" s="24" t="str">
        <f aca="false">IF(B20="","",IFERROR(INDEX(NV_TEN,MATCH(B20,NV_MA,0)),"MÃ KHÔNG CÓ"))</f>
        <v>Trần Thị Thùy</v>
      </c>
      <c r="D20" s="24" t="str">
        <f aca="false">IF(B20="","",IFERROR(INDEX(NV_HINHTHUC,MATCH(B20,NV_MA,0)),""))</f>
        <v>Khoán</v>
      </c>
      <c r="E20" s="35" t="n">
        <f aca="false">IF(D20="Khoán",IFERROR(INDEX(NV_HESO,MATCH(B20,NV_MA,0)),0),"")</f>
        <v>1.1</v>
      </c>
      <c r="F20" s="20" t="n">
        <f aca="false">IF(D20="Khoán",IFERROR(INDEX(HS_SX!$B$5:$B$30,MATCH(E20,HS_SX!$A$5:$A$30,0)),0),"")</f>
        <v>7100</v>
      </c>
      <c r="G20" s="30" t="n">
        <f aca="false">IF(B20="","",IFERROR(INDEX(BCC_GIO,MATCH(B20,BCC_MA,0)),0))</f>
        <v>0</v>
      </c>
      <c r="H20" s="31" t="n">
        <f aca="false">IF(B20="","",G20/GIO_CONG)</f>
        <v>0</v>
      </c>
      <c r="I20" s="36" t="n">
        <f aca="false">IF(D20="Khoán",IF(GIO_TB&gt;0,G20/GIO_TB*KL_CHEBIEN,0),0)</f>
        <v>0</v>
      </c>
      <c r="J20" s="20" t="n">
        <f aca="false">IF(D20="Khoán",F20*I20,0)</f>
        <v>0</v>
      </c>
      <c r="K20" s="20" t="n">
        <f aca="false">IF(D20="Khoán",IF(TONG_GIO_KHOAN&gt;0,QUY_HANGING/TONG_GIO_KHOAN*G20,0),0)</f>
        <v>0</v>
      </c>
      <c r="L20" s="20" t="n">
        <f aca="false">IF(D20="Khoán",IF(TONG_GIO_KHOAN&gt;0,QUY_KHAC/TONG_GIO_KHOAN*G20,0),0)</f>
        <v>-0</v>
      </c>
      <c r="M20" s="20" t="n">
        <f aca="false">IF(B20="",0,SUMIFS(KHOAN_KHAC!$F$5:$F$39,KHOAN_KHAC!$G$5:$G$39,B20))</f>
        <v>0</v>
      </c>
      <c r="N20" s="20" t="n">
        <f aca="false">IF(D20="Khoán",IF(TONG_GIO_KHOAN&gt;0,QUY_CHEN/TONG_GIO_KHOAN*G20,0),0)</f>
        <v>0</v>
      </c>
      <c r="O20" s="20" t="n">
        <f aca="false">IF(D20="Khoán",IF(TONG_GIO_KHOAN&gt;0,-TONG_CONGNHAT/TONG_GIO_KHOAN*G20,0),0)</f>
        <v>-0</v>
      </c>
      <c r="P20" s="20" t="n">
        <f aca="false">IF(D20="Công nhật",H20*IFERROR(IF(INDEX(NV_DGCN,MATCH(B20,NV_MA,0))="",DG_CONGNHAT,INDEX(NV_DGCN,MATCH(B20,NV_MA,0))),DG_CONGNHAT),0)</f>
        <v>0</v>
      </c>
      <c r="Q20" s="37" t="n">
        <f aca="false">IF(B20="","",IF(D20="Khoán",ROUNDDOWN(J20+K20+L20+M20+N20+O20,-3),P20+M20))</f>
        <v>0</v>
      </c>
      <c r="R20" s="37" t="n">
        <f aca="false">IF(B20="","",ROUNDDOWN(TIENAN_CONG*H20,-3))</f>
        <v>0</v>
      </c>
      <c r="S20" s="37" t="n">
        <f aca="false">IF(B20="","",Q20+R20)</f>
        <v>0</v>
      </c>
      <c r="T20" s="24"/>
    </row>
    <row r="21" customFormat="false" ht="15" hidden="false" customHeight="false" outlineLevel="0" collapsed="false">
      <c r="A21" s="24" t="n">
        <f aca="false">IF(B21="","",16)</f>
        <v>16</v>
      </c>
      <c r="B21" s="34" t="str">
        <f aca="false">IF(BCC_KHOAN!B21="","",BCC_KHOAN!B21)</f>
        <v>046177011413</v>
      </c>
      <c r="C21" s="24" t="str">
        <f aca="false">IF(B21="","",IFERROR(INDEX(NV_TEN,MATCH(B21,NV_MA,0)),"MÃ KHÔNG CÓ"))</f>
        <v>Lê Thị Thơ</v>
      </c>
      <c r="D21" s="24" t="str">
        <f aca="false">IF(B21="","",IFERROR(INDEX(NV_HINHTHUC,MATCH(B21,NV_MA,0)),""))</f>
        <v>Khoán</v>
      </c>
      <c r="E21" s="35" t="n">
        <f aca="false">IF(D21="Khoán",IFERROR(INDEX(NV_HESO,MATCH(B21,NV_MA,0)),0),"")</f>
        <v>1.1</v>
      </c>
      <c r="F21" s="20" t="n">
        <f aca="false">IF(D21="Khoán",IFERROR(INDEX(HS_SX!$B$5:$B$30,MATCH(E21,HS_SX!$A$5:$A$30,0)),0),"")</f>
        <v>7100</v>
      </c>
      <c r="G21" s="30" t="n">
        <f aca="false">IF(B21="","",IFERROR(INDEX(BCC_GIO,MATCH(B21,BCC_MA,0)),0))</f>
        <v>0</v>
      </c>
      <c r="H21" s="31" t="n">
        <f aca="false">IF(B21="","",G21/GIO_CONG)</f>
        <v>0</v>
      </c>
      <c r="I21" s="36" t="n">
        <f aca="false">IF(D21="Khoán",IF(GIO_TB&gt;0,G21/GIO_TB*KL_CHEBIEN,0),0)</f>
        <v>0</v>
      </c>
      <c r="J21" s="20" t="n">
        <f aca="false">IF(D21="Khoán",F21*I21,0)</f>
        <v>0</v>
      </c>
      <c r="K21" s="20" t="n">
        <f aca="false">IF(D21="Khoán",IF(TONG_GIO_KHOAN&gt;0,QUY_HANGING/TONG_GIO_KHOAN*G21,0),0)</f>
        <v>0</v>
      </c>
      <c r="L21" s="20" t="n">
        <f aca="false">IF(D21="Khoán",IF(TONG_GIO_KHOAN&gt;0,QUY_KHAC/TONG_GIO_KHOAN*G21,0),0)</f>
        <v>-0</v>
      </c>
      <c r="M21" s="20" t="n">
        <f aca="false">IF(B21="",0,SUMIFS(KHOAN_KHAC!$F$5:$F$39,KHOAN_KHAC!$G$5:$G$39,B21))</f>
        <v>0</v>
      </c>
      <c r="N21" s="20" t="n">
        <f aca="false">IF(D21="Khoán",IF(TONG_GIO_KHOAN&gt;0,QUY_CHEN/TONG_GIO_KHOAN*G21,0),0)</f>
        <v>0</v>
      </c>
      <c r="O21" s="20" t="n">
        <f aca="false">IF(D21="Khoán",IF(TONG_GIO_KHOAN&gt;0,-TONG_CONGNHAT/TONG_GIO_KHOAN*G21,0),0)</f>
        <v>-0</v>
      </c>
      <c r="P21" s="20" t="n">
        <f aca="false">IF(D21="Công nhật",H21*IFERROR(IF(INDEX(NV_DGCN,MATCH(B21,NV_MA,0))="",DG_CONGNHAT,INDEX(NV_DGCN,MATCH(B21,NV_MA,0))),DG_CONGNHAT),0)</f>
        <v>0</v>
      </c>
      <c r="Q21" s="37" t="n">
        <f aca="false">IF(B21="","",IF(D21="Khoán",ROUNDDOWN(J21+K21+L21+M21+N21+O21,-3),P21+M21))</f>
        <v>0</v>
      </c>
      <c r="R21" s="37" t="n">
        <f aca="false">IF(B21="","",ROUNDDOWN(TIENAN_CONG*H21,-3))</f>
        <v>0</v>
      </c>
      <c r="S21" s="37" t="n">
        <f aca="false">IF(B21="","",Q21+R21)</f>
        <v>0</v>
      </c>
      <c r="T21" s="24"/>
    </row>
    <row r="22" customFormat="false" ht="15" hidden="false" customHeight="false" outlineLevel="0" collapsed="false">
      <c r="A22" s="24" t="n">
        <f aca="false">IF(B22="","",17)</f>
        <v>17</v>
      </c>
      <c r="B22" s="34" t="str">
        <f aca="false">IF(BCC_KHOAN!B22="","",BCC_KHOAN!B22)</f>
        <v>046176012012</v>
      </c>
      <c r="C22" s="24" t="str">
        <f aca="false">IF(B22="","",IFERROR(INDEX(NV_TEN,MATCH(B22,NV_MA,0)),"MÃ KHÔNG CÓ"))</f>
        <v>Lê Thị Hồng Lan</v>
      </c>
      <c r="D22" s="24" t="str">
        <f aca="false">IF(B22="","",IFERROR(INDEX(NV_HINHTHUC,MATCH(B22,NV_MA,0)),""))</f>
        <v>Khoán</v>
      </c>
      <c r="E22" s="35" t="n">
        <f aca="false">IF(D22="Khoán",IFERROR(INDEX(NV_HESO,MATCH(B22,NV_MA,0)),0),"")</f>
        <v>1</v>
      </c>
      <c r="F22" s="20" t="n">
        <f aca="false">IF(D22="Khoán",IFERROR(INDEX(HS_SX!$B$5:$B$30,MATCH(E22,HS_SX!$A$5:$A$30,0)),0),"")</f>
        <v>6400</v>
      </c>
      <c r="G22" s="30" t="n">
        <f aca="false">IF(B22="","",IFERROR(INDEX(BCC_GIO,MATCH(B22,BCC_MA,0)),0))</f>
        <v>0</v>
      </c>
      <c r="H22" s="31" t="n">
        <f aca="false">IF(B22="","",G22/GIO_CONG)</f>
        <v>0</v>
      </c>
      <c r="I22" s="36" t="n">
        <f aca="false">IF(D22="Khoán",IF(GIO_TB&gt;0,G22/GIO_TB*KL_CHEBIEN,0),0)</f>
        <v>0</v>
      </c>
      <c r="J22" s="20" t="n">
        <f aca="false">IF(D22="Khoán",F22*I22,0)</f>
        <v>0</v>
      </c>
      <c r="K22" s="20" t="n">
        <f aca="false">IF(D22="Khoán",IF(TONG_GIO_KHOAN&gt;0,QUY_HANGING/TONG_GIO_KHOAN*G22,0),0)</f>
        <v>0</v>
      </c>
      <c r="L22" s="20" t="n">
        <f aca="false">IF(D22="Khoán",IF(TONG_GIO_KHOAN&gt;0,QUY_KHAC/TONG_GIO_KHOAN*G22,0),0)</f>
        <v>-0</v>
      </c>
      <c r="M22" s="20" t="n">
        <f aca="false">IF(B22="",0,SUMIFS(KHOAN_KHAC!$F$5:$F$39,KHOAN_KHAC!$G$5:$G$39,B22))</f>
        <v>0</v>
      </c>
      <c r="N22" s="20" t="n">
        <f aca="false">IF(D22="Khoán",IF(TONG_GIO_KHOAN&gt;0,QUY_CHEN/TONG_GIO_KHOAN*G22,0),0)</f>
        <v>0</v>
      </c>
      <c r="O22" s="20" t="n">
        <f aca="false">IF(D22="Khoán",IF(TONG_GIO_KHOAN&gt;0,-TONG_CONGNHAT/TONG_GIO_KHOAN*G22,0),0)</f>
        <v>-0</v>
      </c>
      <c r="P22" s="20" t="n">
        <f aca="false">IF(D22="Công nhật",H22*IFERROR(IF(INDEX(NV_DGCN,MATCH(B22,NV_MA,0))="",DG_CONGNHAT,INDEX(NV_DGCN,MATCH(B22,NV_MA,0))),DG_CONGNHAT),0)</f>
        <v>0</v>
      </c>
      <c r="Q22" s="37" t="n">
        <f aca="false">IF(B22="","",IF(D22="Khoán",ROUNDDOWN(J22+K22+L22+M22+N22+O22,-3),P22+M22))</f>
        <v>0</v>
      </c>
      <c r="R22" s="37" t="n">
        <f aca="false">IF(B22="","",ROUNDDOWN(TIENAN_CONG*H22,-3))</f>
        <v>0</v>
      </c>
      <c r="S22" s="37" t="n">
        <f aca="false">IF(B22="","",Q22+R22)</f>
        <v>0</v>
      </c>
      <c r="T22" s="24"/>
    </row>
    <row r="23" customFormat="false" ht="15" hidden="false" customHeight="false" outlineLevel="0" collapsed="false">
      <c r="A23" s="24" t="n">
        <f aca="false">IF(B23="","",18)</f>
        <v>18</v>
      </c>
      <c r="B23" s="34" t="str">
        <f aca="false">IF(BCC_KHOAN!B23="","",BCC_KHOAN!B23)</f>
        <v>046091004633</v>
      </c>
      <c r="C23" s="24" t="str">
        <f aca="false">IF(B23="","",IFERROR(INDEX(NV_TEN,MATCH(B23,NV_MA,0)),"MÃ KHÔNG CÓ"))</f>
        <v>Nguyễn Quang Thọ</v>
      </c>
      <c r="D23" s="24" t="str">
        <f aca="false">IF(B23="","",IFERROR(INDEX(NV_HINHTHUC,MATCH(B23,NV_MA,0)),""))</f>
        <v>Khoán</v>
      </c>
      <c r="E23" s="35" t="n">
        <f aca="false">IF(D23="Khoán",IFERROR(INDEX(NV_HESO,MATCH(B23,NV_MA,0)),0),"")</f>
        <v>0.9</v>
      </c>
      <c r="F23" s="20" t="n">
        <f aca="false">IF(D23="Khoán",IFERROR(INDEX(HS_SX!$B$5:$B$30,MATCH(E23,HS_SX!$A$5:$A$30,0)),0),"")</f>
        <v>5800</v>
      </c>
      <c r="G23" s="30" t="n">
        <f aca="false">IF(B23="","",IFERROR(INDEX(BCC_GIO,MATCH(B23,BCC_MA,0)),0))</f>
        <v>0</v>
      </c>
      <c r="H23" s="31" t="n">
        <f aca="false">IF(B23="","",G23/GIO_CONG)</f>
        <v>0</v>
      </c>
      <c r="I23" s="36" t="n">
        <f aca="false">IF(D23="Khoán",IF(GIO_TB&gt;0,G23/GIO_TB*KL_CHEBIEN,0),0)</f>
        <v>0</v>
      </c>
      <c r="J23" s="20" t="n">
        <f aca="false">IF(D23="Khoán",F23*I23,0)</f>
        <v>0</v>
      </c>
      <c r="K23" s="20" t="n">
        <f aca="false">IF(D23="Khoán",IF(TONG_GIO_KHOAN&gt;0,QUY_HANGING/TONG_GIO_KHOAN*G23,0),0)</f>
        <v>0</v>
      </c>
      <c r="L23" s="20" t="n">
        <f aca="false">IF(D23="Khoán",IF(TONG_GIO_KHOAN&gt;0,QUY_KHAC/TONG_GIO_KHOAN*G23,0),0)</f>
        <v>-0</v>
      </c>
      <c r="M23" s="20" t="n">
        <f aca="false">IF(B23="",0,SUMIFS(KHOAN_KHAC!$F$5:$F$39,KHOAN_KHAC!$G$5:$G$39,B23))</f>
        <v>0</v>
      </c>
      <c r="N23" s="20" t="n">
        <f aca="false">IF(D23="Khoán",IF(TONG_GIO_KHOAN&gt;0,QUY_CHEN/TONG_GIO_KHOAN*G23,0),0)</f>
        <v>0</v>
      </c>
      <c r="O23" s="20" t="n">
        <f aca="false">IF(D23="Khoán",IF(TONG_GIO_KHOAN&gt;0,-TONG_CONGNHAT/TONG_GIO_KHOAN*G23,0),0)</f>
        <v>-0</v>
      </c>
      <c r="P23" s="20" t="n">
        <f aca="false">IF(D23="Công nhật",H23*IFERROR(IF(INDEX(NV_DGCN,MATCH(B23,NV_MA,0))="",DG_CONGNHAT,INDEX(NV_DGCN,MATCH(B23,NV_MA,0))),DG_CONGNHAT),0)</f>
        <v>0</v>
      </c>
      <c r="Q23" s="37" t="n">
        <f aca="false">IF(B23="","",IF(D23="Khoán",ROUNDDOWN(J23+K23+L23+M23+N23+O23,-3),P23+M23))</f>
        <v>0</v>
      </c>
      <c r="R23" s="37" t="n">
        <f aca="false">IF(B23="","",ROUNDDOWN(TIENAN_CONG*H23,-3))</f>
        <v>0</v>
      </c>
      <c r="S23" s="37" t="n">
        <f aca="false">IF(B23="","",Q23+R23)</f>
        <v>0</v>
      </c>
      <c r="T23" s="24"/>
    </row>
    <row r="24" customFormat="false" ht="15" hidden="false" customHeight="false" outlineLevel="0" collapsed="false">
      <c r="A24" s="24" t="n">
        <f aca="false">IF(B24="","",19)</f>
        <v>19</v>
      </c>
      <c r="B24" s="34" t="str">
        <f aca="false">IF(BCC_KHOAN!B24="","",BCC_KHOAN!B24)</f>
        <v>046074013724</v>
      </c>
      <c r="C24" s="24" t="str">
        <f aca="false">IF(B24="","",IFERROR(INDEX(NV_TEN,MATCH(B24,NV_MA,0)),"MÃ KHÔNG CÓ"))</f>
        <v>Nguyễn Ngọc Phương</v>
      </c>
      <c r="D24" s="24" t="str">
        <f aca="false">IF(B24="","",IFERROR(INDEX(NV_HINHTHUC,MATCH(B24,NV_MA,0)),""))</f>
        <v>Khoán</v>
      </c>
      <c r="E24" s="35" t="n">
        <f aca="false">IF(D24="Khoán",IFERROR(INDEX(NV_HESO,MATCH(B24,NV_MA,0)),0),"")</f>
        <v>1.3</v>
      </c>
      <c r="F24" s="20" t="n">
        <f aca="false">IF(D24="Khoán",IFERROR(INDEX(HS_SX!$B$5:$B$30,MATCH(E24,HS_SX!$A$5:$A$30,0)),0),"")</f>
        <v>8300</v>
      </c>
      <c r="G24" s="30" t="n">
        <f aca="false">IF(B24="","",IFERROR(INDEX(BCC_GIO,MATCH(B24,BCC_MA,0)),0))</f>
        <v>132</v>
      </c>
      <c r="H24" s="31" t="n">
        <f aca="false">IF(B24="","",G24/GIO_CONG)</f>
        <v>16.5</v>
      </c>
      <c r="I24" s="36" t="n">
        <f aca="false">IF(D24="Khoán",IF(GIO_TB&gt;0,G24/GIO_TB*KL_CHEBIEN,0),0)</f>
        <v>13128.8012307692</v>
      </c>
      <c r="J24" s="20" t="n">
        <f aca="false">IF(D24="Khoán",F24*I24,0)</f>
        <v>108969050.215385</v>
      </c>
      <c r="K24" s="20" t="n">
        <f aca="false">IF(D24="Khoán",IF(TONG_GIO_KHOAN&gt;0,QUY_HANGING/TONG_GIO_KHOAN*G24,0),0)</f>
        <v>0</v>
      </c>
      <c r="L24" s="20" t="n">
        <f aca="false">IF(D24="Khoán",IF(TONG_GIO_KHOAN&gt;0,QUY_KHAC/TONG_GIO_KHOAN*G24,0),0)</f>
        <v>-6512967.03296703</v>
      </c>
      <c r="M24" s="20" t="n">
        <f aca="false">IF(B24="",0,SUMIFS(KHOAN_KHAC!$F$5:$F$39,KHOAN_KHAC!$G$5:$G$39,B24))</f>
        <v>0</v>
      </c>
      <c r="N24" s="20" t="n">
        <f aca="false">IF(D24="Khoán",IF(TONG_GIO_KHOAN&gt;0,QUY_CHEN/TONG_GIO_KHOAN*G24,0),0)</f>
        <v>4279643.07692308</v>
      </c>
      <c r="O24" s="20" t="n">
        <f aca="false">IF(D24="Khoán",IF(TONG_GIO_KHOAN&gt;0,-TONG_CONGNHAT/TONG_GIO_KHOAN*G24,0),0)</f>
        <v>-0</v>
      </c>
      <c r="P24" s="20" t="n">
        <f aca="false">IF(D24="Công nhật",H24*IFERROR(IF(INDEX(NV_DGCN,MATCH(B24,NV_MA,0))="",DG_CONGNHAT,INDEX(NV_DGCN,MATCH(B24,NV_MA,0))),DG_CONGNHAT),0)</f>
        <v>0</v>
      </c>
      <c r="Q24" s="37" t="n">
        <f aca="false">IF(B24="","",IF(D24="Khoán",ROUNDDOWN(J24+K24+L24+M24+N24+O24,-3),P24+M24))</f>
        <v>106735000</v>
      </c>
      <c r="R24" s="37" t="n">
        <f aca="false">IF(B24="","",ROUNDDOWN(TIENAN_CONG*H24,-3))</f>
        <v>6408000</v>
      </c>
      <c r="S24" s="37" t="n">
        <f aca="false">IF(B24="","",Q24+R24)</f>
        <v>113143000</v>
      </c>
      <c r="T24" s="24"/>
    </row>
    <row r="25" customFormat="false" ht="15" hidden="false" customHeight="false" outlineLevel="0" collapsed="false">
      <c r="A25" s="24" t="n">
        <f aca="false">IF(B25="","",20)</f>
        <v>20</v>
      </c>
      <c r="B25" s="34" t="str">
        <f aca="false">IF(BCC_KHOAN!B25="","",BCC_KHOAN!B25)</f>
        <v>046099007864</v>
      </c>
      <c r="C25" s="24" t="str">
        <f aca="false">IF(B25="","",IFERROR(INDEX(NV_TEN,MATCH(B25,NV_MA,0)),"MÃ KHÔNG CÓ"))</f>
        <v>Lê Lộc</v>
      </c>
      <c r="D25" s="24" t="str">
        <f aca="false">IF(B25="","",IFERROR(INDEX(NV_HINHTHUC,MATCH(B25,NV_MA,0)),""))</f>
        <v>Khoán</v>
      </c>
      <c r="E25" s="35" t="n">
        <f aca="false">IF(D25="Khoán",IFERROR(INDEX(NV_HESO,MATCH(B25,NV_MA,0)),0),"")</f>
        <v>1.15</v>
      </c>
      <c r="F25" s="20" t="n">
        <f aca="false">IF(D25="Khoán",IFERROR(INDEX(HS_SX!$B$5:$B$30,MATCH(E25,HS_SX!$A$5:$A$30,0)),0),"")</f>
        <v>7400</v>
      </c>
      <c r="G25" s="30" t="n">
        <f aca="false">IF(B25="","",IFERROR(INDEX(BCC_GIO,MATCH(B25,BCC_MA,0)),0))</f>
        <v>0</v>
      </c>
      <c r="H25" s="31" t="n">
        <f aca="false">IF(B25="","",G25/GIO_CONG)</f>
        <v>0</v>
      </c>
      <c r="I25" s="36" t="n">
        <f aca="false">IF(D25="Khoán",IF(GIO_TB&gt;0,G25/GIO_TB*KL_CHEBIEN,0),0)</f>
        <v>0</v>
      </c>
      <c r="J25" s="20" t="n">
        <f aca="false">IF(D25="Khoán",F25*I25,0)</f>
        <v>0</v>
      </c>
      <c r="K25" s="20" t="n">
        <f aca="false">IF(D25="Khoán",IF(TONG_GIO_KHOAN&gt;0,QUY_HANGING/TONG_GIO_KHOAN*G25,0),0)</f>
        <v>0</v>
      </c>
      <c r="L25" s="20" t="n">
        <f aca="false">IF(D25="Khoán",IF(TONG_GIO_KHOAN&gt;0,QUY_KHAC/TONG_GIO_KHOAN*G25,0),0)</f>
        <v>-0</v>
      </c>
      <c r="M25" s="20" t="n">
        <f aca="false">IF(B25="",0,SUMIFS(KHOAN_KHAC!$F$5:$F$39,KHOAN_KHAC!$G$5:$G$39,B25))</f>
        <v>0</v>
      </c>
      <c r="N25" s="20" t="n">
        <f aca="false">IF(D25="Khoán",IF(TONG_GIO_KHOAN&gt;0,QUY_CHEN/TONG_GIO_KHOAN*G25,0),0)</f>
        <v>0</v>
      </c>
      <c r="O25" s="20" t="n">
        <f aca="false">IF(D25="Khoán",IF(TONG_GIO_KHOAN&gt;0,-TONG_CONGNHAT/TONG_GIO_KHOAN*G25,0),0)</f>
        <v>-0</v>
      </c>
      <c r="P25" s="20" t="n">
        <f aca="false">IF(D25="Công nhật",H25*IFERROR(IF(INDEX(NV_DGCN,MATCH(B25,NV_MA,0))="",DG_CONGNHAT,INDEX(NV_DGCN,MATCH(B25,NV_MA,0))),DG_CONGNHAT),0)</f>
        <v>0</v>
      </c>
      <c r="Q25" s="37" t="n">
        <f aca="false">IF(B25="","",IF(D25="Khoán",ROUNDDOWN(J25+K25+L25+M25+N25+O25,-3),P25+M25))</f>
        <v>0</v>
      </c>
      <c r="R25" s="37" t="n">
        <f aca="false">IF(B25="","",ROUNDDOWN(TIENAN_CONG*H25,-3))</f>
        <v>0</v>
      </c>
      <c r="S25" s="37" t="n">
        <f aca="false">IF(B25="","",Q25+R25)</f>
        <v>0</v>
      </c>
      <c r="T25" s="24"/>
    </row>
    <row r="26" customFormat="false" ht="15" hidden="false" customHeight="false" outlineLevel="0" collapsed="false">
      <c r="A26" s="24" t="n">
        <f aca="false">IF(B26="","",21)</f>
        <v>21</v>
      </c>
      <c r="B26" s="34" t="str">
        <f aca="false">IF(BCC_KHOAN!B26="","",BCC_KHOAN!B26)</f>
        <v>002191001272</v>
      </c>
      <c r="C26" s="24" t="str">
        <f aca="false">IF(B26="","",IFERROR(INDEX(NV_TEN,MATCH(B26,NV_MA,0)),"MÃ KHÔNG CÓ"))</f>
        <v>Thèn Thị Giang</v>
      </c>
      <c r="D26" s="24" t="str">
        <f aca="false">IF(B26="","",IFERROR(INDEX(NV_HINHTHUC,MATCH(B26,NV_MA,0)),""))</f>
        <v>Khoán</v>
      </c>
      <c r="E26" s="35" t="n">
        <f aca="false">IF(D26="Khoán",IFERROR(INDEX(NV_HESO,MATCH(B26,NV_MA,0)),0),"")</f>
        <v>1.15</v>
      </c>
      <c r="F26" s="20" t="n">
        <f aca="false">IF(D26="Khoán",IFERROR(INDEX(HS_SX!$B$5:$B$30,MATCH(E26,HS_SX!$A$5:$A$30,0)),0),"")</f>
        <v>7400</v>
      </c>
      <c r="G26" s="30" t="n">
        <f aca="false">IF(B26="","",IFERROR(INDEX(BCC_GIO,MATCH(B26,BCC_MA,0)),0))</f>
        <v>0</v>
      </c>
      <c r="H26" s="31" t="n">
        <f aca="false">IF(B26="","",G26/GIO_CONG)</f>
        <v>0</v>
      </c>
      <c r="I26" s="36" t="n">
        <f aca="false">IF(D26="Khoán",IF(GIO_TB&gt;0,G26/GIO_TB*KL_CHEBIEN,0),0)</f>
        <v>0</v>
      </c>
      <c r="J26" s="20" t="n">
        <f aca="false">IF(D26="Khoán",F26*I26,0)</f>
        <v>0</v>
      </c>
      <c r="K26" s="20" t="n">
        <f aca="false">IF(D26="Khoán",IF(TONG_GIO_KHOAN&gt;0,QUY_HANGING/TONG_GIO_KHOAN*G26,0),0)</f>
        <v>0</v>
      </c>
      <c r="L26" s="20" t="n">
        <f aca="false">IF(D26="Khoán",IF(TONG_GIO_KHOAN&gt;0,QUY_KHAC/TONG_GIO_KHOAN*G26,0),0)</f>
        <v>-0</v>
      </c>
      <c r="M26" s="20" t="n">
        <f aca="false">IF(B26="",0,SUMIFS(KHOAN_KHAC!$F$5:$F$39,KHOAN_KHAC!$G$5:$G$39,B26))</f>
        <v>0</v>
      </c>
      <c r="N26" s="20" t="n">
        <f aca="false">IF(D26="Khoán",IF(TONG_GIO_KHOAN&gt;0,QUY_CHEN/TONG_GIO_KHOAN*G26,0),0)</f>
        <v>0</v>
      </c>
      <c r="O26" s="20" t="n">
        <f aca="false">IF(D26="Khoán",IF(TONG_GIO_KHOAN&gt;0,-TONG_CONGNHAT/TONG_GIO_KHOAN*G26,0),0)</f>
        <v>-0</v>
      </c>
      <c r="P26" s="20" t="n">
        <f aca="false">IF(D26="Công nhật",H26*IFERROR(IF(INDEX(NV_DGCN,MATCH(B26,NV_MA,0))="",DG_CONGNHAT,INDEX(NV_DGCN,MATCH(B26,NV_MA,0))),DG_CONGNHAT),0)</f>
        <v>0</v>
      </c>
      <c r="Q26" s="37" t="n">
        <f aca="false">IF(B26="","",IF(D26="Khoán",ROUNDDOWN(J26+K26+L26+M26+N26+O26,-3),P26+M26))</f>
        <v>0</v>
      </c>
      <c r="R26" s="37" t="n">
        <f aca="false">IF(B26="","",ROUNDDOWN(TIENAN_CONG*H26,-3))</f>
        <v>0</v>
      </c>
      <c r="S26" s="37" t="n">
        <f aca="false">IF(B26="","",Q26+R26)</f>
        <v>0</v>
      </c>
      <c r="T26" s="24"/>
    </row>
    <row r="27" customFormat="false" ht="15" hidden="false" customHeight="false" outlineLevel="0" collapsed="false">
      <c r="A27" s="24" t="n">
        <f aca="false">IF(B27="","",22)</f>
        <v>22</v>
      </c>
      <c r="B27" s="34" t="str">
        <f aca="false">IF(BCC_KHOAN!B27="","",BCC_KHOAN!B27)</f>
        <v>046087002473</v>
      </c>
      <c r="C27" s="24" t="str">
        <f aca="false">IF(B27="","",IFERROR(INDEX(NV_TEN,MATCH(B27,NV_MA,0)),"MÃ KHÔNG CÓ"))</f>
        <v>Nguyễn Tình</v>
      </c>
      <c r="D27" s="24" t="str">
        <f aca="false">IF(B27="","",IFERROR(INDEX(NV_HINHTHUC,MATCH(B27,NV_MA,0)),""))</f>
        <v>Khoán</v>
      </c>
      <c r="E27" s="35" t="n">
        <f aca="false">IF(D27="Khoán",IFERROR(INDEX(NV_HESO,MATCH(B27,NV_MA,0)),0),"")</f>
        <v>0.9</v>
      </c>
      <c r="F27" s="20" t="n">
        <f aca="false">IF(D27="Khoán",IFERROR(INDEX(HS_SX!$B$5:$B$30,MATCH(E27,HS_SX!$A$5:$A$30,0)),0),"")</f>
        <v>5800</v>
      </c>
      <c r="G27" s="30" t="n">
        <f aca="false">IF(B27="","",IFERROR(INDEX(BCC_GIO,MATCH(B27,BCC_MA,0)),0))</f>
        <v>0</v>
      </c>
      <c r="H27" s="31" t="n">
        <f aca="false">IF(B27="","",G27/GIO_CONG)</f>
        <v>0</v>
      </c>
      <c r="I27" s="36" t="n">
        <f aca="false">IF(D27="Khoán",IF(GIO_TB&gt;0,G27/GIO_TB*KL_CHEBIEN,0),0)</f>
        <v>0</v>
      </c>
      <c r="J27" s="20" t="n">
        <f aca="false">IF(D27="Khoán",F27*I27,0)</f>
        <v>0</v>
      </c>
      <c r="K27" s="20" t="n">
        <f aca="false">IF(D27="Khoán",IF(TONG_GIO_KHOAN&gt;0,QUY_HANGING/TONG_GIO_KHOAN*G27,0),0)</f>
        <v>0</v>
      </c>
      <c r="L27" s="20" t="n">
        <f aca="false">IF(D27="Khoán",IF(TONG_GIO_KHOAN&gt;0,QUY_KHAC/TONG_GIO_KHOAN*G27,0),0)</f>
        <v>-0</v>
      </c>
      <c r="M27" s="20" t="n">
        <f aca="false">IF(B27="",0,SUMIFS(KHOAN_KHAC!$F$5:$F$39,KHOAN_KHAC!$G$5:$G$39,B27))</f>
        <v>0</v>
      </c>
      <c r="N27" s="20" t="n">
        <f aca="false">IF(D27="Khoán",IF(TONG_GIO_KHOAN&gt;0,QUY_CHEN/TONG_GIO_KHOAN*G27,0),0)</f>
        <v>0</v>
      </c>
      <c r="O27" s="20" t="n">
        <f aca="false">IF(D27="Khoán",IF(TONG_GIO_KHOAN&gt;0,-TONG_CONGNHAT/TONG_GIO_KHOAN*G27,0),0)</f>
        <v>-0</v>
      </c>
      <c r="P27" s="20" t="n">
        <f aca="false">IF(D27="Công nhật",H27*IFERROR(IF(INDEX(NV_DGCN,MATCH(B27,NV_MA,0))="",DG_CONGNHAT,INDEX(NV_DGCN,MATCH(B27,NV_MA,0))),DG_CONGNHAT),0)</f>
        <v>0</v>
      </c>
      <c r="Q27" s="37" t="n">
        <f aca="false">IF(B27="","",IF(D27="Khoán",ROUNDDOWN(J27+K27+L27+M27+N27+O27,-3),P27+M27))</f>
        <v>0</v>
      </c>
      <c r="R27" s="37" t="n">
        <f aca="false">IF(B27="","",ROUNDDOWN(TIENAN_CONG*H27,-3))</f>
        <v>0</v>
      </c>
      <c r="S27" s="37" t="n">
        <f aca="false">IF(B27="","",Q27+R27)</f>
        <v>0</v>
      </c>
      <c r="T27" s="24"/>
    </row>
    <row r="28" customFormat="false" ht="15" hidden="false" customHeight="false" outlineLevel="0" collapsed="false">
      <c r="A28" s="24" t="n">
        <f aca="false">IF(B28="","",23)</f>
        <v>23</v>
      </c>
      <c r="B28" s="34" t="str">
        <f aca="false">IF(BCC_KHOAN!B28="","",BCC_KHOAN!B28)</f>
        <v>046178010147</v>
      </c>
      <c r="C28" s="24" t="str">
        <f aca="false">IF(B28="","",IFERROR(INDEX(NV_TEN,MATCH(B28,NV_MA,0)),"MÃ KHÔNG CÓ"))</f>
        <v>Đặng Thị Huế</v>
      </c>
      <c r="D28" s="24" t="str">
        <f aca="false">IF(B28="","",IFERROR(INDEX(NV_HINHTHUC,MATCH(B28,NV_MA,0)),""))</f>
        <v>Khoán</v>
      </c>
      <c r="E28" s="35" t="n">
        <f aca="false">IF(D28="Khoán",IFERROR(INDEX(NV_HESO,MATCH(B28,NV_MA,0)),0),"")</f>
        <v>1.1</v>
      </c>
      <c r="F28" s="20" t="n">
        <f aca="false">IF(D28="Khoán",IFERROR(INDEX(HS_SX!$B$5:$B$30,MATCH(E28,HS_SX!$A$5:$A$30,0)),0),"")</f>
        <v>7100</v>
      </c>
      <c r="G28" s="30" t="n">
        <f aca="false">IF(B28="","",IFERROR(INDEX(BCC_GIO,MATCH(B28,BCC_MA,0)),0))</f>
        <v>0</v>
      </c>
      <c r="H28" s="31" t="n">
        <f aca="false">IF(B28="","",G28/GIO_CONG)</f>
        <v>0</v>
      </c>
      <c r="I28" s="36" t="n">
        <f aca="false">IF(D28="Khoán",IF(GIO_TB&gt;0,G28/GIO_TB*KL_CHEBIEN,0),0)</f>
        <v>0</v>
      </c>
      <c r="J28" s="20" t="n">
        <f aca="false">IF(D28="Khoán",F28*I28,0)</f>
        <v>0</v>
      </c>
      <c r="K28" s="20" t="n">
        <f aca="false">IF(D28="Khoán",IF(TONG_GIO_KHOAN&gt;0,QUY_HANGING/TONG_GIO_KHOAN*G28,0),0)</f>
        <v>0</v>
      </c>
      <c r="L28" s="20" t="n">
        <f aca="false">IF(D28="Khoán",IF(TONG_GIO_KHOAN&gt;0,QUY_KHAC/TONG_GIO_KHOAN*G28,0),0)</f>
        <v>-0</v>
      </c>
      <c r="M28" s="20" t="n">
        <f aca="false">IF(B28="",0,SUMIFS(KHOAN_KHAC!$F$5:$F$39,KHOAN_KHAC!$G$5:$G$39,B28))</f>
        <v>0</v>
      </c>
      <c r="N28" s="20" t="n">
        <f aca="false">IF(D28="Khoán",IF(TONG_GIO_KHOAN&gt;0,QUY_CHEN/TONG_GIO_KHOAN*G28,0),0)</f>
        <v>0</v>
      </c>
      <c r="O28" s="20" t="n">
        <f aca="false">IF(D28="Khoán",IF(TONG_GIO_KHOAN&gt;0,-TONG_CONGNHAT/TONG_GIO_KHOAN*G28,0),0)</f>
        <v>-0</v>
      </c>
      <c r="P28" s="20" t="n">
        <f aca="false">IF(D28="Công nhật",H28*IFERROR(IF(INDEX(NV_DGCN,MATCH(B28,NV_MA,0))="",DG_CONGNHAT,INDEX(NV_DGCN,MATCH(B28,NV_MA,0))),DG_CONGNHAT),0)</f>
        <v>0</v>
      </c>
      <c r="Q28" s="37" t="n">
        <f aca="false">IF(B28="","",IF(D28="Khoán",ROUNDDOWN(J28+K28+L28+M28+N28+O28,-3),P28+M28))</f>
        <v>0</v>
      </c>
      <c r="R28" s="37" t="n">
        <f aca="false">IF(B28="","",ROUNDDOWN(TIENAN_CONG*H28,-3))</f>
        <v>0</v>
      </c>
      <c r="S28" s="37" t="n">
        <f aca="false">IF(B28="","",Q28+R28)</f>
        <v>0</v>
      </c>
      <c r="T28" s="24"/>
    </row>
    <row r="29" customFormat="false" ht="15" hidden="false" customHeight="false" outlineLevel="0" collapsed="false">
      <c r="A29" s="24" t="n">
        <f aca="false">IF(B29="","",24)</f>
        <v>24</v>
      </c>
      <c r="B29" s="34" t="str">
        <f aca="false">IF(BCC_KHOAN!B29="","",BCC_KHOAN!B29)</f>
        <v>046089009803</v>
      </c>
      <c r="C29" s="24" t="str">
        <f aca="false">IF(B29="","",IFERROR(INDEX(NV_TEN,MATCH(B29,NV_MA,0)),"MÃ KHÔNG CÓ"))</f>
        <v>Trần Văn Trình</v>
      </c>
      <c r="D29" s="24" t="str">
        <f aca="false">IF(B29="","",IFERROR(INDEX(NV_HINHTHUC,MATCH(B29,NV_MA,0)),""))</f>
        <v>Khoán</v>
      </c>
      <c r="E29" s="35" t="n">
        <f aca="false">IF(D29="Khoán",IFERROR(INDEX(NV_HESO,MATCH(B29,NV_MA,0)),0),"")</f>
        <v>0.9</v>
      </c>
      <c r="F29" s="20" t="n">
        <f aca="false">IF(D29="Khoán",IFERROR(INDEX(HS_SX!$B$5:$B$30,MATCH(E29,HS_SX!$A$5:$A$30,0)),0),"")</f>
        <v>5800</v>
      </c>
      <c r="G29" s="30" t="n">
        <f aca="false">IF(B29="","",IFERROR(INDEX(BCC_GIO,MATCH(B29,BCC_MA,0)),0))</f>
        <v>0</v>
      </c>
      <c r="H29" s="31" t="n">
        <f aca="false">IF(B29="","",G29/GIO_CONG)</f>
        <v>0</v>
      </c>
      <c r="I29" s="36" t="n">
        <f aca="false">IF(D29="Khoán",IF(GIO_TB&gt;0,G29/GIO_TB*KL_CHEBIEN,0),0)</f>
        <v>0</v>
      </c>
      <c r="J29" s="20" t="n">
        <f aca="false">IF(D29="Khoán",F29*I29,0)</f>
        <v>0</v>
      </c>
      <c r="K29" s="20" t="n">
        <f aca="false">IF(D29="Khoán",IF(TONG_GIO_KHOAN&gt;0,QUY_HANGING/TONG_GIO_KHOAN*G29,0),0)</f>
        <v>0</v>
      </c>
      <c r="L29" s="20" t="n">
        <f aca="false">IF(D29="Khoán",IF(TONG_GIO_KHOAN&gt;0,QUY_KHAC/TONG_GIO_KHOAN*G29,0),0)</f>
        <v>-0</v>
      </c>
      <c r="M29" s="20" t="n">
        <f aca="false">IF(B29="",0,SUMIFS(KHOAN_KHAC!$F$5:$F$39,KHOAN_KHAC!$G$5:$G$39,B29))</f>
        <v>0</v>
      </c>
      <c r="N29" s="20" t="n">
        <f aca="false">IF(D29="Khoán",IF(TONG_GIO_KHOAN&gt;0,QUY_CHEN/TONG_GIO_KHOAN*G29,0),0)</f>
        <v>0</v>
      </c>
      <c r="O29" s="20" t="n">
        <f aca="false">IF(D29="Khoán",IF(TONG_GIO_KHOAN&gt;0,-TONG_CONGNHAT/TONG_GIO_KHOAN*G29,0),0)</f>
        <v>-0</v>
      </c>
      <c r="P29" s="20" t="n">
        <f aca="false">IF(D29="Công nhật",H29*IFERROR(IF(INDEX(NV_DGCN,MATCH(B29,NV_MA,0))="",DG_CONGNHAT,INDEX(NV_DGCN,MATCH(B29,NV_MA,0))),DG_CONGNHAT),0)</f>
        <v>0</v>
      </c>
      <c r="Q29" s="37" t="n">
        <f aca="false">IF(B29="","",IF(D29="Khoán",ROUNDDOWN(J29+K29+L29+M29+N29+O29,-3),P29+M29))</f>
        <v>0</v>
      </c>
      <c r="R29" s="37" t="n">
        <f aca="false">IF(B29="","",ROUNDDOWN(TIENAN_CONG*H29,-3))</f>
        <v>0</v>
      </c>
      <c r="S29" s="37" t="n">
        <f aca="false">IF(B29="","",Q29+R29)</f>
        <v>0</v>
      </c>
      <c r="T29" s="24"/>
    </row>
    <row r="30" customFormat="false" ht="15" hidden="false" customHeight="false" outlineLevel="0" collapsed="false">
      <c r="A30" s="24" t="n">
        <f aca="false">IF(B30="","",25)</f>
        <v>25</v>
      </c>
      <c r="B30" s="34" t="str">
        <f aca="false">IF(BCC_KHOAN!B30="","",BCC_KHOAN!B30)</f>
        <v>046084009142</v>
      </c>
      <c r="C30" s="24" t="str">
        <f aca="false">IF(B30="","",IFERROR(INDEX(NV_TEN,MATCH(B30,NV_MA,0)),"MÃ KHÔNG CÓ"))</f>
        <v>Trần Văn Hiền</v>
      </c>
      <c r="D30" s="24" t="str">
        <f aca="false">IF(B30="","",IFERROR(INDEX(NV_HINHTHUC,MATCH(B30,NV_MA,0)),""))</f>
        <v>Khoán</v>
      </c>
      <c r="E30" s="35" t="n">
        <f aca="false">IF(D30="Khoán",IFERROR(INDEX(NV_HESO,MATCH(B30,NV_MA,0)),0),"")</f>
        <v>1.5</v>
      </c>
      <c r="F30" s="20" t="n">
        <f aca="false">IF(D30="Khoán",IFERROR(INDEX(HS_SX!$B$5:$B$30,MATCH(E30,HS_SX!$A$5:$A$30,0)),0),"")</f>
        <v>9600</v>
      </c>
      <c r="G30" s="30" t="n">
        <f aca="false">IF(B30="","",IFERROR(INDEX(BCC_GIO,MATCH(B30,BCC_MA,0)),0))</f>
        <v>0</v>
      </c>
      <c r="H30" s="31" t="n">
        <f aca="false">IF(B30="","",G30/GIO_CONG)</f>
        <v>0</v>
      </c>
      <c r="I30" s="36" t="n">
        <f aca="false">IF(D30="Khoán",IF(GIO_TB&gt;0,G30/GIO_TB*KL_CHEBIEN,0),0)</f>
        <v>0</v>
      </c>
      <c r="J30" s="20" t="n">
        <f aca="false">IF(D30="Khoán",F30*I30,0)</f>
        <v>0</v>
      </c>
      <c r="K30" s="20" t="n">
        <f aca="false">IF(D30="Khoán",IF(TONG_GIO_KHOAN&gt;0,QUY_HANGING/TONG_GIO_KHOAN*G30,0),0)</f>
        <v>0</v>
      </c>
      <c r="L30" s="20" t="n">
        <f aca="false">IF(D30="Khoán",IF(TONG_GIO_KHOAN&gt;0,QUY_KHAC/TONG_GIO_KHOAN*G30,0),0)</f>
        <v>-0</v>
      </c>
      <c r="M30" s="20" t="n">
        <f aca="false">IF(B30="",0,SUMIFS(KHOAN_KHAC!$F$5:$F$39,KHOAN_KHAC!$G$5:$G$39,B30))</f>
        <v>200000</v>
      </c>
      <c r="N30" s="20" t="n">
        <f aca="false">IF(D30="Khoán",IF(TONG_GIO_KHOAN&gt;0,QUY_CHEN/TONG_GIO_KHOAN*G30,0),0)</f>
        <v>0</v>
      </c>
      <c r="O30" s="20" t="n">
        <f aca="false">IF(D30="Khoán",IF(TONG_GIO_KHOAN&gt;0,-TONG_CONGNHAT/TONG_GIO_KHOAN*G30,0),0)</f>
        <v>-0</v>
      </c>
      <c r="P30" s="20" t="n">
        <f aca="false">IF(D30="Công nhật",H30*IFERROR(IF(INDEX(NV_DGCN,MATCH(B30,NV_MA,0))="",DG_CONGNHAT,INDEX(NV_DGCN,MATCH(B30,NV_MA,0))),DG_CONGNHAT),0)</f>
        <v>0</v>
      </c>
      <c r="Q30" s="37" t="n">
        <f aca="false">IF(B30="","",IF(D30="Khoán",ROUNDDOWN(J30+K30+L30+M30+N30+O30,-3),P30+M30))</f>
        <v>200000</v>
      </c>
      <c r="R30" s="37" t="n">
        <f aca="false">IF(B30="","",ROUNDDOWN(TIENAN_CONG*H30,-3))</f>
        <v>0</v>
      </c>
      <c r="S30" s="37" t="n">
        <f aca="false">IF(B30="","",Q30+R30)</f>
        <v>200000</v>
      </c>
      <c r="T30" s="24"/>
    </row>
    <row r="31" customFormat="false" ht="15" hidden="false" customHeight="false" outlineLevel="0" collapsed="false">
      <c r="A31" s="24" t="n">
        <f aca="false">IF(B31="","",26)</f>
        <v>26</v>
      </c>
      <c r="B31" s="34" t="str">
        <f aca="false">IF(BCC_KHOAN!B31="","",BCC_KHOAN!B31)</f>
        <v>046207415351</v>
      </c>
      <c r="C31" s="24" t="str">
        <f aca="false">IF(B31="","",IFERROR(INDEX(NV_TEN,MATCH(B31,NV_MA,0)),"MÃ KHÔNG CÓ"))</f>
        <v>Trần Văn Tâm</v>
      </c>
      <c r="D31" s="24" t="str">
        <f aca="false">IF(B31="","",IFERROR(INDEX(NV_HINHTHUC,MATCH(B31,NV_MA,0)),""))</f>
        <v>Khoán</v>
      </c>
      <c r="E31" s="35" t="n">
        <f aca="false">IF(D31="Khoán",IFERROR(INDEX(NV_HESO,MATCH(B31,NV_MA,0)),0),"")</f>
        <v>1.15</v>
      </c>
      <c r="F31" s="20" t="n">
        <f aca="false">IF(D31="Khoán",IFERROR(INDEX(HS_SX!$B$5:$B$30,MATCH(E31,HS_SX!$A$5:$A$30,0)),0),"")</f>
        <v>7400</v>
      </c>
      <c r="G31" s="30" t="n">
        <f aca="false">IF(B31="","",IFERROR(INDEX(BCC_GIO,MATCH(B31,BCC_MA,0)),0))</f>
        <v>123</v>
      </c>
      <c r="H31" s="31" t="n">
        <f aca="false">IF(B31="","",G31/GIO_CONG)</f>
        <v>15.375</v>
      </c>
      <c r="I31" s="36" t="n">
        <f aca="false">IF(D31="Khoán",IF(GIO_TB&gt;0,G31/GIO_TB*KL_CHEBIEN,0),0)</f>
        <v>12233.6556923077</v>
      </c>
      <c r="J31" s="20" t="n">
        <f aca="false">IF(D31="Khoán",F31*I31,0)</f>
        <v>90529052.1230769</v>
      </c>
      <c r="K31" s="20" t="n">
        <f aca="false">IF(D31="Khoán",IF(TONG_GIO_KHOAN&gt;0,QUY_HANGING/TONG_GIO_KHOAN*G31,0),0)</f>
        <v>0</v>
      </c>
      <c r="L31" s="20" t="n">
        <f aca="false">IF(D31="Khoán",IF(TONG_GIO_KHOAN&gt;0,QUY_KHAC/TONG_GIO_KHOAN*G31,0),0)</f>
        <v>-6068901.0989011</v>
      </c>
      <c r="M31" s="20" t="n">
        <f aca="false">IF(B31="",0,SUMIFS(KHOAN_KHAC!$F$5:$F$39,KHOAN_KHAC!$G$5:$G$39,B31))</f>
        <v>0</v>
      </c>
      <c r="N31" s="20" t="n">
        <f aca="false">IF(D31="Khoán",IF(TONG_GIO_KHOAN&gt;0,QUY_CHEN/TONG_GIO_KHOAN*G31,0),0)</f>
        <v>3987849.23076923</v>
      </c>
      <c r="O31" s="20" t="n">
        <f aca="false">IF(D31="Khoán",IF(TONG_GIO_KHOAN&gt;0,-TONG_CONGNHAT/TONG_GIO_KHOAN*G31,0),0)</f>
        <v>-0</v>
      </c>
      <c r="P31" s="20" t="n">
        <f aca="false">IF(D31="Công nhật",H31*IFERROR(IF(INDEX(NV_DGCN,MATCH(B31,NV_MA,0))="",DG_CONGNHAT,INDEX(NV_DGCN,MATCH(B31,NV_MA,0))),DG_CONGNHAT),0)</f>
        <v>0</v>
      </c>
      <c r="Q31" s="37" t="n">
        <f aca="false">IF(B31="","",IF(D31="Khoán",ROUNDDOWN(J31+K31+L31+M31+N31+O31,-3),P31+M31))</f>
        <v>88448000</v>
      </c>
      <c r="R31" s="37" t="n">
        <f aca="false">IF(B31="","",ROUNDDOWN(TIENAN_CONG*H31,-3))</f>
        <v>5971000</v>
      </c>
      <c r="S31" s="37" t="n">
        <f aca="false">IF(B31="","",Q31+R31)</f>
        <v>94419000</v>
      </c>
      <c r="T31" s="24"/>
    </row>
    <row r="32" customFormat="false" ht="15" hidden="false" customHeight="false" outlineLevel="0" collapsed="false">
      <c r="A32" s="24" t="n">
        <f aca="false">IF(B32="","",27)</f>
        <v>27</v>
      </c>
      <c r="B32" s="34" t="str">
        <f aca="false">IF(BCC_KHOAN!B32="","",BCC_KHOAN!B32)</f>
        <v>NV_DINHHAI</v>
      </c>
      <c r="C32" s="24" t="str">
        <f aca="false">IF(B32="","",IFERROR(INDEX(NV_TEN,MATCH(B32,NV_MA,0)),"MÃ KHÔNG CÓ"))</f>
        <v>Trần Đình Hải</v>
      </c>
      <c r="D32" s="24" t="str">
        <f aca="false">IF(B32="","",IFERROR(INDEX(NV_HINHTHUC,MATCH(B32,NV_MA,0)),""))</f>
        <v>Khoán</v>
      </c>
      <c r="E32" s="35" t="n">
        <f aca="false">IF(D32="Khoán",IFERROR(INDEX(NV_HESO,MATCH(B32,NV_MA,0)),0),"")</f>
        <v>1.2</v>
      </c>
      <c r="F32" s="20" t="n">
        <f aca="false">IF(D32="Khoán",IFERROR(INDEX(HS_SX!$B$5:$B$30,MATCH(E32,HS_SX!$A$5:$A$30,0)),0),"")</f>
        <v>7700</v>
      </c>
      <c r="G32" s="30" t="n">
        <f aca="false">IF(B32="","",IFERROR(INDEX(BCC_GIO,MATCH(B32,BCC_MA,0)),0))</f>
        <v>0</v>
      </c>
      <c r="H32" s="31" t="n">
        <f aca="false">IF(B32="","",G32/GIO_CONG)</f>
        <v>0</v>
      </c>
      <c r="I32" s="36" t="n">
        <f aca="false">IF(D32="Khoán",IF(GIO_TB&gt;0,G32/GIO_TB*KL_CHEBIEN,0),0)</f>
        <v>0</v>
      </c>
      <c r="J32" s="20" t="n">
        <f aca="false">IF(D32="Khoán",F32*I32,0)</f>
        <v>0</v>
      </c>
      <c r="K32" s="20" t="n">
        <f aca="false">IF(D32="Khoán",IF(TONG_GIO_KHOAN&gt;0,QUY_HANGING/TONG_GIO_KHOAN*G32,0),0)</f>
        <v>0</v>
      </c>
      <c r="L32" s="20" t="n">
        <f aca="false">IF(D32="Khoán",IF(TONG_GIO_KHOAN&gt;0,QUY_KHAC/TONG_GIO_KHOAN*G32,0),0)</f>
        <v>-0</v>
      </c>
      <c r="M32" s="20" t="n">
        <f aca="false">IF(B32="",0,SUMIFS(KHOAN_KHAC!$F$5:$F$39,KHOAN_KHAC!$G$5:$G$39,B32))</f>
        <v>0</v>
      </c>
      <c r="N32" s="20" t="n">
        <f aca="false">IF(D32="Khoán",IF(TONG_GIO_KHOAN&gt;0,QUY_CHEN/TONG_GIO_KHOAN*G32,0),0)</f>
        <v>0</v>
      </c>
      <c r="O32" s="20" t="n">
        <f aca="false">IF(D32="Khoán",IF(TONG_GIO_KHOAN&gt;0,-TONG_CONGNHAT/TONG_GIO_KHOAN*G32,0),0)</f>
        <v>-0</v>
      </c>
      <c r="P32" s="20" t="n">
        <f aca="false">IF(D32="Công nhật",H32*IFERROR(IF(INDEX(NV_DGCN,MATCH(B32,NV_MA,0))="",DG_CONGNHAT,INDEX(NV_DGCN,MATCH(B32,NV_MA,0))),DG_CONGNHAT),0)</f>
        <v>0</v>
      </c>
      <c r="Q32" s="37" t="n">
        <f aca="false">IF(B32="","",IF(D32="Khoán",ROUNDDOWN(J32+K32+L32+M32+N32+O32,-3),P32+M32))</f>
        <v>0</v>
      </c>
      <c r="R32" s="37" t="n">
        <f aca="false">IF(B32="","",ROUNDDOWN(TIENAN_CONG*H32,-3))</f>
        <v>0</v>
      </c>
      <c r="S32" s="37" t="n">
        <f aca="false">IF(B32="","",Q32+R32)</f>
        <v>0</v>
      </c>
      <c r="T32" s="24"/>
    </row>
    <row r="33" customFormat="false" ht="15" hidden="false" customHeight="false" outlineLevel="0" collapsed="false">
      <c r="A33" s="24" t="n">
        <f aca="false">IF(B33="","",28)</f>
        <v>28</v>
      </c>
      <c r="B33" s="34" t="str">
        <f aca="false">IF(BCC_KHOAN!B33="","",BCC_KHOAN!B33)</f>
        <v>046064009756</v>
      </c>
      <c r="C33" s="24" t="str">
        <f aca="false">IF(B33="","",IFERROR(INDEX(NV_TEN,MATCH(B33,NV_MA,0)),"MÃ KHÔNG CÓ"))</f>
        <v>Hoàng Lự</v>
      </c>
      <c r="D33" s="24" t="str">
        <f aca="false">IF(B33="","",IFERROR(INDEX(NV_HINHTHUC,MATCH(B33,NV_MA,0)),""))</f>
        <v>Khoán</v>
      </c>
      <c r="E33" s="35" t="n">
        <f aca="false">IF(D33="Khoán",IFERROR(INDEX(NV_HESO,MATCH(B33,NV_MA,0)),0),"")</f>
        <v>1.1</v>
      </c>
      <c r="F33" s="20" t="n">
        <f aca="false">IF(D33="Khoán",IFERROR(INDEX(HS_SX!$B$5:$B$30,MATCH(E33,HS_SX!$A$5:$A$30,0)),0),"")</f>
        <v>7100</v>
      </c>
      <c r="G33" s="30" t="n">
        <f aca="false">IF(B33="","",IFERROR(INDEX(BCC_GIO,MATCH(B33,BCC_MA,0)),0))</f>
        <v>0</v>
      </c>
      <c r="H33" s="31" t="n">
        <f aca="false">IF(B33="","",G33/GIO_CONG)</f>
        <v>0</v>
      </c>
      <c r="I33" s="36" t="n">
        <f aca="false">IF(D33="Khoán",IF(GIO_TB&gt;0,G33/GIO_TB*KL_CHEBIEN,0),0)</f>
        <v>0</v>
      </c>
      <c r="J33" s="20" t="n">
        <f aca="false">IF(D33="Khoán",F33*I33,0)</f>
        <v>0</v>
      </c>
      <c r="K33" s="20" t="n">
        <f aca="false">IF(D33="Khoán",IF(TONG_GIO_KHOAN&gt;0,QUY_HANGING/TONG_GIO_KHOAN*G33,0),0)</f>
        <v>0</v>
      </c>
      <c r="L33" s="20" t="n">
        <f aca="false">IF(D33="Khoán",IF(TONG_GIO_KHOAN&gt;0,QUY_KHAC/TONG_GIO_KHOAN*G33,0),0)</f>
        <v>-0</v>
      </c>
      <c r="M33" s="20" t="n">
        <f aca="false">IF(B33="",0,SUMIFS(KHOAN_KHAC!$F$5:$F$39,KHOAN_KHAC!$G$5:$G$39,B33))</f>
        <v>0</v>
      </c>
      <c r="N33" s="20" t="n">
        <f aca="false">IF(D33="Khoán",IF(TONG_GIO_KHOAN&gt;0,QUY_CHEN/TONG_GIO_KHOAN*G33,0),0)</f>
        <v>0</v>
      </c>
      <c r="O33" s="20" t="n">
        <f aca="false">IF(D33="Khoán",IF(TONG_GIO_KHOAN&gt;0,-TONG_CONGNHAT/TONG_GIO_KHOAN*G33,0),0)</f>
        <v>-0</v>
      </c>
      <c r="P33" s="20" t="n">
        <f aca="false">IF(D33="Công nhật",H33*IFERROR(IF(INDEX(NV_DGCN,MATCH(B33,NV_MA,0))="",DG_CONGNHAT,INDEX(NV_DGCN,MATCH(B33,NV_MA,0))),DG_CONGNHAT),0)</f>
        <v>0</v>
      </c>
      <c r="Q33" s="37" t="n">
        <f aca="false">IF(B33="","",IF(D33="Khoán",ROUNDDOWN(J33+K33+L33+M33+N33+O33,-3),P33+M33))</f>
        <v>0</v>
      </c>
      <c r="R33" s="37" t="n">
        <f aca="false">IF(B33="","",ROUNDDOWN(TIENAN_CONG*H33,-3))</f>
        <v>0</v>
      </c>
      <c r="S33" s="37" t="n">
        <f aca="false">IF(B33="","",Q33+R33)</f>
        <v>0</v>
      </c>
      <c r="T33" s="24"/>
    </row>
    <row r="34" customFormat="false" ht="15" hidden="false" customHeight="false" outlineLevel="0" collapsed="false">
      <c r="A34" s="24" t="n">
        <f aca="false">IF(B34="","",29)</f>
        <v>29</v>
      </c>
      <c r="B34" s="34" t="str">
        <f aca="false">IF(BCC_KHOAN!B34="","",BCC_KHOAN!B34)</f>
        <v>046172013307</v>
      </c>
      <c r="C34" s="24" t="str">
        <f aca="false">IF(B34="","",IFERROR(INDEX(NV_TEN,MATCH(B34,NV_MA,0)),"MÃ KHÔNG CÓ"))</f>
        <v>Ngô Thị Thủy</v>
      </c>
      <c r="D34" s="24" t="str">
        <f aca="false">IF(B34="","",IFERROR(INDEX(NV_HINHTHUC,MATCH(B34,NV_MA,0)),""))</f>
        <v>Khoán</v>
      </c>
      <c r="E34" s="35" t="n">
        <f aca="false">IF(D34="Khoán",IFERROR(INDEX(NV_HESO,MATCH(B34,NV_MA,0)),0),"")</f>
        <v>1.1</v>
      </c>
      <c r="F34" s="20" t="n">
        <f aca="false">IF(D34="Khoán",IFERROR(INDEX(HS_SX!$B$5:$B$30,MATCH(E34,HS_SX!$A$5:$A$30,0)),0),"")</f>
        <v>7100</v>
      </c>
      <c r="G34" s="30" t="n">
        <f aca="false">IF(B34="","",IFERROR(INDEX(BCC_GIO,MATCH(B34,BCC_MA,0)),0))</f>
        <v>0</v>
      </c>
      <c r="H34" s="31" t="n">
        <f aca="false">IF(B34="","",G34/GIO_CONG)</f>
        <v>0</v>
      </c>
      <c r="I34" s="36" t="n">
        <f aca="false">IF(D34="Khoán",IF(GIO_TB&gt;0,G34/GIO_TB*KL_CHEBIEN,0),0)</f>
        <v>0</v>
      </c>
      <c r="J34" s="20" t="n">
        <f aca="false">IF(D34="Khoán",F34*I34,0)</f>
        <v>0</v>
      </c>
      <c r="K34" s="20" t="n">
        <f aca="false">IF(D34="Khoán",IF(TONG_GIO_KHOAN&gt;0,QUY_HANGING/TONG_GIO_KHOAN*G34,0),0)</f>
        <v>0</v>
      </c>
      <c r="L34" s="20" t="n">
        <f aca="false">IF(D34="Khoán",IF(TONG_GIO_KHOAN&gt;0,QUY_KHAC/TONG_GIO_KHOAN*G34,0),0)</f>
        <v>-0</v>
      </c>
      <c r="M34" s="20" t="n">
        <f aca="false">IF(B34="",0,SUMIFS(KHOAN_KHAC!$F$5:$F$39,KHOAN_KHAC!$G$5:$G$39,B34))</f>
        <v>0</v>
      </c>
      <c r="N34" s="20" t="n">
        <f aca="false">IF(D34="Khoán",IF(TONG_GIO_KHOAN&gt;0,QUY_CHEN/TONG_GIO_KHOAN*G34,0),0)</f>
        <v>0</v>
      </c>
      <c r="O34" s="20" t="n">
        <f aca="false">IF(D34="Khoán",IF(TONG_GIO_KHOAN&gt;0,-TONG_CONGNHAT/TONG_GIO_KHOAN*G34,0),0)</f>
        <v>-0</v>
      </c>
      <c r="P34" s="20" t="n">
        <f aca="false">IF(D34="Công nhật",H34*IFERROR(IF(INDEX(NV_DGCN,MATCH(B34,NV_MA,0))="",DG_CONGNHAT,INDEX(NV_DGCN,MATCH(B34,NV_MA,0))),DG_CONGNHAT),0)</f>
        <v>0</v>
      </c>
      <c r="Q34" s="37" t="n">
        <f aca="false">IF(B34="","",IF(D34="Khoán",ROUNDDOWN(J34+K34+L34+M34+N34+O34,-3),P34+M34))</f>
        <v>0</v>
      </c>
      <c r="R34" s="37" t="n">
        <f aca="false">IF(B34="","",ROUNDDOWN(TIENAN_CONG*H34,-3))</f>
        <v>0</v>
      </c>
      <c r="S34" s="37" t="n">
        <f aca="false">IF(B34="","",Q34+R34)</f>
        <v>0</v>
      </c>
      <c r="T34" s="24"/>
    </row>
    <row r="35" customFormat="false" ht="15" hidden="false" customHeight="false" outlineLevel="0" collapsed="false">
      <c r="A35" s="24" t="n">
        <f aca="false">IF(B35="","",30)</f>
        <v>30</v>
      </c>
      <c r="B35" s="34" t="str">
        <f aca="false">IF(BCC_KHOAN!B35="","",BCC_KHOAN!B35)</f>
        <v>046165007228</v>
      </c>
      <c r="C35" s="24" t="str">
        <f aca="false">IF(B35="","",IFERROR(INDEX(NV_TEN,MATCH(B35,NV_MA,0)),"MÃ KHÔNG CÓ"))</f>
        <v>Lê Thị Hương</v>
      </c>
      <c r="D35" s="24" t="str">
        <f aca="false">IF(B35="","",IFERROR(INDEX(NV_HINHTHUC,MATCH(B35,NV_MA,0)),""))</f>
        <v>Khoán</v>
      </c>
      <c r="E35" s="35" t="n">
        <f aca="false">IF(D35="Khoán",IFERROR(INDEX(NV_HESO,MATCH(B35,NV_MA,0)),0),"")</f>
        <v>1</v>
      </c>
      <c r="F35" s="20" t="n">
        <f aca="false">IF(D35="Khoán",IFERROR(INDEX(HS_SX!$B$5:$B$30,MATCH(E35,HS_SX!$A$5:$A$30,0)),0),"")</f>
        <v>6400</v>
      </c>
      <c r="G35" s="30" t="n">
        <f aca="false">IF(B35="","",IFERROR(INDEX(BCC_GIO,MATCH(B35,BCC_MA,0)),0))</f>
        <v>0</v>
      </c>
      <c r="H35" s="31" t="n">
        <f aca="false">IF(B35="","",G35/GIO_CONG)</f>
        <v>0</v>
      </c>
      <c r="I35" s="36" t="n">
        <f aca="false">IF(D35="Khoán",IF(GIO_TB&gt;0,G35/GIO_TB*KL_CHEBIEN,0),0)</f>
        <v>0</v>
      </c>
      <c r="J35" s="20" t="n">
        <f aca="false">IF(D35="Khoán",F35*I35,0)</f>
        <v>0</v>
      </c>
      <c r="K35" s="20" t="n">
        <f aca="false">IF(D35="Khoán",IF(TONG_GIO_KHOAN&gt;0,QUY_HANGING/TONG_GIO_KHOAN*G35,0),0)</f>
        <v>0</v>
      </c>
      <c r="L35" s="20" t="n">
        <f aca="false">IF(D35="Khoán",IF(TONG_GIO_KHOAN&gt;0,QUY_KHAC/TONG_GIO_KHOAN*G35,0),0)</f>
        <v>-0</v>
      </c>
      <c r="M35" s="20" t="n">
        <f aca="false">IF(B35="",0,SUMIFS(KHOAN_KHAC!$F$5:$F$39,KHOAN_KHAC!$G$5:$G$39,B35))</f>
        <v>0</v>
      </c>
      <c r="N35" s="20" t="n">
        <f aca="false">IF(D35="Khoán",IF(TONG_GIO_KHOAN&gt;0,QUY_CHEN/TONG_GIO_KHOAN*G35,0),0)</f>
        <v>0</v>
      </c>
      <c r="O35" s="20" t="n">
        <f aca="false">IF(D35="Khoán",IF(TONG_GIO_KHOAN&gt;0,-TONG_CONGNHAT/TONG_GIO_KHOAN*G35,0),0)</f>
        <v>-0</v>
      </c>
      <c r="P35" s="20" t="n">
        <f aca="false">IF(D35="Công nhật",H35*IFERROR(IF(INDEX(NV_DGCN,MATCH(B35,NV_MA,0))="",DG_CONGNHAT,INDEX(NV_DGCN,MATCH(B35,NV_MA,0))),DG_CONGNHAT),0)</f>
        <v>0</v>
      </c>
      <c r="Q35" s="37" t="n">
        <f aca="false">IF(B35="","",IF(D35="Khoán",ROUNDDOWN(J35+K35+L35+M35+N35+O35,-3),P35+M35))</f>
        <v>0</v>
      </c>
      <c r="R35" s="37" t="n">
        <f aca="false">IF(B35="","",ROUNDDOWN(TIENAN_CONG*H35,-3))</f>
        <v>0</v>
      </c>
      <c r="S35" s="37" t="n">
        <f aca="false">IF(B35="","",Q35+R35)</f>
        <v>0</v>
      </c>
      <c r="T35" s="24"/>
    </row>
    <row r="36" customFormat="false" ht="15" hidden="false" customHeight="false" outlineLevel="0" collapsed="false">
      <c r="A36" s="24" t="n">
        <f aca="false">IF(B36="","",31)</f>
        <v>31</v>
      </c>
      <c r="B36" s="34" t="str">
        <f aca="false">IF(BCC_KHOAN!B36="","",BCC_KHOAN!B36)</f>
        <v>046181009164</v>
      </c>
      <c r="C36" s="24" t="str">
        <f aca="false">IF(B36="","",IFERROR(INDEX(NV_TEN,MATCH(B36,NV_MA,0)),"MÃ KHÔNG CÓ"))</f>
        <v>Hoàng Thị Nhung</v>
      </c>
      <c r="D36" s="24" t="str">
        <f aca="false">IF(B36="","",IFERROR(INDEX(NV_HINHTHUC,MATCH(B36,NV_MA,0)),""))</f>
        <v>Khoán</v>
      </c>
      <c r="E36" s="35" t="n">
        <f aca="false">IF(D36="Khoán",IFERROR(INDEX(NV_HESO,MATCH(B36,NV_MA,0)),0),"")</f>
        <v>1.15</v>
      </c>
      <c r="F36" s="20" t="n">
        <f aca="false">IF(D36="Khoán",IFERROR(INDEX(HS_SX!$B$5:$B$30,MATCH(E36,HS_SX!$A$5:$A$30,0)),0),"")</f>
        <v>7400</v>
      </c>
      <c r="G36" s="30" t="n">
        <f aca="false">IF(B36="","",IFERROR(INDEX(BCC_GIO,MATCH(B36,BCC_MA,0)),0))</f>
        <v>0</v>
      </c>
      <c r="H36" s="31" t="n">
        <f aca="false">IF(B36="","",G36/GIO_CONG)</f>
        <v>0</v>
      </c>
      <c r="I36" s="36" t="n">
        <f aca="false">IF(D36="Khoán",IF(GIO_TB&gt;0,G36/GIO_TB*KL_CHEBIEN,0),0)</f>
        <v>0</v>
      </c>
      <c r="J36" s="20" t="n">
        <f aca="false">IF(D36="Khoán",F36*I36,0)</f>
        <v>0</v>
      </c>
      <c r="K36" s="20" t="n">
        <f aca="false">IF(D36="Khoán",IF(TONG_GIO_KHOAN&gt;0,QUY_HANGING/TONG_GIO_KHOAN*G36,0),0)</f>
        <v>0</v>
      </c>
      <c r="L36" s="20" t="n">
        <f aca="false">IF(D36="Khoán",IF(TONG_GIO_KHOAN&gt;0,QUY_KHAC/TONG_GIO_KHOAN*G36,0),0)</f>
        <v>-0</v>
      </c>
      <c r="M36" s="20" t="n">
        <f aca="false">IF(B36="",0,SUMIFS(KHOAN_KHAC!$F$5:$F$39,KHOAN_KHAC!$G$5:$G$39,B36))</f>
        <v>0</v>
      </c>
      <c r="N36" s="20" t="n">
        <f aca="false">IF(D36="Khoán",IF(TONG_GIO_KHOAN&gt;0,QUY_CHEN/TONG_GIO_KHOAN*G36,0),0)</f>
        <v>0</v>
      </c>
      <c r="O36" s="20" t="n">
        <f aca="false">IF(D36="Khoán",IF(TONG_GIO_KHOAN&gt;0,-TONG_CONGNHAT/TONG_GIO_KHOAN*G36,0),0)</f>
        <v>-0</v>
      </c>
      <c r="P36" s="20" t="n">
        <f aca="false">IF(D36="Công nhật",H36*IFERROR(IF(INDEX(NV_DGCN,MATCH(B36,NV_MA,0))="",DG_CONGNHAT,INDEX(NV_DGCN,MATCH(B36,NV_MA,0))),DG_CONGNHAT),0)</f>
        <v>0</v>
      </c>
      <c r="Q36" s="37" t="n">
        <f aca="false">IF(B36="","",IF(D36="Khoán",ROUNDDOWN(J36+K36+L36+M36+N36+O36,-3),P36+M36))</f>
        <v>0</v>
      </c>
      <c r="R36" s="37" t="n">
        <f aca="false">IF(B36="","",ROUNDDOWN(TIENAN_CONG*H36,-3))</f>
        <v>0</v>
      </c>
      <c r="S36" s="37" t="n">
        <f aca="false">IF(B36="","",Q36+R36)</f>
        <v>0</v>
      </c>
      <c r="T36" s="24"/>
    </row>
    <row r="37" customFormat="false" ht="15" hidden="false" customHeight="false" outlineLevel="0" collapsed="false">
      <c r="A37" s="24" t="n">
        <f aca="false">IF(B37="","",32)</f>
        <v>32</v>
      </c>
      <c r="B37" s="34" t="str">
        <f aca="false">IF(BCC_KHOAN!B37="","",BCC_KHOAN!B37)</f>
        <v>046173005614</v>
      </c>
      <c r="C37" s="24" t="str">
        <f aca="false">IF(B37="","",IFERROR(INDEX(NV_TEN,MATCH(B37,NV_MA,0)),"MÃ KHÔNG CÓ"))</f>
        <v>Trần Thị Thu Thủy</v>
      </c>
      <c r="D37" s="24" t="str">
        <f aca="false">IF(B37="","",IFERROR(INDEX(NV_HINHTHUC,MATCH(B37,NV_MA,0)),""))</f>
        <v>Khoán</v>
      </c>
      <c r="E37" s="35" t="n">
        <f aca="false">IF(D37="Khoán",IFERROR(INDEX(NV_HESO,MATCH(B37,NV_MA,0)),0),"")</f>
        <v>1.1</v>
      </c>
      <c r="F37" s="20" t="n">
        <f aca="false">IF(D37="Khoán",IFERROR(INDEX(HS_SX!$B$5:$B$30,MATCH(E37,HS_SX!$A$5:$A$30,0)),0),"")</f>
        <v>7100</v>
      </c>
      <c r="G37" s="30" t="n">
        <f aca="false">IF(B37="","",IFERROR(INDEX(BCC_GIO,MATCH(B37,BCC_MA,0)),0))</f>
        <v>0</v>
      </c>
      <c r="H37" s="31" t="n">
        <f aca="false">IF(B37="","",G37/GIO_CONG)</f>
        <v>0</v>
      </c>
      <c r="I37" s="36" t="n">
        <f aca="false">IF(D37="Khoán",IF(GIO_TB&gt;0,G37/GIO_TB*KL_CHEBIEN,0),0)</f>
        <v>0</v>
      </c>
      <c r="J37" s="20" t="n">
        <f aca="false">IF(D37="Khoán",F37*I37,0)</f>
        <v>0</v>
      </c>
      <c r="K37" s="20" t="n">
        <f aca="false">IF(D37="Khoán",IF(TONG_GIO_KHOAN&gt;0,QUY_HANGING/TONG_GIO_KHOAN*G37,0),0)</f>
        <v>0</v>
      </c>
      <c r="L37" s="20" t="n">
        <f aca="false">IF(D37="Khoán",IF(TONG_GIO_KHOAN&gt;0,QUY_KHAC/TONG_GIO_KHOAN*G37,0),0)</f>
        <v>-0</v>
      </c>
      <c r="M37" s="20" t="n">
        <f aca="false">IF(B37="",0,SUMIFS(KHOAN_KHAC!$F$5:$F$39,KHOAN_KHAC!$G$5:$G$39,B37))</f>
        <v>0</v>
      </c>
      <c r="N37" s="20" t="n">
        <f aca="false">IF(D37="Khoán",IF(TONG_GIO_KHOAN&gt;0,QUY_CHEN/TONG_GIO_KHOAN*G37,0),0)</f>
        <v>0</v>
      </c>
      <c r="O37" s="20" t="n">
        <f aca="false">IF(D37="Khoán",IF(TONG_GIO_KHOAN&gt;0,-TONG_CONGNHAT/TONG_GIO_KHOAN*G37,0),0)</f>
        <v>-0</v>
      </c>
      <c r="P37" s="20" t="n">
        <f aca="false">IF(D37="Công nhật",H37*IFERROR(IF(INDEX(NV_DGCN,MATCH(B37,NV_MA,0))="",DG_CONGNHAT,INDEX(NV_DGCN,MATCH(B37,NV_MA,0))),DG_CONGNHAT),0)</f>
        <v>0</v>
      </c>
      <c r="Q37" s="37" t="n">
        <f aca="false">IF(B37="","",IF(D37="Khoán",ROUNDDOWN(J37+K37+L37+M37+N37+O37,-3),P37+M37))</f>
        <v>0</v>
      </c>
      <c r="R37" s="37" t="n">
        <f aca="false">IF(B37="","",ROUNDDOWN(TIENAN_CONG*H37,-3))</f>
        <v>0</v>
      </c>
      <c r="S37" s="37" t="n">
        <f aca="false">IF(B37="","",Q37+R37)</f>
        <v>0</v>
      </c>
      <c r="T37" s="24"/>
    </row>
    <row r="38" customFormat="false" ht="15" hidden="false" customHeight="false" outlineLevel="0" collapsed="false">
      <c r="A38" s="24" t="n">
        <f aca="false">IF(B38="","",33)</f>
        <v>33</v>
      </c>
      <c r="B38" s="34" t="str">
        <f aca="false">IF(BCC_KHOAN!B38="","",BCC_KHOAN!B38)</f>
        <v>046180005626</v>
      </c>
      <c r="C38" s="24" t="str">
        <f aca="false">IF(B38="","",IFERROR(INDEX(NV_TEN,MATCH(B38,NV_MA,0)),"MÃ KHÔNG CÓ"))</f>
        <v>Trần Thị Cẩm Hà</v>
      </c>
      <c r="D38" s="24" t="str">
        <f aca="false">IF(B38="","",IFERROR(INDEX(NV_HINHTHUC,MATCH(B38,NV_MA,0)),""))</f>
        <v>Khoán</v>
      </c>
      <c r="E38" s="35" t="n">
        <f aca="false">IF(D38="Khoán",IFERROR(INDEX(NV_HESO,MATCH(B38,NV_MA,0)),0),"")</f>
        <v>1.15</v>
      </c>
      <c r="F38" s="20" t="n">
        <f aca="false">IF(D38="Khoán",IFERROR(INDEX(HS_SX!$B$5:$B$30,MATCH(E38,HS_SX!$A$5:$A$30,0)),0),"")</f>
        <v>7400</v>
      </c>
      <c r="G38" s="30" t="n">
        <f aca="false">IF(B38="","",IFERROR(INDEX(BCC_GIO,MATCH(B38,BCC_MA,0)),0))</f>
        <v>0</v>
      </c>
      <c r="H38" s="31" t="n">
        <f aca="false">IF(B38="","",G38/GIO_CONG)</f>
        <v>0</v>
      </c>
      <c r="I38" s="36" t="n">
        <f aca="false">IF(D38="Khoán",IF(GIO_TB&gt;0,G38/GIO_TB*KL_CHEBIEN,0),0)</f>
        <v>0</v>
      </c>
      <c r="J38" s="20" t="n">
        <f aca="false">IF(D38="Khoán",F38*I38,0)</f>
        <v>0</v>
      </c>
      <c r="K38" s="20" t="n">
        <f aca="false">IF(D38="Khoán",IF(TONG_GIO_KHOAN&gt;0,QUY_HANGING/TONG_GIO_KHOAN*G38,0),0)</f>
        <v>0</v>
      </c>
      <c r="L38" s="20" t="n">
        <f aca="false">IF(D38="Khoán",IF(TONG_GIO_KHOAN&gt;0,QUY_KHAC/TONG_GIO_KHOAN*G38,0),0)</f>
        <v>-0</v>
      </c>
      <c r="M38" s="20" t="n">
        <f aca="false">IF(B38="",0,SUMIFS(KHOAN_KHAC!$F$5:$F$39,KHOAN_KHAC!$G$5:$G$39,B38))</f>
        <v>0</v>
      </c>
      <c r="N38" s="20" t="n">
        <f aca="false">IF(D38="Khoán",IF(TONG_GIO_KHOAN&gt;0,QUY_CHEN/TONG_GIO_KHOAN*G38,0),0)</f>
        <v>0</v>
      </c>
      <c r="O38" s="20" t="n">
        <f aca="false">IF(D38="Khoán",IF(TONG_GIO_KHOAN&gt;0,-TONG_CONGNHAT/TONG_GIO_KHOAN*G38,0),0)</f>
        <v>-0</v>
      </c>
      <c r="P38" s="20" t="n">
        <f aca="false">IF(D38="Công nhật",H38*IFERROR(IF(INDEX(NV_DGCN,MATCH(B38,NV_MA,0))="",DG_CONGNHAT,INDEX(NV_DGCN,MATCH(B38,NV_MA,0))),DG_CONGNHAT),0)</f>
        <v>0</v>
      </c>
      <c r="Q38" s="37" t="n">
        <f aca="false">IF(B38="","",IF(D38="Khoán",ROUNDDOWN(J38+K38+L38+M38+N38+O38,-3),P38+M38))</f>
        <v>0</v>
      </c>
      <c r="R38" s="37" t="n">
        <f aca="false">IF(B38="","",ROUNDDOWN(TIENAN_CONG*H38,-3))</f>
        <v>0</v>
      </c>
      <c r="S38" s="37" t="n">
        <f aca="false">IF(B38="","",Q38+R38)</f>
        <v>0</v>
      </c>
      <c r="T38" s="24"/>
    </row>
    <row r="39" customFormat="false" ht="15" hidden="false" customHeight="false" outlineLevel="0" collapsed="false">
      <c r="A39" s="24" t="n">
        <f aca="false">IF(B39="","",34)</f>
        <v>34</v>
      </c>
      <c r="B39" s="34" t="str">
        <f aca="false">IF(BCC_KHOAN!B39="","",BCC_KHOAN!B39)</f>
        <v>046177004568</v>
      </c>
      <c r="C39" s="24" t="str">
        <f aca="false">IF(B39="","",IFERROR(INDEX(NV_TEN,MATCH(B39,NV_MA,0)),"MÃ KHÔNG CÓ"))</f>
        <v>Nguyễn Thị Kim Tin</v>
      </c>
      <c r="D39" s="24" t="str">
        <f aca="false">IF(B39="","",IFERROR(INDEX(NV_HINHTHUC,MATCH(B39,NV_MA,0)),""))</f>
        <v>Khoán</v>
      </c>
      <c r="E39" s="35" t="n">
        <f aca="false">IF(D39="Khoán",IFERROR(INDEX(NV_HESO,MATCH(B39,NV_MA,0)),0),"")</f>
        <v>1.15</v>
      </c>
      <c r="F39" s="20" t="n">
        <f aca="false">IF(D39="Khoán",IFERROR(INDEX(HS_SX!$B$5:$B$30,MATCH(E39,HS_SX!$A$5:$A$30,0)),0),"")</f>
        <v>7400</v>
      </c>
      <c r="G39" s="30" t="n">
        <f aca="false">IF(B39="","",IFERROR(INDEX(BCC_GIO,MATCH(B39,BCC_MA,0)),0))</f>
        <v>0</v>
      </c>
      <c r="H39" s="31" t="n">
        <f aca="false">IF(B39="","",G39/GIO_CONG)</f>
        <v>0</v>
      </c>
      <c r="I39" s="36" t="n">
        <f aca="false">IF(D39="Khoán",IF(GIO_TB&gt;0,G39/GIO_TB*KL_CHEBIEN,0),0)</f>
        <v>0</v>
      </c>
      <c r="J39" s="20" t="n">
        <f aca="false">IF(D39="Khoán",F39*I39,0)</f>
        <v>0</v>
      </c>
      <c r="K39" s="20" t="n">
        <f aca="false">IF(D39="Khoán",IF(TONG_GIO_KHOAN&gt;0,QUY_HANGING/TONG_GIO_KHOAN*G39,0),0)</f>
        <v>0</v>
      </c>
      <c r="L39" s="20" t="n">
        <f aca="false">IF(D39="Khoán",IF(TONG_GIO_KHOAN&gt;0,QUY_KHAC/TONG_GIO_KHOAN*G39,0),0)</f>
        <v>-0</v>
      </c>
      <c r="M39" s="20" t="n">
        <f aca="false">IF(B39="",0,SUMIFS(KHOAN_KHAC!$F$5:$F$39,KHOAN_KHAC!$G$5:$G$39,B39))</f>
        <v>0</v>
      </c>
      <c r="N39" s="20" t="n">
        <f aca="false">IF(D39="Khoán",IF(TONG_GIO_KHOAN&gt;0,QUY_CHEN/TONG_GIO_KHOAN*G39,0),0)</f>
        <v>0</v>
      </c>
      <c r="O39" s="20" t="n">
        <f aca="false">IF(D39="Khoán",IF(TONG_GIO_KHOAN&gt;0,-TONG_CONGNHAT/TONG_GIO_KHOAN*G39,0),0)</f>
        <v>-0</v>
      </c>
      <c r="P39" s="20" t="n">
        <f aca="false">IF(D39="Công nhật",H39*IFERROR(IF(INDEX(NV_DGCN,MATCH(B39,NV_MA,0))="",DG_CONGNHAT,INDEX(NV_DGCN,MATCH(B39,NV_MA,0))),DG_CONGNHAT),0)</f>
        <v>0</v>
      </c>
      <c r="Q39" s="37" t="n">
        <f aca="false">IF(B39="","",IF(D39="Khoán",ROUNDDOWN(J39+K39+L39+M39+N39+O39,-3),P39+M39))</f>
        <v>0</v>
      </c>
      <c r="R39" s="37" t="n">
        <f aca="false">IF(B39="","",ROUNDDOWN(TIENAN_CONG*H39,-3))</f>
        <v>0</v>
      </c>
      <c r="S39" s="37" t="n">
        <f aca="false">IF(B39="","",Q39+R39)</f>
        <v>0</v>
      </c>
      <c r="T39" s="24"/>
    </row>
    <row r="40" customFormat="false" ht="15" hidden="false" customHeight="false" outlineLevel="0" collapsed="false">
      <c r="A40" s="24" t="n">
        <f aca="false">IF(B40="","",35)</f>
        <v>35</v>
      </c>
      <c r="B40" s="34" t="str">
        <f aca="false">IF(BCC_KHOAN!B40="","",BCC_KHOAN!B40)</f>
        <v>046176012968</v>
      </c>
      <c r="C40" s="24" t="str">
        <f aca="false">IF(B40="","",IFERROR(INDEX(NV_TEN,MATCH(B40,NV_MA,0)),"MÃ KHÔNG CÓ"))</f>
        <v>Nguyễn Thị Loan</v>
      </c>
      <c r="D40" s="24" t="str">
        <f aca="false">IF(B40="","",IFERROR(INDEX(NV_HINHTHUC,MATCH(B40,NV_MA,0)),""))</f>
        <v>Khoán</v>
      </c>
      <c r="E40" s="35" t="n">
        <f aca="false">IF(D40="Khoán",IFERROR(INDEX(NV_HESO,MATCH(B40,NV_MA,0)),0),"")</f>
        <v>1.1</v>
      </c>
      <c r="F40" s="20" t="n">
        <f aca="false">IF(D40="Khoán",IFERROR(INDEX(HS_SX!$B$5:$B$30,MATCH(E40,HS_SX!$A$5:$A$30,0)),0),"")</f>
        <v>7100</v>
      </c>
      <c r="G40" s="30" t="n">
        <f aca="false">IF(B40="","",IFERROR(INDEX(BCC_GIO,MATCH(B40,BCC_MA,0)),0))</f>
        <v>0</v>
      </c>
      <c r="H40" s="31" t="n">
        <f aca="false">IF(B40="","",G40/GIO_CONG)</f>
        <v>0</v>
      </c>
      <c r="I40" s="36" t="n">
        <f aca="false">IF(D40="Khoán",IF(GIO_TB&gt;0,G40/GIO_TB*KL_CHEBIEN,0),0)</f>
        <v>0</v>
      </c>
      <c r="J40" s="20" t="n">
        <f aca="false">IF(D40="Khoán",F40*I40,0)</f>
        <v>0</v>
      </c>
      <c r="K40" s="20" t="n">
        <f aca="false">IF(D40="Khoán",IF(TONG_GIO_KHOAN&gt;0,QUY_HANGING/TONG_GIO_KHOAN*G40,0),0)</f>
        <v>0</v>
      </c>
      <c r="L40" s="20" t="n">
        <f aca="false">IF(D40="Khoán",IF(TONG_GIO_KHOAN&gt;0,QUY_KHAC/TONG_GIO_KHOAN*G40,0),0)</f>
        <v>-0</v>
      </c>
      <c r="M40" s="20" t="n">
        <f aca="false">IF(B40="",0,SUMIFS(KHOAN_KHAC!$F$5:$F$39,KHOAN_KHAC!$G$5:$G$39,B40))</f>
        <v>0</v>
      </c>
      <c r="N40" s="20" t="n">
        <f aca="false">IF(D40="Khoán",IF(TONG_GIO_KHOAN&gt;0,QUY_CHEN/TONG_GIO_KHOAN*G40,0),0)</f>
        <v>0</v>
      </c>
      <c r="O40" s="20" t="n">
        <f aca="false">IF(D40="Khoán",IF(TONG_GIO_KHOAN&gt;0,-TONG_CONGNHAT/TONG_GIO_KHOAN*G40,0),0)</f>
        <v>-0</v>
      </c>
      <c r="P40" s="20" t="n">
        <f aca="false">IF(D40="Công nhật",H40*IFERROR(IF(INDEX(NV_DGCN,MATCH(B40,NV_MA,0))="",DG_CONGNHAT,INDEX(NV_DGCN,MATCH(B40,NV_MA,0))),DG_CONGNHAT),0)</f>
        <v>0</v>
      </c>
      <c r="Q40" s="37" t="n">
        <f aca="false">IF(B40="","",IF(D40="Khoán",ROUNDDOWN(J40+K40+L40+M40+N40+O40,-3),P40+M40))</f>
        <v>0</v>
      </c>
      <c r="R40" s="37" t="n">
        <f aca="false">IF(B40="","",ROUNDDOWN(TIENAN_CONG*H40,-3))</f>
        <v>0</v>
      </c>
      <c r="S40" s="37" t="n">
        <f aca="false">IF(B40="","",Q40+R40)</f>
        <v>0</v>
      </c>
      <c r="T40" s="24"/>
    </row>
    <row r="41" customFormat="false" ht="15" hidden="false" customHeight="false" outlineLevel="0" collapsed="false">
      <c r="A41" s="24" t="n">
        <f aca="false">IF(B41="","",36)</f>
        <v>36</v>
      </c>
      <c r="B41" s="34" t="str">
        <f aca="false">IF(BCC_KHOAN!B41="","",BCC_KHOAN!B41)</f>
        <v>046183006914</v>
      </c>
      <c r="C41" s="24" t="str">
        <f aca="false">IF(B41="","",IFERROR(INDEX(NV_TEN,MATCH(B41,NV_MA,0)),"MÃ KHÔNG CÓ"))</f>
        <v>Nguyễn Thị Thu Hà</v>
      </c>
      <c r="D41" s="24" t="str">
        <f aca="false">IF(B41="","",IFERROR(INDEX(NV_HINHTHUC,MATCH(B41,NV_MA,0)),""))</f>
        <v>Khoán</v>
      </c>
      <c r="E41" s="35" t="n">
        <f aca="false">IF(D41="Khoán",IFERROR(INDEX(NV_HESO,MATCH(B41,NV_MA,0)),0),"")</f>
        <v>1.1</v>
      </c>
      <c r="F41" s="20" t="n">
        <f aca="false">IF(D41="Khoán",IFERROR(INDEX(HS_SX!$B$5:$B$30,MATCH(E41,HS_SX!$A$5:$A$30,0)),0),"")</f>
        <v>7100</v>
      </c>
      <c r="G41" s="30" t="n">
        <f aca="false">IF(B41="","",IFERROR(INDEX(BCC_GIO,MATCH(B41,BCC_MA,0)),0))</f>
        <v>0</v>
      </c>
      <c r="H41" s="31" t="n">
        <f aca="false">IF(B41="","",G41/GIO_CONG)</f>
        <v>0</v>
      </c>
      <c r="I41" s="36" t="n">
        <f aca="false">IF(D41="Khoán",IF(GIO_TB&gt;0,G41/GIO_TB*KL_CHEBIEN,0),0)</f>
        <v>0</v>
      </c>
      <c r="J41" s="20" t="n">
        <f aca="false">IF(D41="Khoán",F41*I41,0)</f>
        <v>0</v>
      </c>
      <c r="K41" s="20" t="n">
        <f aca="false">IF(D41="Khoán",IF(TONG_GIO_KHOAN&gt;0,QUY_HANGING/TONG_GIO_KHOAN*G41,0),0)</f>
        <v>0</v>
      </c>
      <c r="L41" s="20" t="n">
        <f aca="false">IF(D41="Khoán",IF(TONG_GIO_KHOAN&gt;0,QUY_KHAC/TONG_GIO_KHOAN*G41,0),0)</f>
        <v>-0</v>
      </c>
      <c r="M41" s="20" t="n">
        <f aca="false">IF(B41="",0,SUMIFS(KHOAN_KHAC!$F$5:$F$39,KHOAN_KHAC!$G$5:$G$39,B41))</f>
        <v>0</v>
      </c>
      <c r="N41" s="20" t="n">
        <f aca="false">IF(D41="Khoán",IF(TONG_GIO_KHOAN&gt;0,QUY_CHEN/TONG_GIO_KHOAN*G41,0),0)</f>
        <v>0</v>
      </c>
      <c r="O41" s="20" t="n">
        <f aca="false">IF(D41="Khoán",IF(TONG_GIO_KHOAN&gt;0,-TONG_CONGNHAT/TONG_GIO_KHOAN*G41,0),0)</f>
        <v>-0</v>
      </c>
      <c r="P41" s="20" t="n">
        <f aca="false">IF(D41="Công nhật",H41*IFERROR(IF(INDEX(NV_DGCN,MATCH(B41,NV_MA,0))="",DG_CONGNHAT,INDEX(NV_DGCN,MATCH(B41,NV_MA,0))),DG_CONGNHAT),0)</f>
        <v>0</v>
      </c>
      <c r="Q41" s="37" t="n">
        <f aca="false">IF(B41="","",IF(D41="Khoán",ROUNDDOWN(J41+K41+L41+M41+N41+O41,-3),P41+M41))</f>
        <v>0</v>
      </c>
      <c r="R41" s="37" t="n">
        <f aca="false">IF(B41="","",ROUNDDOWN(TIENAN_CONG*H41,-3))</f>
        <v>0</v>
      </c>
      <c r="S41" s="37" t="n">
        <f aca="false">IF(B41="","",Q41+R41)</f>
        <v>0</v>
      </c>
      <c r="T41" s="24"/>
    </row>
    <row r="42" customFormat="false" ht="15" hidden="false" customHeight="false" outlineLevel="0" collapsed="false">
      <c r="A42" s="24" t="n">
        <f aca="false">IF(B42="","",37)</f>
        <v>37</v>
      </c>
      <c r="B42" s="34" t="str">
        <f aca="false">IF(BCC_KHOAN!B42="","",BCC_KHOAN!B42)</f>
        <v>046077008985</v>
      </c>
      <c r="C42" s="24" t="str">
        <f aca="false">IF(B42="","",IFERROR(INDEX(NV_TEN,MATCH(B42,NV_MA,0)),"MÃ KHÔNG CÓ"))</f>
        <v>Ngô Văn Đính</v>
      </c>
      <c r="D42" s="24" t="str">
        <f aca="false">IF(B42="","",IFERROR(INDEX(NV_HINHTHUC,MATCH(B42,NV_MA,0)),""))</f>
        <v>Khoán</v>
      </c>
      <c r="E42" s="35" t="n">
        <f aca="false">IF(D42="Khoán",IFERROR(INDEX(NV_HESO,MATCH(B42,NV_MA,0)),0),"")</f>
        <v>1.25</v>
      </c>
      <c r="F42" s="20" t="n">
        <f aca="false">IF(D42="Khoán",IFERROR(INDEX(HS_SX!$B$5:$B$30,MATCH(E42,HS_SX!$A$5:$A$30,0)),0),"")</f>
        <v>8000</v>
      </c>
      <c r="G42" s="30" t="n">
        <f aca="false">IF(B42="","",IFERROR(INDEX(BCC_GIO,MATCH(B42,BCC_MA,0)),0))</f>
        <v>0</v>
      </c>
      <c r="H42" s="31" t="n">
        <f aca="false">IF(B42="","",G42/GIO_CONG)</f>
        <v>0</v>
      </c>
      <c r="I42" s="36" t="n">
        <f aca="false">IF(D42="Khoán",IF(GIO_TB&gt;0,G42/GIO_TB*KL_CHEBIEN,0),0)</f>
        <v>0</v>
      </c>
      <c r="J42" s="20" t="n">
        <f aca="false">IF(D42="Khoán",F42*I42,0)</f>
        <v>0</v>
      </c>
      <c r="K42" s="20" t="n">
        <f aca="false">IF(D42="Khoán",IF(TONG_GIO_KHOAN&gt;0,QUY_HANGING/TONG_GIO_KHOAN*G42,0),0)</f>
        <v>0</v>
      </c>
      <c r="L42" s="20" t="n">
        <f aca="false">IF(D42="Khoán",IF(TONG_GIO_KHOAN&gt;0,QUY_KHAC/TONG_GIO_KHOAN*G42,0),0)</f>
        <v>-0</v>
      </c>
      <c r="M42" s="20" t="n">
        <f aca="false">IF(B42="",0,SUMIFS(KHOAN_KHAC!$F$5:$F$39,KHOAN_KHAC!$G$5:$G$39,B42))</f>
        <v>0</v>
      </c>
      <c r="N42" s="20" t="n">
        <f aca="false">IF(D42="Khoán",IF(TONG_GIO_KHOAN&gt;0,QUY_CHEN/TONG_GIO_KHOAN*G42,0),0)</f>
        <v>0</v>
      </c>
      <c r="O42" s="20" t="n">
        <f aca="false">IF(D42="Khoán",IF(TONG_GIO_KHOAN&gt;0,-TONG_CONGNHAT/TONG_GIO_KHOAN*G42,0),0)</f>
        <v>-0</v>
      </c>
      <c r="P42" s="20" t="n">
        <f aca="false">IF(D42="Công nhật",H42*IFERROR(IF(INDEX(NV_DGCN,MATCH(B42,NV_MA,0))="",DG_CONGNHAT,INDEX(NV_DGCN,MATCH(B42,NV_MA,0))),DG_CONGNHAT),0)</f>
        <v>0</v>
      </c>
      <c r="Q42" s="37" t="n">
        <f aca="false">IF(B42="","",IF(D42="Khoán",ROUNDDOWN(J42+K42+L42+M42+N42+O42,-3),P42+M42))</f>
        <v>0</v>
      </c>
      <c r="R42" s="37" t="n">
        <f aca="false">IF(B42="","",ROUNDDOWN(TIENAN_CONG*H42,-3))</f>
        <v>0</v>
      </c>
      <c r="S42" s="37" t="n">
        <f aca="false">IF(B42="","",Q42+R42)</f>
        <v>0</v>
      </c>
      <c r="T42" s="24"/>
    </row>
    <row r="43" customFormat="false" ht="15" hidden="false" customHeight="false" outlineLevel="0" collapsed="false">
      <c r="A43" s="24" t="n">
        <f aca="false">IF(B43="","",38)</f>
        <v>38</v>
      </c>
      <c r="B43" s="34" t="str">
        <f aca="false">IF(BCC_KHOAN!B43="","",BCC_KHOAN!B43)</f>
        <v>046180009217</v>
      </c>
      <c r="C43" s="24" t="str">
        <f aca="false">IF(B43="","",IFERROR(INDEX(NV_TEN,MATCH(B43,NV_MA,0)),"MÃ KHÔNG CÓ"))</f>
        <v>Ngô Thị Quý</v>
      </c>
      <c r="D43" s="24" t="str">
        <f aca="false">IF(B43="","",IFERROR(INDEX(NV_HINHTHUC,MATCH(B43,NV_MA,0)),""))</f>
        <v>Khoán</v>
      </c>
      <c r="E43" s="35" t="n">
        <f aca="false">IF(D43="Khoán",IFERROR(INDEX(NV_HESO,MATCH(B43,NV_MA,0)),0),"")</f>
        <v>1.15</v>
      </c>
      <c r="F43" s="20" t="n">
        <f aca="false">IF(D43="Khoán",IFERROR(INDEX(HS_SX!$B$5:$B$30,MATCH(E43,HS_SX!$A$5:$A$30,0)),0),"")</f>
        <v>7400</v>
      </c>
      <c r="G43" s="30" t="n">
        <f aca="false">IF(B43="","",IFERROR(INDEX(BCC_GIO,MATCH(B43,BCC_MA,0)),0))</f>
        <v>0</v>
      </c>
      <c r="H43" s="31" t="n">
        <f aca="false">IF(B43="","",G43/GIO_CONG)</f>
        <v>0</v>
      </c>
      <c r="I43" s="36" t="n">
        <f aca="false">IF(D43="Khoán",IF(GIO_TB&gt;0,G43/GIO_TB*KL_CHEBIEN,0),0)</f>
        <v>0</v>
      </c>
      <c r="J43" s="20" t="n">
        <f aca="false">IF(D43="Khoán",F43*I43,0)</f>
        <v>0</v>
      </c>
      <c r="K43" s="20" t="n">
        <f aca="false">IF(D43="Khoán",IF(TONG_GIO_KHOAN&gt;0,QUY_HANGING/TONG_GIO_KHOAN*G43,0),0)</f>
        <v>0</v>
      </c>
      <c r="L43" s="20" t="n">
        <f aca="false">IF(D43="Khoán",IF(TONG_GIO_KHOAN&gt;0,QUY_KHAC/TONG_GIO_KHOAN*G43,0),0)</f>
        <v>-0</v>
      </c>
      <c r="M43" s="20" t="n">
        <f aca="false">IF(B43="",0,SUMIFS(KHOAN_KHAC!$F$5:$F$39,KHOAN_KHAC!$G$5:$G$39,B43))</f>
        <v>0</v>
      </c>
      <c r="N43" s="20" t="n">
        <f aca="false">IF(D43="Khoán",IF(TONG_GIO_KHOAN&gt;0,QUY_CHEN/TONG_GIO_KHOAN*G43,0),0)</f>
        <v>0</v>
      </c>
      <c r="O43" s="20" t="n">
        <f aca="false">IF(D43="Khoán",IF(TONG_GIO_KHOAN&gt;0,-TONG_CONGNHAT/TONG_GIO_KHOAN*G43,0),0)</f>
        <v>-0</v>
      </c>
      <c r="P43" s="20" t="n">
        <f aca="false">IF(D43="Công nhật",H43*IFERROR(IF(INDEX(NV_DGCN,MATCH(B43,NV_MA,0))="",DG_CONGNHAT,INDEX(NV_DGCN,MATCH(B43,NV_MA,0))),DG_CONGNHAT),0)</f>
        <v>0</v>
      </c>
      <c r="Q43" s="37" t="n">
        <f aca="false">IF(B43="","",IF(D43="Khoán",ROUNDDOWN(J43+K43+L43+M43+N43+O43,-3),P43+M43))</f>
        <v>0</v>
      </c>
      <c r="R43" s="37" t="n">
        <f aca="false">IF(B43="","",ROUNDDOWN(TIENAN_CONG*H43,-3))</f>
        <v>0</v>
      </c>
      <c r="S43" s="37" t="n">
        <f aca="false">IF(B43="","",Q43+R43)</f>
        <v>0</v>
      </c>
      <c r="T43" s="24"/>
    </row>
    <row r="44" customFormat="false" ht="15" hidden="false" customHeight="false" outlineLevel="0" collapsed="false">
      <c r="A44" s="24" t="n">
        <f aca="false">IF(B44="","",39)</f>
        <v>39</v>
      </c>
      <c r="B44" s="34" t="str">
        <f aca="false">IF(BCC_KHOAN!B44="","",BCC_KHOAN!B44)</f>
        <v>046075012004</v>
      </c>
      <c r="C44" s="24" t="str">
        <f aca="false">IF(B44="","",IFERROR(INDEX(NV_TEN,MATCH(B44,NV_MA,0)),"MÃ KHÔNG CÓ"))</f>
        <v>Ngô Văn Tịnh</v>
      </c>
      <c r="D44" s="24" t="str">
        <f aca="false">IF(B44="","",IFERROR(INDEX(NV_HINHTHUC,MATCH(B44,NV_MA,0)),""))</f>
        <v>Khoán</v>
      </c>
      <c r="E44" s="35" t="n">
        <f aca="false">IF(D44="Khoán",IFERROR(INDEX(NV_HESO,MATCH(B44,NV_MA,0)),0),"")</f>
        <v>1.1</v>
      </c>
      <c r="F44" s="20" t="n">
        <f aca="false">IF(D44="Khoán",IFERROR(INDEX(HS_SX!$B$5:$B$30,MATCH(E44,HS_SX!$A$5:$A$30,0)),0),"")</f>
        <v>7100</v>
      </c>
      <c r="G44" s="30" t="n">
        <f aca="false">IF(B44="","",IFERROR(INDEX(BCC_GIO,MATCH(B44,BCC_MA,0)),0))</f>
        <v>0</v>
      </c>
      <c r="H44" s="31" t="n">
        <f aca="false">IF(B44="","",G44/GIO_CONG)</f>
        <v>0</v>
      </c>
      <c r="I44" s="36" t="n">
        <f aca="false">IF(D44="Khoán",IF(GIO_TB&gt;0,G44/GIO_TB*KL_CHEBIEN,0),0)</f>
        <v>0</v>
      </c>
      <c r="J44" s="20" t="n">
        <f aca="false">IF(D44="Khoán",F44*I44,0)</f>
        <v>0</v>
      </c>
      <c r="K44" s="20" t="n">
        <f aca="false">IF(D44="Khoán",IF(TONG_GIO_KHOAN&gt;0,QUY_HANGING/TONG_GIO_KHOAN*G44,0),0)</f>
        <v>0</v>
      </c>
      <c r="L44" s="20" t="n">
        <f aca="false">IF(D44="Khoán",IF(TONG_GIO_KHOAN&gt;0,QUY_KHAC/TONG_GIO_KHOAN*G44,0),0)</f>
        <v>-0</v>
      </c>
      <c r="M44" s="20" t="n">
        <f aca="false">IF(B44="",0,SUMIFS(KHOAN_KHAC!$F$5:$F$39,KHOAN_KHAC!$G$5:$G$39,B44))</f>
        <v>0</v>
      </c>
      <c r="N44" s="20" t="n">
        <f aca="false">IF(D44="Khoán",IF(TONG_GIO_KHOAN&gt;0,QUY_CHEN/TONG_GIO_KHOAN*G44,0),0)</f>
        <v>0</v>
      </c>
      <c r="O44" s="20" t="n">
        <f aca="false">IF(D44="Khoán",IF(TONG_GIO_KHOAN&gt;0,-TONG_CONGNHAT/TONG_GIO_KHOAN*G44,0),0)</f>
        <v>-0</v>
      </c>
      <c r="P44" s="20" t="n">
        <f aca="false">IF(D44="Công nhật",H44*IFERROR(IF(INDEX(NV_DGCN,MATCH(B44,NV_MA,0))="",DG_CONGNHAT,INDEX(NV_DGCN,MATCH(B44,NV_MA,0))),DG_CONGNHAT),0)</f>
        <v>0</v>
      </c>
      <c r="Q44" s="37" t="n">
        <f aca="false">IF(B44="","",IF(D44="Khoán",ROUNDDOWN(J44+K44+L44+M44+N44+O44,-3),P44+M44))</f>
        <v>0</v>
      </c>
      <c r="R44" s="37" t="n">
        <f aca="false">IF(B44="","",ROUNDDOWN(TIENAN_CONG*H44,-3))</f>
        <v>0</v>
      </c>
      <c r="S44" s="37" t="n">
        <f aca="false">IF(B44="","",Q44+R44)</f>
        <v>0</v>
      </c>
      <c r="T44" s="24"/>
    </row>
    <row r="45" customFormat="false" ht="15" hidden="false" customHeight="false" outlineLevel="0" collapsed="false">
      <c r="A45" s="24" t="n">
        <f aca="false">IF(B45="","",40)</f>
        <v>40</v>
      </c>
      <c r="B45" s="34" t="str">
        <f aca="false">IF(BCC_KHOAN!B45="","",BCC_KHOAN!B45)</f>
        <v>046181010233</v>
      </c>
      <c r="C45" s="24" t="str">
        <f aca="false">IF(B45="","",IFERROR(INDEX(NV_TEN,MATCH(B45,NV_MA,0)),"MÃ KHÔNG CÓ"))</f>
        <v>Đỗ Thị Hoài</v>
      </c>
      <c r="D45" s="24" t="str">
        <f aca="false">IF(B45="","",IFERROR(INDEX(NV_HINHTHUC,MATCH(B45,NV_MA,0)),""))</f>
        <v>Khoán</v>
      </c>
      <c r="E45" s="35" t="n">
        <f aca="false">IF(D45="Khoán",IFERROR(INDEX(NV_HESO,MATCH(B45,NV_MA,0)),0),"")</f>
        <v>1.1</v>
      </c>
      <c r="F45" s="20" t="n">
        <f aca="false">IF(D45="Khoán",IFERROR(INDEX(HS_SX!$B$5:$B$30,MATCH(E45,HS_SX!$A$5:$A$30,0)),0),"")</f>
        <v>7100</v>
      </c>
      <c r="G45" s="30" t="n">
        <f aca="false">IF(B45="","",IFERROR(INDEX(BCC_GIO,MATCH(B45,BCC_MA,0)),0))</f>
        <v>0</v>
      </c>
      <c r="H45" s="31" t="n">
        <f aca="false">IF(B45="","",G45/GIO_CONG)</f>
        <v>0</v>
      </c>
      <c r="I45" s="36" t="n">
        <f aca="false">IF(D45="Khoán",IF(GIO_TB&gt;0,G45/GIO_TB*KL_CHEBIEN,0),0)</f>
        <v>0</v>
      </c>
      <c r="J45" s="20" t="n">
        <f aca="false">IF(D45="Khoán",F45*I45,0)</f>
        <v>0</v>
      </c>
      <c r="K45" s="20" t="n">
        <f aca="false">IF(D45="Khoán",IF(TONG_GIO_KHOAN&gt;0,QUY_HANGING/TONG_GIO_KHOAN*G45,0),0)</f>
        <v>0</v>
      </c>
      <c r="L45" s="20" t="n">
        <f aca="false">IF(D45="Khoán",IF(TONG_GIO_KHOAN&gt;0,QUY_KHAC/TONG_GIO_KHOAN*G45,0),0)</f>
        <v>-0</v>
      </c>
      <c r="M45" s="20" t="n">
        <f aca="false">IF(B45="",0,SUMIFS(KHOAN_KHAC!$F$5:$F$39,KHOAN_KHAC!$G$5:$G$39,B45))</f>
        <v>0</v>
      </c>
      <c r="N45" s="20" t="n">
        <f aca="false">IF(D45="Khoán",IF(TONG_GIO_KHOAN&gt;0,QUY_CHEN/TONG_GIO_KHOAN*G45,0),0)</f>
        <v>0</v>
      </c>
      <c r="O45" s="20" t="n">
        <f aca="false">IF(D45="Khoán",IF(TONG_GIO_KHOAN&gt;0,-TONG_CONGNHAT/TONG_GIO_KHOAN*G45,0),0)</f>
        <v>-0</v>
      </c>
      <c r="P45" s="20" t="n">
        <f aca="false">IF(D45="Công nhật",H45*IFERROR(IF(INDEX(NV_DGCN,MATCH(B45,NV_MA,0))="",DG_CONGNHAT,INDEX(NV_DGCN,MATCH(B45,NV_MA,0))),DG_CONGNHAT),0)</f>
        <v>0</v>
      </c>
      <c r="Q45" s="37" t="n">
        <f aca="false">IF(B45="","",IF(D45="Khoán",ROUNDDOWN(J45+K45+L45+M45+N45+O45,-3),P45+M45))</f>
        <v>0</v>
      </c>
      <c r="R45" s="37" t="n">
        <f aca="false">IF(B45="","",ROUNDDOWN(TIENAN_CONG*H45,-3))</f>
        <v>0</v>
      </c>
      <c r="S45" s="37" t="n">
        <f aca="false">IF(B45="","",Q45+R45)</f>
        <v>0</v>
      </c>
      <c r="T45" s="24"/>
    </row>
    <row r="46" customFormat="false" ht="15" hidden="false" customHeight="false" outlineLevel="0" collapsed="false">
      <c r="A46" s="24" t="n">
        <f aca="false">IF(B46="","",41)</f>
        <v>41</v>
      </c>
      <c r="B46" s="34" t="str">
        <f aca="false">IF(BCC_KHOAN!B46="","",BCC_KHOAN!B46)</f>
        <v>046180005929</v>
      </c>
      <c r="C46" s="24" t="str">
        <f aca="false">IF(B46="","",IFERROR(INDEX(NV_TEN,MATCH(B46,NV_MA,0)),"MÃ KHÔNG CÓ"))</f>
        <v>Nguyễn Thị Lợi</v>
      </c>
      <c r="D46" s="24" t="str">
        <f aca="false">IF(B46="","",IFERROR(INDEX(NV_HINHTHUC,MATCH(B46,NV_MA,0)),""))</f>
        <v>Khoán</v>
      </c>
      <c r="E46" s="35" t="n">
        <f aca="false">IF(D46="Khoán",IFERROR(INDEX(NV_HESO,MATCH(B46,NV_MA,0)),0),"")</f>
        <v>1.1</v>
      </c>
      <c r="F46" s="20" t="n">
        <f aca="false">IF(D46="Khoán",IFERROR(INDEX(HS_SX!$B$5:$B$30,MATCH(E46,HS_SX!$A$5:$A$30,0)),0),"")</f>
        <v>7100</v>
      </c>
      <c r="G46" s="30" t="n">
        <f aca="false">IF(B46="","",IFERROR(INDEX(BCC_GIO,MATCH(B46,BCC_MA,0)),0))</f>
        <v>0</v>
      </c>
      <c r="H46" s="31" t="n">
        <f aca="false">IF(B46="","",G46/GIO_CONG)</f>
        <v>0</v>
      </c>
      <c r="I46" s="36" t="n">
        <f aca="false">IF(D46="Khoán",IF(GIO_TB&gt;0,G46/GIO_TB*KL_CHEBIEN,0),0)</f>
        <v>0</v>
      </c>
      <c r="J46" s="20" t="n">
        <f aca="false">IF(D46="Khoán",F46*I46,0)</f>
        <v>0</v>
      </c>
      <c r="K46" s="20" t="n">
        <f aca="false">IF(D46="Khoán",IF(TONG_GIO_KHOAN&gt;0,QUY_HANGING/TONG_GIO_KHOAN*G46,0),0)</f>
        <v>0</v>
      </c>
      <c r="L46" s="20" t="n">
        <f aca="false">IF(D46="Khoán",IF(TONG_GIO_KHOAN&gt;0,QUY_KHAC/TONG_GIO_KHOAN*G46,0),0)</f>
        <v>-0</v>
      </c>
      <c r="M46" s="20" t="n">
        <f aca="false">IF(B46="",0,SUMIFS(KHOAN_KHAC!$F$5:$F$39,KHOAN_KHAC!$G$5:$G$39,B46))</f>
        <v>0</v>
      </c>
      <c r="N46" s="20" t="n">
        <f aca="false">IF(D46="Khoán",IF(TONG_GIO_KHOAN&gt;0,QUY_CHEN/TONG_GIO_KHOAN*G46,0),0)</f>
        <v>0</v>
      </c>
      <c r="O46" s="20" t="n">
        <f aca="false">IF(D46="Khoán",IF(TONG_GIO_KHOAN&gt;0,-TONG_CONGNHAT/TONG_GIO_KHOAN*G46,0),0)</f>
        <v>-0</v>
      </c>
      <c r="P46" s="20" t="n">
        <f aca="false">IF(D46="Công nhật",H46*IFERROR(IF(INDEX(NV_DGCN,MATCH(B46,NV_MA,0))="",DG_CONGNHAT,INDEX(NV_DGCN,MATCH(B46,NV_MA,0))),DG_CONGNHAT),0)</f>
        <v>0</v>
      </c>
      <c r="Q46" s="37" t="n">
        <f aca="false">IF(B46="","",IF(D46="Khoán",ROUNDDOWN(J46+K46+L46+M46+N46+O46,-3),P46+M46))</f>
        <v>0</v>
      </c>
      <c r="R46" s="37" t="n">
        <f aca="false">IF(B46="","",ROUNDDOWN(TIENAN_CONG*H46,-3))</f>
        <v>0</v>
      </c>
      <c r="S46" s="37" t="n">
        <f aca="false">IF(B46="","",Q46+R46)</f>
        <v>0</v>
      </c>
      <c r="T46" s="24"/>
    </row>
    <row r="47" customFormat="false" ht="15" hidden="false" customHeight="false" outlineLevel="0" collapsed="false">
      <c r="A47" s="24" t="n">
        <f aca="false">IF(B47="","",42)</f>
        <v>42</v>
      </c>
      <c r="B47" s="34" t="str">
        <f aca="false">IF(BCC_KHOAN!B47="","",BCC_KHOAN!B47)</f>
        <v>046095008572</v>
      </c>
      <c r="C47" s="24" t="str">
        <f aca="false">IF(B47="","",IFERROR(INDEX(NV_TEN,MATCH(B47,NV_MA,0)),"MÃ KHÔNG CÓ"))</f>
        <v>Trần Văn Tấn</v>
      </c>
      <c r="D47" s="24" t="str">
        <f aca="false">IF(B47="","",IFERROR(INDEX(NV_HINHTHUC,MATCH(B47,NV_MA,0)),""))</f>
        <v>Khoán</v>
      </c>
      <c r="E47" s="35" t="n">
        <f aca="false">IF(D47="Khoán",IFERROR(INDEX(NV_HESO,MATCH(B47,NV_MA,0)),0),"")</f>
        <v>1.1</v>
      </c>
      <c r="F47" s="20" t="n">
        <f aca="false">IF(D47="Khoán",IFERROR(INDEX(HS_SX!$B$5:$B$30,MATCH(E47,HS_SX!$A$5:$A$30,0)),0),"")</f>
        <v>7100</v>
      </c>
      <c r="G47" s="30" t="n">
        <f aca="false">IF(B47="","",IFERROR(INDEX(BCC_GIO,MATCH(B47,BCC_MA,0)),0))</f>
        <v>0</v>
      </c>
      <c r="H47" s="31" t="n">
        <f aca="false">IF(B47="","",G47/GIO_CONG)</f>
        <v>0</v>
      </c>
      <c r="I47" s="36" t="n">
        <f aca="false">IF(D47="Khoán",IF(GIO_TB&gt;0,G47/GIO_TB*KL_CHEBIEN,0),0)</f>
        <v>0</v>
      </c>
      <c r="J47" s="20" t="n">
        <f aca="false">IF(D47="Khoán",F47*I47,0)</f>
        <v>0</v>
      </c>
      <c r="K47" s="20" t="n">
        <f aca="false">IF(D47="Khoán",IF(TONG_GIO_KHOAN&gt;0,QUY_HANGING/TONG_GIO_KHOAN*G47,0),0)</f>
        <v>0</v>
      </c>
      <c r="L47" s="20" t="n">
        <f aca="false">IF(D47="Khoán",IF(TONG_GIO_KHOAN&gt;0,QUY_KHAC/TONG_GIO_KHOAN*G47,0),0)</f>
        <v>-0</v>
      </c>
      <c r="M47" s="20" t="n">
        <f aca="false">IF(B47="",0,SUMIFS(KHOAN_KHAC!$F$5:$F$39,KHOAN_KHAC!$G$5:$G$39,B47))</f>
        <v>0</v>
      </c>
      <c r="N47" s="20" t="n">
        <f aca="false">IF(D47="Khoán",IF(TONG_GIO_KHOAN&gt;0,QUY_CHEN/TONG_GIO_KHOAN*G47,0),0)</f>
        <v>0</v>
      </c>
      <c r="O47" s="20" t="n">
        <f aca="false">IF(D47="Khoán",IF(TONG_GIO_KHOAN&gt;0,-TONG_CONGNHAT/TONG_GIO_KHOAN*G47,0),0)</f>
        <v>-0</v>
      </c>
      <c r="P47" s="20" t="n">
        <f aca="false">IF(D47="Công nhật",H47*IFERROR(IF(INDEX(NV_DGCN,MATCH(B47,NV_MA,0))="",DG_CONGNHAT,INDEX(NV_DGCN,MATCH(B47,NV_MA,0))),DG_CONGNHAT),0)</f>
        <v>0</v>
      </c>
      <c r="Q47" s="37" t="n">
        <f aca="false">IF(B47="","",IF(D47="Khoán",ROUNDDOWN(J47+K47+L47+M47+N47+O47,-3),P47+M47))</f>
        <v>0</v>
      </c>
      <c r="R47" s="37" t="n">
        <f aca="false">IF(B47="","",ROUNDDOWN(TIENAN_CONG*H47,-3))</f>
        <v>0</v>
      </c>
      <c r="S47" s="37" t="n">
        <f aca="false">IF(B47="","",Q47+R47)</f>
        <v>0</v>
      </c>
      <c r="T47" s="24"/>
    </row>
    <row r="48" customFormat="false" ht="15" hidden="false" customHeight="false" outlineLevel="0" collapsed="false">
      <c r="A48" s="24" t="n">
        <f aca="false">IF(B48="","",43)</f>
        <v>43</v>
      </c>
      <c r="B48" s="34" t="str">
        <f aca="false">IF(BCC_KHOAN!B48="","",BCC_KHOAN!B48)</f>
        <v>045200002742</v>
      </c>
      <c r="C48" s="24" t="str">
        <f aca="false">IF(B48="","",IFERROR(INDEX(NV_TEN,MATCH(B48,NV_MA,0)),"MÃ KHÔNG CÓ"))</f>
        <v>Hoàng Văn Anh</v>
      </c>
      <c r="D48" s="24" t="str">
        <f aca="false">IF(B48="","",IFERROR(INDEX(NV_HINHTHUC,MATCH(B48,NV_MA,0)),""))</f>
        <v>Khoán</v>
      </c>
      <c r="E48" s="35" t="n">
        <f aca="false">IF(D48="Khoán",IFERROR(INDEX(NV_HESO,MATCH(B48,NV_MA,0)),0),"")</f>
        <v>1.1</v>
      </c>
      <c r="F48" s="20" t="n">
        <f aca="false">IF(D48="Khoán",IFERROR(INDEX(HS_SX!$B$5:$B$30,MATCH(E48,HS_SX!$A$5:$A$30,0)),0),"")</f>
        <v>7100</v>
      </c>
      <c r="G48" s="30" t="n">
        <f aca="false">IF(B48="","",IFERROR(INDEX(BCC_GIO,MATCH(B48,BCC_MA,0)),0))</f>
        <v>200</v>
      </c>
      <c r="H48" s="31" t="n">
        <f aca="false">IF(B48="","",G48/GIO_CONG)</f>
        <v>25</v>
      </c>
      <c r="I48" s="36" t="n">
        <f aca="false">IF(D48="Khoán",IF(GIO_TB&gt;0,G48/GIO_TB*KL_CHEBIEN,0),0)</f>
        <v>19892.1230769231</v>
      </c>
      <c r="J48" s="20" t="n">
        <f aca="false">IF(D48="Khoán",F48*I48,0)</f>
        <v>141234073.846154</v>
      </c>
      <c r="K48" s="20" t="n">
        <f aca="false">IF(D48="Khoán",IF(TONG_GIO_KHOAN&gt;0,QUY_HANGING/TONG_GIO_KHOAN*G48,0),0)</f>
        <v>0</v>
      </c>
      <c r="L48" s="20" t="n">
        <f aca="false">IF(D48="Khoán",IF(TONG_GIO_KHOAN&gt;0,QUY_KHAC/TONG_GIO_KHOAN*G48,0),0)</f>
        <v>-9868131.86813187</v>
      </c>
      <c r="M48" s="20" t="n">
        <f aca="false">IF(B48="",0,SUMIFS(KHOAN_KHAC!$F$5:$F$39,KHOAN_KHAC!$G$5:$G$39,B48))</f>
        <v>0</v>
      </c>
      <c r="N48" s="20" t="n">
        <f aca="false">IF(D48="Khoán",IF(TONG_GIO_KHOAN&gt;0,QUY_CHEN/TONG_GIO_KHOAN*G48,0),0)</f>
        <v>6484307.69230769</v>
      </c>
      <c r="O48" s="20" t="n">
        <f aca="false">IF(D48="Khoán",IF(TONG_GIO_KHOAN&gt;0,-TONG_CONGNHAT/TONG_GIO_KHOAN*G48,0),0)</f>
        <v>-0</v>
      </c>
      <c r="P48" s="20" t="n">
        <f aca="false">IF(D48="Công nhật",H48*IFERROR(IF(INDEX(NV_DGCN,MATCH(B48,NV_MA,0))="",DG_CONGNHAT,INDEX(NV_DGCN,MATCH(B48,NV_MA,0))),DG_CONGNHAT),0)</f>
        <v>0</v>
      </c>
      <c r="Q48" s="37" t="n">
        <f aca="false">IF(B48="","",IF(D48="Khoán",ROUNDDOWN(J48+K48+L48+M48+N48+O48,-3),P48+M48))</f>
        <v>137850000</v>
      </c>
      <c r="R48" s="37" t="n">
        <f aca="false">IF(B48="","",ROUNDDOWN(TIENAN_CONG*H48,-3))</f>
        <v>9709000</v>
      </c>
      <c r="S48" s="37" t="n">
        <f aca="false">IF(B48="","",Q48+R48)</f>
        <v>147559000</v>
      </c>
      <c r="T48" s="24"/>
    </row>
    <row r="49" customFormat="false" ht="15" hidden="false" customHeight="false" outlineLevel="0" collapsed="false">
      <c r="A49" s="24" t="n">
        <f aca="false">IF(B49="","",44)</f>
        <v>44</v>
      </c>
      <c r="B49" s="34" t="str">
        <f aca="false">IF(BCC_KHOAN!B49="","",BCC_KHOAN!B49)</f>
        <v>CN_MAU_01</v>
      </c>
      <c r="C49" s="24" t="str">
        <f aca="false">IF(B49="","",IFERROR(INDEX(NV_TEN,MATCH(B49,NV_MA,0)),"MÃ KHÔNG CÓ"))</f>
        <v>(Ví dụ) Nguyễn Văn A</v>
      </c>
      <c r="D49" s="24" t="str">
        <f aca="false">IF(B49="","",IFERROR(INDEX(NV_HINHTHUC,MATCH(B49,NV_MA,0)),""))</f>
        <v>Công nhật</v>
      </c>
      <c r="E49" s="35" t="str">
        <f aca="false">IF(D49="Khoán",IFERROR(INDEX(NV_HESO,MATCH(B49,NV_MA,0)),0),"")</f>
        <v/>
      </c>
      <c r="F49" s="20" t="str">
        <f aca="false">IF(D49="Khoán",IFERROR(INDEX(HS_SX!$B$5:$B$30,MATCH(E49,HS_SX!$A$5:$A$30,0)),0),"")</f>
        <v/>
      </c>
      <c r="G49" s="30" t="n">
        <f aca="false">IF(B49="","",IFERROR(INDEX(BCC_GIO,MATCH(B49,BCC_MA,0)),0))</f>
        <v>0</v>
      </c>
      <c r="H49" s="31" t="n">
        <f aca="false">IF(B49="","",G49/GIO_CONG)</f>
        <v>0</v>
      </c>
      <c r="I49" s="36" t="n">
        <f aca="false">IF(D49="Khoán",IF(GIO_TB&gt;0,G49/GIO_TB*KL_CHEBIEN,0),0)</f>
        <v>0</v>
      </c>
      <c r="J49" s="20" t="n">
        <f aca="false">IF(D49="Khoán",F49*I49,0)</f>
        <v>0</v>
      </c>
      <c r="K49" s="20" t="n">
        <f aca="false">IF(D49="Khoán",IF(TONG_GIO_KHOAN&gt;0,QUY_HANGING/TONG_GIO_KHOAN*G49,0),0)</f>
        <v>0</v>
      </c>
      <c r="L49" s="20" t="n">
        <f aca="false">IF(D49="Khoán",IF(TONG_GIO_KHOAN&gt;0,QUY_KHAC/TONG_GIO_KHOAN*G49,0),0)</f>
        <v>0</v>
      </c>
      <c r="M49" s="20" t="n">
        <f aca="false">IF(B49="",0,SUMIFS(KHOAN_KHAC!$F$5:$F$39,KHOAN_KHAC!$G$5:$G$39,B49))</f>
        <v>0</v>
      </c>
      <c r="N49" s="20" t="n">
        <f aca="false">IF(D49="Khoán",IF(TONG_GIO_KHOAN&gt;0,QUY_CHEN/TONG_GIO_KHOAN*G49,0),0)</f>
        <v>0</v>
      </c>
      <c r="O49" s="20" t="n">
        <f aca="false">IF(D49="Khoán",IF(TONG_GIO_KHOAN&gt;0,-TONG_CONGNHAT/TONG_GIO_KHOAN*G49,0),0)</f>
        <v>0</v>
      </c>
      <c r="P49" s="20" t="n">
        <f aca="false">IF(D49="Công nhật",H49*IFERROR(IF(INDEX(NV_DGCN,MATCH(B49,NV_MA,0))="",DG_CONGNHAT,INDEX(NV_DGCN,MATCH(B49,NV_MA,0))),DG_CONGNHAT),0)</f>
        <v>0</v>
      </c>
      <c r="Q49" s="37" t="n">
        <f aca="false">IF(B49="","",IF(D49="Khoán",ROUNDDOWN(J49+K49+L49+M49+N49+O49,-3),P49+M49))</f>
        <v>0</v>
      </c>
      <c r="R49" s="37" t="n">
        <f aca="false">IF(B49="","",ROUNDDOWN(TIENAN_CONG*H49,-3))</f>
        <v>0</v>
      </c>
      <c r="S49" s="37" t="n">
        <f aca="false">IF(B49="","",Q49+R49)</f>
        <v>0</v>
      </c>
      <c r="T49" s="24"/>
    </row>
    <row r="50" customFormat="false" ht="15" hidden="false" customHeight="false" outlineLevel="0" collapsed="false">
      <c r="A50" s="24" t="str">
        <f aca="false">IF(B50="","",45)</f>
        <v/>
      </c>
      <c r="B50" s="34" t="str">
        <f aca="false">IF(BCC_KHOAN!B50="","",BCC_KHOAN!B50)</f>
        <v/>
      </c>
      <c r="C50" s="24" t="str">
        <f aca="false">IF(B50="","",IFERROR(INDEX(NV_TEN,MATCH(B50,NV_MA,0)),"MÃ KHÔNG CÓ"))</f>
        <v/>
      </c>
      <c r="D50" s="24" t="str">
        <f aca="false">IF(B50="","",IFERROR(INDEX(NV_HINHTHUC,MATCH(B50,NV_MA,0)),""))</f>
        <v/>
      </c>
      <c r="E50" s="35" t="str">
        <f aca="false">IF(D50="Khoán",IFERROR(INDEX(NV_HESO,MATCH(B50,NV_MA,0)),0),"")</f>
        <v/>
      </c>
      <c r="F50" s="20" t="str">
        <f aca="false">IF(D50="Khoán",IFERROR(INDEX(HS_SX!$B$5:$B$30,MATCH(E50,HS_SX!$A$5:$A$30,0)),0),"")</f>
        <v/>
      </c>
      <c r="G50" s="30" t="str">
        <f aca="false">IF(B50="","",IFERROR(INDEX(BCC_GIO,MATCH(B50,BCC_MA,0)),0))</f>
        <v/>
      </c>
      <c r="H50" s="31" t="str">
        <f aca="false">IF(B50="","",G50/GIO_CONG)</f>
        <v/>
      </c>
      <c r="I50" s="36" t="n">
        <f aca="false">IF(D50="Khoán",IF(GIO_TB&gt;0,G50/GIO_TB*KL_CHEBIEN,0),0)</f>
        <v>0</v>
      </c>
      <c r="J50" s="20" t="n">
        <f aca="false">IF(D50="Khoán",F50*I50,0)</f>
        <v>0</v>
      </c>
      <c r="K50" s="20" t="n">
        <f aca="false">IF(D50="Khoán",IF(TONG_GIO_KHOAN&gt;0,QUY_HANGING/TONG_GIO_KHOAN*G50,0),0)</f>
        <v>0</v>
      </c>
      <c r="L50" s="20" t="n">
        <f aca="false">IF(D50="Khoán",IF(TONG_GIO_KHOAN&gt;0,QUY_KHAC/TONG_GIO_KHOAN*G50,0),0)</f>
        <v>0</v>
      </c>
      <c r="M50" s="20" t="n">
        <f aca="false">IF(B50="",0,SUMIFS(KHOAN_KHAC!$F$5:$F$39,KHOAN_KHAC!$G$5:$G$39,B50))</f>
        <v>0</v>
      </c>
      <c r="N50" s="20" t="n">
        <f aca="false">IF(D50="Khoán",IF(TONG_GIO_KHOAN&gt;0,QUY_CHEN/TONG_GIO_KHOAN*G50,0),0)</f>
        <v>0</v>
      </c>
      <c r="O50" s="20" t="n">
        <f aca="false">IF(D50="Khoán",IF(TONG_GIO_KHOAN&gt;0,-TONG_CONGNHAT/TONG_GIO_KHOAN*G50,0),0)</f>
        <v>0</v>
      </c>
      <c r="P50" s="20" t="n">
        <f aca="false">IF(D50="Công nhật",H50*IFERROR(IF(INDEX(NV_DGCN,MATCH(B50,NV_MA,0))="",DG_CONGNHAT,INDEX(NV_DGCN,MATCH(B50,NV_MA,0))),DG_CONGNHAT),0)</f>
        <v>0</v>
      </c>
      <c r="Q50" s="37" t="str">
        <f aca="false">IF(B50="","",IF(D50="Khoán",ROUNDDOWN(J50+K50+L50+M50+N50+O50,-3),P50+M50))</f>
        <v/>
      </c>
      <c r="R50" s="37" t="str">
        <f aca="false">IF(B50="","",ROUNDDOWN(TIENAN_CONG*H50,-3))</f>
        <v/>
      </c>
      <c r="S50" s="37" t="str">
        <f aca="false">IF(B50="","",Q50+R50)</f>
        <v/>
      </c>
      <c r="T50" s="24"/>
    </row>
    <row r="51" customFormat="false" ht="15" hidden="false" customHeight="false" outlineLevel="0" collapsed="false">
      <c r="A51" s="24" t="str">
        <f aca="false">IF(B51="","",46)</f>
        <v/>
      </c>
      <c r="B51" s="34" t="str">
        <f aca="false">IF(BCC_KHOAN!B51="","",BCC_KHOAN!B51)</f>
        <v/>
      </c>
      <c r="C51" s="24" t="str">
        <f aca="false">IF(B51="","",IFERROR(INDEX(NV_TEN,MATCH(B51,NV_MA,0)),"MÃ KHÔNG CÓ"))</f>
        <v/>
      </c>
      <c r="D51" s="24" t="str">
        <f aca="false">IF(B51="","",IFERROR(INDEX(NV_HINHTHUC,MATCH(B51,NV_MA,0)),""))</f>
        <v/>
      </c>
      <c r="E51" s="35" t="str">
        <f aca="false">IF(D51="Khoán",IFERROR(INDEX(NV_HESO,MATCH(B51,NV_MA,0)),0),"")</f>
        <v/>
      </c>
      <c r="F51" s="20" t="str">
        <f aca="false">IF(D51="Khoán",IFERROR(INDEX(HS_SX!$B$5:$B$30,MATCH(E51,HS_SX!$A$5:$A$30,0)),0),"")</f>
        <v/>
      </c>
      <c r="G51" s="30" t="str">
        <f aca="false">IF(B51="","",IFERROR(INDEX(BCC_GIO,MATCH(B51,BCC_MA,0)),0))</f>
        <v/>
      </c>
      <c r="H51" s="31" t="str">
        <f aca="false">IF(B51="","",G51/GIO_CONG)</f>
        <v/>
      </c>
      <c r="I51" s="36" t="n">
        <f aca="false">IF(D51="Khoán",IF(GIO_TB&gt;0,G51/GIO_TB*KL_CHEBIEN,0),0)</f>
        <v>0</v>
      </c>
      <c r="J51" s="20" t="n">
        <f aca="false">IF(D51="Khoán",F51*I51,0)</f>
        <v>0</v>
      </c>
      <c r="K51" s="20" t="n">
        <f aca="false">IF(D51="Khoán",IF(TONG_GIO_KHOAN&gt;0,QUY_HANGING/TONG_GIO_KHOAN*G51,0),0)</f>
        <v>0</v>
      </c>
      <c r="L51" s="20" t="n">
        <f aca="false">IF(D51="Khoán",IF(TONG_GIO_KHOAN&gt;0,QUY_KHAC/TONG_GIO_KHOAN*G51,0),0)</f>
        <v>0</v>
      </c>
      <c r="M51" s="20" t="n">
        <f aca="false">IF(B51="",0,SUMIFS(KHOAN_KHAC!$F$5:$F$39,KHOAN_KHAC!$G$5:$G$39,B51))</f>
        <v>0</v>
      </c>
      <c r="N51" s="20" t="n">
        <f aca="false">IF(D51="Khoán",IF(TONG_GIO_KHOAN&gt;0,QUY_CHEN/TONG_GIO_KHOAN*G51,0),0)</f>
        <v>0</v>
      </c>
      <c r="O51" s="20" t="n">
        <f aca="false">IF(D51="Khoán",IF(TONG_GIO_KHOAN&gt;0,-TONG_CONGNHAT/TONG_GIO_KHOAN*G51,0),0)</f>
        <v>0</v>
      </c>
      <c r="P51" s="20" t="n">
        <f aca="false">IF(D51="Công nhật",H51*IFERROR(IF(INDEX(NV_DGCN,MATCH(B51,NV_MA,0))="",DG_CONGNHAT,INDEX(NV_DGCN,MATCH(B51,NV_MA,0))),DG_CONGNHAT),0)</f>
        <v>0</v>
      </c>
      <c r="Q51" s="37" t="str">
        <f aca="false">IF(B51="","",IF(D51="Khoán",ROUNDDOWN(J51+K51+L51+M51+N51+O51,-3),P51+M51))</f>
        <v/>
      </c>
      <c r="R51" s="37" t="str">
        <f aca="false">IF(B51="","",ROUNDDOWN(TIENAN_CONG*H51,-3))</f>
        <v/>
      </c>
      <c r="S51" s="37" t="str">
        <f aca="false">IF(B51="","",Q51+R51)</f>
        <v/>
      </c>
      <c r="T51" s="24"/>
    </row>
    <row r="52" customFormat="false" ht="15" hidden="false" customHeight="false" outlineLevel="0" collapsed="false">
      <c r="A52" s="24" t="str">
        <f aca="false">IF(B52="","",47)</f>
        <v/>
      </c>
      <c r="B52" s="34" t="str">
        <f aca="false">IF(BCC_KHOAN!B52="","",BCC_KHOAN!B52)</f>
        <v/>
      </c>
      <c r="C52" s="24" t="str">
        <f aca="false">IF(B52="","",IFERROR(INDEX(NV_TEN,MATCH(B52,NV_MA,0)),"MÃ KHÔNG CÓ"))</f>
        <v/>
      </c>
      <c r="D52" s="24" t="str">
        <f aca="false">IF(B52="","",IFERROR(INDEX(NV_HINHTHUC,MATCH(B52,NV_MA,0)),""))</f>
        <v/>
      </c>
      <c r="E52" s="35" t="str">
        <f aca="false">IF(D52="Khoán",IFERROR(INDEX(NV_HESO,MATCH(B52,NV_MA,0)),0),"")</f>
        <v/>
      </c>
      <c r="F52" s="20" t="str">
        <f aca="false">IF(D52="Khoán",IFERROR(INDEX(HS_SX!$B$5:$B$30,MATCH(E52,HS_SX!$A$5:$A$30,0)),0),"")</f>
        <v/>
      </c>
      <c r="G52" s="30" t="str">
        <f aca="false">IF(B52="","",IFERROR(INDEX(BCC_GIO,MATCH(B52,BCC_MA,0)),0))</f>
        <v/>
      </c>
      <c r="H52" s="31" t="str">
        <f aca="false">IF(B52="","",G52/GIO_CONG)</f>
        <v/>
      </c>
      <c r="I52" s="36" t="n">
        <f aca="false">IF(D52="Khoán",IF(GIO_TB&gt;0,G52/GIO_TB*KL_CHEBIEN,0),0)</f>
        <v>0</v>
      </c>
      <c r="J52" s="20" t="n">
        <f aca="false">IF(D52="Khoán",F52*I52,0)</f>
        <v>0</v>
      </c>
      <c r="K52" s="20" t="n">
        <f aca="false">IF(D52="Khoán",IF(TONG_GIO_KHOAN&gt;0,QUY_HANGING/TONG_GIO_KHOAN*G52,0),0)</f>
        <v>0</v>
      </c>
      <c r="L52" s="20" t="n">
        <f aca="false">IF(D52="Khoán",IF(TONG_GIO_KHOAN&gt;0,QUY_KHAC/TONG_GIO_KHOAN*G52,0),0)</f>
        <v>0</v>
      </c>
      <c r="M52" s="20" t="n">
        <f aca="false">IF(B52="",0,SUMIFS(KHOAN_KHAC!$F$5:$F$39,KHOAN_KHAC!$G$5:$G$39,B52))</f>
        <v>0</v>
      </c>
      <c r="N52" s="20" t="n">
        <f aca="false">IF(D52="Khoán",IF(TONG_GIO_KHOAN&gt;0,QUY_CHEN/TONG_GIO_KHOAN*G52,0),0)</f>
        <v>0</v>
      </c>
      <c r="O52" s="20" t="n">
        <f aca="false">IF(D52="Khoán",IF(TONG_GIO_KHOAN&gt;0,-TONG_CONGNHAT/TONG_GIO_KHOAN*G52,0),0)</f>
        <v>0</v>
      </c>
      <c r="P52" s="20" t="n">
        <f aca="false">IF(D52="Công nhật",H52*IFERROR(IF(INDEX(NV_DGCN,MATCH(B52,NV_MA,0))="",DG_CONGNHAT,INDEX(NV_DGCN,MATCH(B52,NV_MA,0))),DG_CONGNHAT),0)</f>
        <v>0</v>
      </c>
      <c r="Q52" s="37" t="str">
        <f aca="false">IF(B52="","",IF(D52="Khoán",ROUNDDOWN(J52+K52+L52+M52+N52+O52,-3),P52+M52))</f>
        <v/>
      </c>
      <c r="R52" s="37" t="str">
        <f aca="false">IF(B52="","",ROUNDDOWN(TIENAN_CONG*H52,-3))</f>
        <v/>
      </c>
      <c r="S52" s="37" t="str">
        <f aca="false">IF(B52="","",Q52+R52)</f>
        <v/>
      </c>
      <c r="T52" s="24"/>
    </row>
    <row r="53" customFormat="false" ht="15" hidden="false" customHeight="false" outlineLevel="0" collapsed="false">
      <c r="A53" s="24" t="str">
        <f aca="false">IF(B53="","",48)</f>
        <v/>
      </c>
      <c r="B53" s="34" t="str">
        <f aca="false">IF(BCC_KHOAN!B53="","",BCC_KHOAN!B53)</f>
        <v/>
      </c>
      <c r="C53" s="24" t="str">
        <f aca="false">IF(B53="","",IFERROR(INDEX(NV_TEN,MATCH(B53,NV_MA,0)),"MÃ KHÔNG CÓ"))</f>
        <v/>
      </c>
      <c r="D53" s="24" t="str">
        <f aca="false">IF(B53="","",IFERROR(INDEX(NV_HINHTHUC,MATCH(B53,NV_MA,0)),""))</f>
        <v/>
      </c>
      <c r="E53" s="35" t="str">
        <f aca="false">IF(D53="Khoán",IFERROR(INDEX(NV_HESO,MATCH(B53,NV_MA,0)),0),"")</f>
        <v/>
      </c>
      <c r="F53" s="20" t="str">
        <f aca="false">IF(D53="Khoán",IFERROR(INDEX(HS_SX!$B$5:$B$30,MATCH(E53,HS_SX!$A$5:$A$30,0)),0),"")</f>
        <v/>
      </c>
      <c r="G53" s="30" t="str">
        <f aca="false">IF(B53="","",IFERROR(INDEX(BCC_GIO,MATCH(B53,BCC_MA,0)),0))</f>
        <v/>
      </c>
      <c r="H53" s="31" t="str">
        <f aca="false">IF(B53="","",G53/GIO_CONG)</f>
        <v/>
      </c>
      <c r="I53" s="36" t="n">
        <f aca="false">IF(D53="Khoán",IF(GIO_TB&gt;0,G53/GIO_TB*KL_CHEBIEN,0),0)</f>
        <v>0</v>
      </c>
      <c r="J53" s="20" t="n">
        <f aca="false">IF(D53="Khoán",F53*I53,0)</f>
        <v>0</v>
      </c>
      <c r="K53" s="20" t="n">
        <f aca="false">IF(D53="Khoán",IF(TONG_GIO_KHOAN&gt;0,QUY_HANGING/TONG_GIO_KHOAN*G53,0),0)</f>
        <v>0</v>
      </c>
      <c r="L53" s="20" t="n">
        <f aca="false">IF(D53="Khoán",IF(TONG_GIO_KHOAN&gt;0,QUY_KHAC/TONG_GIO_KHOAN*G53,0),0)</f>
        <v>0</v>
      </c>
      <c r="M53" s="20" t="n">
        <f aca="false">IF(B53="",0,SUMIFS(KHOAN_KHAC!$F$5:$F$39,KHOAN_KHAC!$G$5:$G$39,B53))</f>
        <v>0</v>
      </c>
      <c r="N53" s="20" t="n">
        <f aca="false">IF(D53="Khoán",IF(TONG_GIO_KHOAN&gt;0,QUY_CHEN/TONG_GIO_KHOAN*G53,0),0)</f>
        <v>0</v>
      </c>
      <c r="O53" s="20" t="n">
        <f aca="false">IF(D53="Khoán",IF(TONG_GIO_KHOAN&gt;0,-TONG_CONGNHAT/TONG_GIO_KHOAN*G53,0),0)</f>
        <v>0</v>
      </c>
      <c r="P53" s="20" t="n">
        <f aca="false">IF(D53="Công nhật",H53*IFERROR(IF(INDEX(NV_DGCN,MATCH(B53,NV_MA,0))="",DG_CONGNHAT,INDEX(NV_DGCN,MATCH(B53,NV_MA,0))),DG_CONGNHAT),0)</f>
        <v>0</v>
      </c>
      <c r="Q53" s="37" t="str">
        <f aca="false">IF(B53="","",IF(D53="Khoán",ROUNDDOWN(J53+K53+L53+M53+N53+O53,-3),P53+M53))</f>
        <v/>
      </c>
      <c r="R53" s="37" t="str">
        <f aca="false">IF(B53="","",ROUNDDOWN(TIENAN_CONG*H53,-3))</f>
        <v/>
      </c>
      <c r="S53" s="37" t="str">
        <f aca="false">IF(B53="","",Q53+R53)</f>
        <v/>
      </c>
      <c r="T53" s="24"/>
    </row>
    <row r="54" customFormat="false" ht="15" hidden="false" customHeight="false" outlineLevel="0" collapsed="false">
      <c r="A54" s="24" t="str">
        <f aca="false">IF(B54="","",49)</f>
        <v/>
      </c>
      <c r="B54" s="34" t="str">
        <f aca="false">IF(BCC_KHOAN!B54="","",BCC_KHOAN!B54)</f>
        <v/>
      </c>
      <c r="C54" s="24" t="str">
        <f aca="false">IF(B54="","",IFERROR(INDEX(NV_TEN,MATCH(B54,NV_MA,0)),"MÃ KHÔNG CÓ"))</f>
        <v/>
      </c>
      <c r="D54" s="24" t="str">
        <f aca="false">IF(B54="","",IFERROR(INDEX(NV_HINHTHUC,MATCH(B54,NV_MA,0)),""))</f>
        <v/>
      </c>
      <c r="E54" s="35" t="str">
        <f aca="false">IF(D54="Khoán",IFERROR(INDEX(NV_HESO,MATCH(B54,NV_MA,0)),0),"")</f>
        <v/>
      </c>
      <c r="F54" s="20" t="str">
        <f aca="false">IF(D54="Khoán",IFERROR(INDEX(HS_SX!$B$5:$B$30,MATCH(E54,HS_SX!$A$5:$A$30,0)),0),"")</f>
        <v/>
      </c>
      <c r="G54" s="30" t="str">
        <f aca="false">IF(B54="","",IFERROR(INDEX(BCC_GIO,MATCH(B54,BCC_MA,0)),0))</f>
        <v/>
      </c>
      <c r="H54" s="31" t="str">
        <f aca="false">IF(B54="","",G54/GIO_CONG)</f>
        <v/>
      </c>
      <c r="I54" s="36" t="n">
        <f aca="false">IF(D54="Khoán",IF(GIO_TB&gt;0,G54/GIO_TB*KL_CHEBIEN,0),0)</f>
        <v>0</v>
      </c>
      <c r="J54" s="20" t="n">
        <f aca="false">IF(D54="Khoán",F54*I54,0)</f>
        <v>0</v>
      </c>
      <c r="K54" s="20" t="n">
        <f aca="false">IF(D54="Khoán",IF(TONG_GIO_KHOAN&gt;0,QUY_HANGING/TONG_GIO_KHOAN*G54,0),0)</f>
        <v>0</v>
      </c>
      <c r="L54" s="20" t="n">
        <f aca="false">IF(D54="Khoán",IF(TONG_GIO_KHOAN&gt;0,QUY_KHAC/TONG_GIO_KHOAN*G54,0),0)</f>
        <v>0</v>
      </c>
      <c r="M54" s="20" t="n">
        <f aca="false">IF(B54="",0,SUMIFS(KHOAN_KHAC!$F$5:$F$39,KHOAN_KHAC!$G$5:$G$39,B54))</f>
        <v>0</v>
      </c>
      <c r="N54" s="20" t="n">
        <f aca="false">IF(D54="Khoán",IF(TONG_GIO_KHOAN&gt;0,QUY_CHEN/TONG_GIO_KHOAN*G54,0),0)</f>
        <v>0</v>
      </c>
      <c r="O54" s="20" t="n">
        <f aca="false">IF(D54="Khoán",IF(TONG_GIO_KHOAN&gt;0,-TONG_CONGNHAT/TONG_GIO_KHOAN*G54,0),0)</f>
        <v>0</v>
      </c>
      <c r="P54" s="20" t="n">
        <f aca="false">IF(D54="Công nhật",H54*IFERROR(IF(INDEX(NV_DGCN,MATCH(B54,NV_MA,0))="",DG_CONGNHAT,INDEX(NV_DGCN,MATCH(B54,NV_MA,0))),DG_CONGNHAT),0)</f>
        <v>0</v>
      </c>
      <c r="Q54" s="37" t="str">
        <f aca="false">IF(B54="","",IF(D54="Khoán",ROUNDDOWN(J54+K54+L54+M54+N54+O54,-3),P54+M54))</f>
        <v/>
      </c>
      <c r="R54" s="37" t="str">
        <f aca="false">IF(B54="","",ROUNDDOWN(TIENAN_CONG*H54,-3))</f>
        <v/>
      </c>
      <c r="S54" s="37" t="str">
        <f aca="false">IF(B54="","",Q54+R54)</f>
        <v/>
      </c>
      <c r="T54" s="24"/>
    </row>
    <row r="55" customFormat="false" ht="15" hidden="false" customHeight="false" outlineLevel="0" collapsed="false">
      <c r="A55" s="24" t="str">
        <f aca="false">IF(B55="","",50)</f>
        <v/>
      </c>
      <c r="B55" s="34" t="str">
        <f aca="false">IF(BCC_KHOAN!B55="","",BCC_KHOAN!B55)</f>
        <v/>
      </c>
      <c r="C55" s="24" t="str">
        <f aca="false">IF(B55="","",IFERROR(INDEX(NV_TEN,MATCH(B55,NV_MA,0)),"MÃ KHÔNG CÓ"))</f>
        <v/>
      </c>
      <c r="D55" s="24" t="str">
        <f aca="false">IF(B55="","",IFERROR(INDEX(NV_HINHTHUC,MATCH(B55,NV_MA,0)),""))</f>
        <v/>
      </c>
      <c r="E55" s="35" t="str">
        <f aca="false">IF(D55="Khoán",IFERROR(INDEX(NV_HESO,MATCH(B55,NV_MA,0)),0),"")</f>
        <v/>
      </c>
      <c r="F55" s="20" t="str">
        <f aca="false">IF(D55="Khoán",IFERROR(INDEX(HS_SX!$B$5:$B$30,MATCH(E55,HS_SX!$A$5:$A$30,0)),0),"")</f>
        <v/>
      </c>
      <c r="G55" s="30" t="str">
        <f aca="false">IF(B55="","",IFERROR(INDEX(BCC_GIO,MATCH(B55,BCC_MA,0)),0))</f>
        <v/>
      </c>
      <c r="H55" s="31" t="str">
        <f aca="false">IF(B55="","",G55/GIO_CONG)</f>
        <v/>
      </c>
      <c r="I55" s="36" t="n">
        <f aca="false">IF(D55="Khoán",IF(GIO_TB&gt;0,G55/GIO_TB*KL_CHEBIEN,0),0)</f>
        <v>0</v>
      </c>
      <c r="J55" s="20" t="n">
        <f aca="false">IF(D55="Khoán",F55*I55,0)</f>
        <v>0</v>
      </c>
      <c r="K55" s="20" t="n">
        <f aca="false">IF(D55="Khoán",IF(TONG_GIO_KHOAN&gt;0,QUY_HANGING/TONG_GIO_KHOAN*G55,0),0)</f>
        <v>0</v>
      </c>
      <c r="L55" s="20" t="n">
        <f aca="false">IF(D55="Khoán",IF(TONG_GIO_KHOAN&gt;0,QUY_KHAC/TONG_GIO_KHOAN*G55,0),0)</f>
        <v>0</v>
      </c>
      <c r="M55" s="20" t="n">
        <f aca="false">IF(B55="",0,SUMIFS(KHOAN_KHAC!$F$5:$F$39,KHOAN_KHAC!$G$5:$G$39,B55))</f>
        <v>0</v>
      </c>
      <c r="N55" s="20" t="n">
        <f aca="false">IF(D55="Khoán",IF(TONG_GIO_KHOAN&gt;0,QUY_CHEN/TONG_GIO_KHOAN*G55,0),0)</f>
        <v>0</v>
      </c>
      <c r="O55" s="20" t="n">
        <f aca="false">IF(D55="Khoán",IF(TONG_GIO_KHOAN&gt;0,-TONG_CONGNHAT/TONG_GIO_KHOAN*G55,0),0)</f>
        <v>0</v>
      </c>
      <c r="P55" s="20" t="n">
        <f aca="false">IF(D55="Công nhật",H55*IFERROR(IF(INDEX(NV_DGCN,MATCH(B55,NV_MA,0))="",DG_CONGNHAT,INDEX(NV_DGCN,MATCH(B55,NV_MA,0))),DG_CONGNHAT),0)</f>
        <v>0</v>
      </c>
      <c r="Q55" s="37" t="str">
        <f aca="false">IF(B55="","",IF(D55="Khoán",ROUNDDOWN(J55+K55+L55+M55+N55+O55,-3),P55+M55))</f>
        <v/>
      </c>
      <c r="R55" s="37" t="str">
        <f aca="false">IF(B55="","",ROUNDDOWN(TIENAN_CONG*H55,-3))</f>
        <v/>
      </c>
      <c r="S55" s="37" t="str">
        <f aca="false">IF(B55="","",Q55+R55)</f>
        <v/>
      </c>
      <c r="T55" s="24"/>
    </row>
    <row r="56" customFormat="false" ht="15" hidden="false" customHeight="false" outlineLevel="0" collapsed="false">
      <c r="A56" s="24" t="str">
        <f aca="false">IF(B56="","",51)</f>
        <v/>
      </c>
      <c r="B56" s="34" t="str">
        <f aca="false">IF(BCC_KHOAN!B56="","",BCC_KHOAN!B56)</f>
        <v/>
      </c>
      <c r="C56" s="24" t="str">
        <f aca="false">IF(B56="","",IFERROR(INDEX(NV_TEN,MATCH(B56,NV_MA,0)),"MÃ KHÔNG CÓ"))</f>
        <v/>
      </c>
      <c r="D56" s="24" t="str">
        <f aca="false">IF(B56="","",IFERROR(INDEX(NV_HINHTHUC,MATCH(B56,NV_MA,0)),""))</f>
        <v/>
      </c>
      <c r="E56" s="35" t="str">
        <f aca="false">IF(D56="Khoán",IFERROR(INDEX(NV_HESO,MATCH(B56,NV_MA,0)),0),"")</f>
        <v/>
      </c>
      <c r="F56" s="20" t="str">
        <f aca="false">IF(D56="Khoán",IFERROR(INDEX(HS_SX!$B$5:$B$30,MATCH(E56,HS_SX!$A$5:$A$30,0)),0),"")</f>
        <v/>
      </c>
      <c r="G56" s="30" t="str">
        <f aca="false">IF(B56="","",IFERROR(INDEX(BCC_GIO,MATCH(B56,BCC_MA,0)),0))</f>
        <v/>
      </c>
      <c r="H56" s="31" t="str">
        <f aca="false">IF(B56="","",G56/GIO_CONG)</f>
        <v/>
      </c>
      <c r="I56" s="36" t="n">
        <f aca="false">IF(D56="Khoán",IF(GIO_TB&gt;0,G56/GIO_TB*KL_CHEBIEN,0),0)</f>
        <v>0</v>
      </c>
      <c r="J56" s="20" t="n">
        <f aca="false">IF(D56="Khoán",F56*I56,0)</f>
        <v>0</v>
      </c>
      <c r="K56" s="20" t="n">
        <f aca="false">IF(D56="Khoán",IF(TONG_GIO_KHOAN&gt;0,QUY_HANGING/TONG_GIO_KHOAN*G56,0),0)</f>
        <v>0</v>
      </c>
      <c r="L56" s="20" t="n">
        <f aca="false">IF(D56="Khoán",IF(TONG_GIO_KHOAN&gt;0,QUY_KHAC/TONG_GIO_KHOAN*G56,0),0)</f>
        <v>0</v>
      </c>
      <c r="M56" s="20" t="n">
        <f aca="false">IF(B56="",0,SUMIFS(KHOAN_KHAC!$F$5:$F$39,KHOAN_KHAC!$G$5:$G$39,B56))</f>
        <v>0</v>
      </c>
      <c r="N56" s="20" t="n">
        <f aca="false">IF(D56="Khoán",IF(TONG_GIO_KHOAN&gt;0,QUY_CHEN/TONG_GIO_KHOAN*G56,0),0)</f>
        <v>0</v>
      </c>
      <c r="O56" s="20" t="n">
        <f aca="false">IF(D56="Khoán",IF(TONG_GIO_KHOAN&gt;0,-TONG_CONGNHAT/TONG_GIO_KHOAN*G56,0),0)</f>
        <v>0</v>
      </c>
      <c r="P56" s="20" t="n">
        <f aca="false">IF(D56="Công nhật",H56*IFERROR(IF(INDEX(NV_DGCN,MATCH(B56,NV_MA,0))="",DG_CONGNHAT,INDEX(NV_DGCN,MATCH(B56,NV_MA,0))),DG_CONGNHAT),0)</f>
        <v>0</v>
      </c>
      <c r="Q56" s="37" t="str">
        <f aca="false">IF(B56="","",IF(D56="Khoán",ROUNDDOWN(J56+K56+L56+M56+N56+O56,-3),P56+M56))</f>
        <v/>
      </c>
      <c r="R56" s="37" t="str">
        <f aca="false">IF(B56="","",ROUNDDOWN(TIENAN_CONG*H56,-3))</f>
        <v/>
      </c>
      <c r="S56" s="37" t="str">
        <f aca="false">IF(B56="","",Q56+R56)</f>
        <v/>
      </c>
      <c r="T56" s="24"/>
    </row>
    <row r="57" customFormat="false" ht="15" hidden="false" customHeight="false" outlineLevel="0" collapsed="false">
      <c r="A57" s="24" t="str">
        <f aca="false">IF(B57="","",52)</f>
        <v/>
      </c>
      <c r="B57" s="34" t="str">
        <f aca="false">IF(BCC_KHOAN!B57="","",BCC_KHOAN!B57)</f>
        <v/>
      </c>
      <c r="C57" s="24" t="str">
        <f aca="false">IF(B57="","",IFERROR(INDEX(NV_TEN,MATCH(B57,NV_MA,0)),"MÃ KHÔNG CÓ"))</f>
        <v/>
      </c>
      <c r="D57" s="24" t="str">
        <f aca="false">IF(B57="","",IFERROR(INDEX(NV_HINHTHUC,MATCH(B57,NV_MA,0)),""))</f>
        <v/>
      </c>
      <c r="E57" s="35" t="str">
        <f aca="false">IF(D57="Khoán",IFERROR(INDEX(NV_HESO,MATCH(B57,NV_MA,0)),0),"")</f>
        <v/>
      </c>
      <c r="F57" s="20" t="str">
        <f aca="false">IF(D57="Khoán",IFERROR(INDEX(HS_SX!$B$5:$B$30,MATCH(E57,HS_SX!$A$5:$A$30,0)),0),"")</f>
        <v/>
      </c>
      <c r="G57" s="30" t="str">
        <f aca="false">IF(B57="","",IFERROR(INDEX(BCC_GIO,MATCH(B57,BCC_MA,0)),0))</f>
        <v/>
      </c>
      <c r="H57" s="31" t="str">
        <f aca="false">IF(B57="","",G57/GIO_CONG)</f>
        <v/>
      </c>
      <c r="I57" s="36" t="n">
        <f aca="false">IF(D57="Khoán",IF(GIO_TB&gt;0,G57/GIO_TB*KL_CHEBIEN,0),0)</f>
        <v>0</v>
      </c>
      <c r="J57" s="20" t="n">
        <f aca="false">IF(D57="Khoán",F57*I57,0)</f>
        <v>0</v>
      </c>
      <c r="K57" s="20" t="n">
        <f aca="false">IF(D57="Khoán",IF(TONG_GIO_KHOAN&gt;0,QUY_HANGING/TONG_GIO_KHOAN*G57,0),0)</f>
        <v>0</v>
      </c>
      <c r="L57" s="20" t="n">
        <f aca="false">IF(D57="Khoán",IF(TONG_GIO_KHOAN&gt;0,QUY_KHAC/TONG_GIO_KHOAN*G57,0),0)</f>
        <v>0</v>
      </c>
      <c r="M57" s="20" t="n">
        <f aca="false">IF(B57="",0,SUMIFS(KHOAN_KHAC!$F$5:$F$39,KHOAN_KHAC!$G$5:$G$39,B57))</f>
        <v>0</v>
      </c>
      <c r="N57" s="20" t="n">
        <f aca="false">IF(D57="Khoán",IF(TONG_GIO_KHOAN&gt;0,QUY_CHEN/TONG_GIO_KHOAN*G57,0),0)</f>
        <v>0</v>
      </c>
      <c r="O57" s="20" t="n">
        <f aca="false">IF(D57="Khoán",IF(TONG_GIO_KHOAN&gt;0,-TONG_CONGNHAT/TONG_GIO_KHOAN*G57,0),0)</f>
        <v>0</v>
      </c>
      <c r="P57" s="20" t="n">
        <f aca="false">IF(D57="Công nhật",H57*IFERROR(IF(INDEX(NV_DGCN,MATCH(B57,NV_MA,0))="",DG_CONGNHAT,INDEX(NV_DGCN,MATCH(B57,NV_MA,0))),DG_CONGNHAT),0)</f>
        <v>0</v>
      </c>
      <c r="Q57" s="37" t="str">
        <f aca="false">IF(B57="","",IF(D57="Khoán",ROUNDDOWN(J57+K57+L57+M57+N57+O57,-3),P57+M57))</f>
        <v/>
      </c>
      <c r="R57" s="37" t="str">
        <f aca="false">IF(B57="","",ROUNDDOWN(TIENAN_CONG*H57,-3))</f>
        <v/>
      </c>
      <c r="S57" s="37" t="str">
        <f aca="false">IF(B57="","",Q57+R57)</f>
        <v/>
      </c>
      <c r="T57" s="24"/>
    </row>
    <row r="58" customFormat="false" ht="15" hidden="false" customHeight="false" outlineLevel="0" collapsed="false">
      <c r="A58" s="24" t="str">
        <f aca="false">IF(B58="","",53)</f>
        <v/>
      </c>
      <c r="B58" s="34" t="str">
        <f aca="false">IF(BCC_KHOAN!B58="","",BCC_KHOAN!B58)</f>
        <v/>
      </c>
      <c r="C58" s="24" t="str">
        <f aca="false">IF(B58="","",IFERROR(INDEX(NV_TEN,MATCH(B58,NV_MA,0)),"MÃ KHÔNG CÓ"))</f>
        <v/>
      </c>
      <c r="D58" s="24" t="str">
        <f aca="false">IF(B58="","",IFERROR(INDEX(NV_HINHTHUC,MATCH(B58,NV_MA,0)),""))</f>
        <v/>
      </c>
      <c r="E58" s="35" t="str">
        <f aca="false">IF(D58="Khoán",IFERROR(INDEX(NV_HESO,MATCH(B58,NV_MA,0)),0),"")</f>
        <v/>
      </c>
      <c r="F58" s="20" t="str">
        <f aca="false">IF(D58="Khoán",IFERROR(INDEX(HS_SX!$B$5:$B$30,MATCH(E58,HS_SX!$A$5:$A$30,0)),0),"")</f>
        <v/>
      </c>
      <c r="G58" s="30" t="str">
        <f aca="false">IF(B58="","",IFERROR(INDEX(BCC_GIO,MATCH(B58,BCC_MA,0)),0))</f>
        <v/>
      </c>
      <c r="H58" s="31" t="str">
        <f aca="false">IF(B58="","",G58/GIO_CONG)</f>
        <v/>
      </c>
      <c r="I58" s="36" t="n">
        <f aca="false">IF(D58="Khoán",IF(GIO_TB&gt;0,G58/GIO_TB*KL_CHEBIEN,0),0)</f>
        <v>0</v>
      </c>
      <c r="J58" s="20" t="n">
        <f aca="false">IF(D58="Khoán",F58*I58,0)</f>
        <v>0</v>
      </c>
      <c r="K58" s="20" t="n">
        <f aca="false">IF(D58="Khoán",IF(TONG_GIO_KHOAN&gt;0,QUY_HANGING/TONG_GIO_KHOAN*G58,0),0)</f>
        <v>0</v>
      </c>
      <c r="L58" s="20" t="n">
        <f aca="false">IF(D58="Khoán",IF(TONG_GIO_KHOAN&gt;0,QUY_KHAC/TONG_GIO_KHOAN*G58,0),0)</f>
        <v>0</v>
      </c>
      <c r="M58" s="20" t="n">
        <f aca="false">IF(B58="",0,SUMIFS(KHOAN_KHAC!$F$5:$F$39,KHOAN_KHAC!$G$5:$G$39,B58))</f>
        <v>0</v>
      </c>
      <c r="N58" s="20" t="n">
        <f aca="false">IF(D58="Khoán",IF(TONG_GIO_KHOAN&gt;0,QUY_CHEN/TONG_GIO_KHOAN*G58,0),0)</f>
        <v>0</v>
      </c>
      <c r="O58" s="20" t="n">
        <f aca="false">IF(D58="Khoán",IF(TONG_GIO_KHOAN&gt;0,-TONG_CONGNHAT/TONG_GIO_KHOAN*G58,0),0)</f>
        <v>0</v>
      </c>
      <c r="P58" s="20" t="n">
        <f aca="false">IF(D58="Công nhật",H58*IFERROR(IF(INDEX(NV_DGCN,MATCH(B58,NV_MA,0))="",DG_CONGNHAT,INDEX(NV_DGCN,MATCH(B58,NV_MA,0))),DG_CONGNHAT),0)</f>
        <v>0</v>
      </c>
      <c r="Q58" s="37" t="str">
        <f aca="false">IF(B58="","",IF(D58="Khoán",ROUNDDOWN(J58+K58+L58+M58+N58+O58,-3),P58+M58))</f>
        <v/>
      </c>
      <c r="R58" s="37" t="str">
        <f aca="false">IF(B58="","",ROUNDDOWN(TIENAN_CONG*H58,-3))</f>
        <v/>
      </c>
      <c r="S58" s="37" t="str">
        <f aca="false">IF(B58="","",Q58+R58)</f>
        <v/>
      </c>
      <c r="T58" s="24"/>
    </row>
    <row r="59" customFormat="false" ht="15" hidden="false" customHeight="false" outlineLevel="0" collapsed="false">
      <c r="A59" s="24" t="str">
        <f aca="false">IF(B59="","",54)</f>
        <v/>
      </c>
      <c r="B59" s="34" t="str">
        <f aca="false">IF(BCC_KHOAN!B59="","",BCC_KHOAN!B59)</f>
        <v/>
      </c>
      <c r="C59" s="24" t="str">
        <f aca="false">IF(B59="","",IFERROR(INDEX(NV_TEN,MATCH(B59,NV_MA,0)),"MÃ KHÔNG CÓ"))</f>
        <v/>
      </c>
      <c r="D59" s="24" t="str">
        <f aca="false">IF(B59="","",IFERROR(INDEX(NV_HINHTHUC,MATCH(B59,NV_MA,0)),""))</f>
        <v/>
      </c>
      <c r="E59" s="35" t="str">
        <f aca="false">IF(D59="Khoán",IFERROR(INDEX(NV_HESO,MATCH(B59,NV_MA,0)),0),"")</f>
        <v/>
      </c>
      <c r="F59" s="20" t="str">
        <f aca="false">IF(D59="Khoán",IFERROR(INDEX(HS_SX!$B$5:$B$30,MATCH(E59,HS_SX!$A$5:$A$30,0)),0),"")</f>
        <v/>
      </c>
      <c r="G59" s="30" t="str">
        <f aca="false">IF(B59="","",IFERROR(INDEX(BCC_GIO,MATCH(B59,BCC_MA,0)),0))</f>
        <v/>
      </c>
      <c r="H59" s="31" t="str">
        <f aca="false">IF(B59="","",G59/GIO_CONG)</f>
        <v/>
      </c>
      <c r="I59" s="36" t="n">
        <f aca="false">IF(D59="Khoán",IF(GIO_TB&gt;0,G59/GIO_TB*KL_CHEBIEN,0),0)</f>
        <v>0</v>
      </c>
      <c r="J59" s="20" t="n">
        <f aca="false">IF(D59="Khoán",F59*I59,0)</f>
        <v>0</v>
      </c>
      <c r="K59" s="20" t="n">
        <f aca="false">IF(D59="Khoán",IF(TONG_GIO_KHOAN&gt;0,QUY_HANGING/TONG_GIO_KHOAN*G59,0),0)</f>
        <v>0</v>
      </c>
      <c r="L59" s="20" t="n">
        <f aca="false">IF(D59="Khoán",IF(TONG_GIO_KHOAN&gt;0,QUY_KHAC/TONG_GIO_KHOAN*G59,0),0)</f>
        <v>0</v>
      </c>
      <c r="M59" s="20" t="n">
        <f aca="false">IF(B59="",0,SUMIFS(KHOAN_KHAC!$F$5:$F$39,KHOAN_KHAC!$G$5:$G$39,B59))</f>
        <v>0</v>
      </c>
      <c r="N59" s="20" t="n">
        <f aca="false">IF(D59="Khoán",IF(TONG_GIO_KHOAN&gt;0,QUY_CHEN/TONG_GIO_KHOAN*G59,0),0)</f>
        <v>0</v>
      </c>
      <c r="O59" s="20" t="n">
        <f aca="false">IF(D59="Khoán",IF(TONG_GIO_KHOAN&gt;0,-TONG_CONGNHAT/TONG_GIO_KHOAN*G59,0),0)</f>
        <v>0</v>
      </c>
      <c r="P59" s="20" t="n">
        <f aca="false">IF(D59="Công nhật",H59*IFERROR(IF(INDEX(NV_DGCN,MATCH(B59,NV_MA,0))="",DG_CONGNHAT,INDEX(NV_DGCN,MATCH(B59,NV_MA,0))),DG_CONGNHAT),0)</f>
        <v>0</v>
      </c>
      <c r="Q59" s="37" t="str">
        <f aca="false">IF(B59="","",IF(D59="Khoán",ROUNDDOWN(J59+K59+L59+M59+N59+O59,-3),P59+M59))</f>
        <v/>
      </c>
      <c r="R59" s="37" t="str">
        <f aca="false">IF(B59="","",ROUNDDOWN(TIENAN_CONG*H59,-3))</f>
        <v/>
      </c>
      <c r="S59" s="37" t="str">
        <f aca="false">IF(B59="","",Q59+R59)</f>
        <v/>
      </c>
      <c r="T59" s="24"/>
    </row>
    <row r="60" customFormat="false" ht="15" hidden="false" customHeight="false" outlineLevel="0" collapsed="false">
      <c r="A60" s="24" t="str">
        <f aca="false">IF(B60="","",55)</f>
        <v/>
      </c>
      <c r="B60" s="34" t="str">
        <f aca="false">IF(BCC_KHOAN!B60="","",BCC_KHOAN!B60)</f>
        <v/>
      </c>
      <c r="C60" s="24" t="str">
        <f aca="false">IF(B60="","",IFERROR(INDEX(NV_TEN,MATCH(B60,NV_MA,0)),"MÃ KHÔNG CÓ"))</f>
        <v/>
      </c>
      <c r="D60" s="24" t="str">
        <f aca="false">IF(B60="","",IFERROR(INDEX(NV_HINHTHUC,MATCH(B60,NV_MA,0)),""))</f>
        <v/>
      </c>
      <c r="E60" s="35" t="str">
        <f aca="false">IF(D60="Khoán",IFERROR(INDEX(NV_HESO,MATCH(B60,NV_MA,0)),0),"")</f>
        <v/>
      </c>
      <c r="F60" s="20" t="str">
        <f aca="false">IF(D60="Khoán",IFERROR(INDEX(HS_SX!$B$5:$B$30,MATCH(E60,HS_SX!$A$5:$A$30,0)),0),"")</f>
        <v/>
      </c>
      <c r="G60" s="30" t="str">
        <f aca="false">IF(B60="","",IFERROR(INDEX(BCC_GIO,MATCH(B60,BCC_MA,0)),0))</f>
        <v/>
      </c>
      <c r="H60" s="31" t="str">
        <f aca="false">IF(B60="","",G60/GIO_CONG)</f>
        <v/>
      </c>
      <c r="I60" s="36" t="n">
        <f aca="false">IF(D60="Khoán",IF(GIO_TB&gt;0,G60/GIO_TB*KL_CHEBIEN,0),0)</f>
        <v>0</v>
      </c>
      <c r="J60" s="20" t="n">
        <f aca="false">IF(D60="Khoán",F60*I60,0)</f>
        <v>0</v>
      </c>
      <c r="K60" s="20" t="n">
        <f aca="false">IF(D60="Khoán",IF(TONG_GIO_KHOAN&gt;0,QUY_HANGING/TONG_GIO_KHOAN*G60,0),0)</f>
        <v>0</v>
      </c>
      <c r="L60" s="20" t="n">
        <f aca="false">IF(D60="Khoán",IF(TONG_GIO_KHOAN&gt;0,QUY_KHAC/TONG_GIO_KHOAN*G60,0),0)</f>
        <v>0</v>
      </c>
      <c r="M60" s="20" t="n">
        <f aca="false">IF(B60="",0,SUMIFS(KHOAN_KHAC!$F$5:$F$39,KHOAN_KHAC!$G$5:$G$39,B60))</f>
        <v>0</v>
      </c>
      <c r="N60" s="20" t="n">
        <f aca="false">IF(D60="Khoán",IF(TONG_GIO_KHOAN&gt;0,QUY_CHEN/TONG_GIO_KHOAN*G60,0),0)</f>
        <v>0</v>
      </c>
      <c r="O60" s="20" t="n">
        <f aca="false">IF(D60="Khoán",IF(TONG_GIO_KHOAN&gt;0,-TONG_CONGNHAT/TONG_GIO_KHOAN*G60,0),0)</f>
        <v>0</v>
      </c>
      <c r="P60" s="20" t="n">
        <f aca="false">IF(D60="Công nhật",H60*IFERROR(IF(INDEX(NV_DGCN,MATCH(B60,NV_MA,0))="",DG_CONGNHAT,INDEX(NV_DGCN,MATCH(B60,NV_MA,0))),DG_CONGNHAT),0)</f>
        <v>0</v>
      </c>
      <c r="Q60" s="37" t="str">
        <f aca="false">IF(B60="","",IF(D60="Khoán",ROUNDDOWN(J60+K60+L60+M60+N60+O60,-3),P60+M60))</f>
        <v/>
      </c>
      <c r="R60" s="37" t="str">
        <f aca="false">IF(B60="","",ROUNDDOWN(TIENAN_CONG*H60,-3))</f>
        <v/>
      </c>
      <c r="S60" s="37" t="str">
        <f aca="false">IF(B60="","",Q60+R60)</f>
        <v/>
      </c>
      <c r="T60" s="24"/>
    </row>
    <row r="61" customFormat="false" ht="15" hidden="false" customHeight="false" outlineLevel="0" collapsed="false">
      <c r="A61" s="24" t="str">
        <f aca="false">IF(B61="","",56)</f>
        <v/>
      </c>
      <c r="B61" s="34" t="str">
        <f aca="false">IF(BCC_KHOAN!B61="","",BCC_KHOAN!B61)</f>
        <v/>
      </c>
      <c r="C61" s="24" t="str">
        <f aca="false">IF(B61="","",IFERROR(INDEX(NV_TEN,MATCH(B61,NV_MA,0)),"MÃ KHÔNG CÓ"))</f>
        <v/>
      </c>
      <c r="D61" s="24" t="str">
        <f aca="false">IF(B61="","",IFERROR(INDEX(NV_HINHTHUC,MATCH(B61,NV_MA,0)),""))</f>
        <v/>
      </c>
      <c r="E61" s="35" t="str">
        <f aca="false">IF(D61="Khoán",IFERROR(INDEX(NV_HESO,MATCH(B61,NV_MA,0)),0),"")</f>
        <v/>
      </c>
      <c r="F61" s="20" t="str">
        <f aca="false">IF(D61="Khoán",IFERROR(INDEX(HS_SX!$B$5:$B$30,MATCH(E61,HS_SX!$A$5:$A$30,0)),0),"")</f>
        <v/>
      </c>
      <c r="G61" s="30" t="str">
        <f aca="false">IF(B61="","",IFERROR(INDEX(BCC_GIO,MATCH(B61,BCC_MA,0)),0))</f>
        <v/>
      </c>
      <c r="H61" s="31" t="str">
        <f aca="false">IF(B61="","",G61/GIO_CONG)</f>
        <v/>
      </c>
      <c r="I61" s="36" t="n">
        <f aca="false">IF(D61="Khoán",IF(GIO_TB&gt;0,G61/GIO_TB*KL_CHEBIEN,0),0)</f>
        <v>0</v>
      </c>
      <c r="J61" s="20" t="n">
        <f aca="false">IF(D61="Khoán",F61*I61,0)</f>
        <v>0</v>
      </c>
      <c r="K61" s="20" t="n">
        <f aca="false">IF(D61="Khoán",IF(TONG_GIO_KHOAN&gt;0,QUY_HANGING/TONG_GIO_KHOAN*G61,0),0)</f>
        <v>0</v>
      </c>
      <c r="L61" s="20" t="n">
        <f aca="false">IF(D61="Khoán",IF(TONG_GIO_KHOAN&gt;0,QUY_KHAC/TONG_GIO_KHOAN*G61,0),0)</f>
        <v>0</v>
      </c>
      <c r="M61" s="20" t="n">
        <f aca="false">IF(B61="",0,SUMIFS(KHOAN_KHAC!$F$5:$F$39,KHOAN_KHAC!$G$5:$G$39,B61))</f>
        <v>0</v>
      </c>
      <c r="N61" s="20" t="n">
        <f aca="false">IF(D61="Khoán",IF(TONG_GIO_KHOAN&gt;0,QUY_CHEN/TONG_GIO_KHOAN*G61,0),0)</f>
        <v>0</v>
      </c>
      <c r="O61" s="20" t="n">
        <f aca="false">IF(D61="Khoán",IF(TONG_GIO_KHOAN&gt;0,-TONG_CONGNHAT/TONG_GIO_KHOAN*G61,0),0)</f>
        <v>0</v>
      </c>
      <c r="P61" s="20" t="n">
        <f aca="false">IF(D61="Công nhật",H61*IFERROR(IF(INDEX(NV_DGCN,MATCH(B61,NV_MA,0))="",DG_CONGNHAT,INDEX(NV_DGCN,MATCH(B61,NV_MA,0))),DG_CONGNHAT),0)</f>
        <v>0</v>
      </c>
      <c r="Q61" s="37" t="str">
        <f aca="false">IF(B61="","",IF(D61="Khoán",ROUNDDOWN(J61+K61+L61+M61+N61+O61,-3),P61+M61))</f>
        <v/>
      </c>
      <c r="R61" s="37" t="str">
        <f aca="false">IF(B61="","",ROUNDDOWN(TIENAN_CONG*H61,-3))</f>
        <v/>
      </c>
      <c r="S61" s="37" t="str">
        <f aca="false">IF(B61="","",Q61+R61)</f>
        <v/>
      </c>
      <c r="T61" s="24"/>
    </row>
    <row r="62" customFormat="false" ht="15" hidden="false" customHeight="false" outlineLevel="0" collapsed="false">
      <c r="A62" s="24" t="str">
        <f aca="false">IF(B62="","",57)</f>
        <v/>
      </c>
      <c r="B62" s="34" t="str">
        <f aca="false">IF(BCC_KHOAN!B62="","",BCC_KHOAN!B62)</f>
        <v/>
      </c>
      <c r="C62" s="24" t="str">
        <f aca="false">IF(B62="","",IFERROR(INDEX(NV_TEN,MATCH(B62,NV_MA,0)),"MÃ KHÔNG CÓ"))</f>
        <v/>
      </c>
      <c r="D62" s="24" t="str">
        <f aca="false">IF(B62="","",IFERROR(INDEX(NV_HINHTHUC,MATCH(B62,NV_MA,0)),""))</f>
        <v/>
      </c>
      <c r="E62" s="35" t="str">
        <f aca="false">IF(D62="Khoán",IFERROR(INDEX(NV_HESO,MATCH(B62,NV_MA,0)),0),"")</f>
        <v/>
      </c>
      <c r="F62" s="20" t="str">
        <f aca="false">IF(D62="Khoán",IFERROR(INDEX(HS_SX!$B$5:$B$30,MATCH(E62,HS_SX!$A$5:$A$30,0)),0),"")</f>
        <v/>
      </c>
      <c r="G62" s="30" t="str">
        <f aca="false">IF(B62="","",IFERROR(INDEX(BCC_GIO,MATCH(B62,BCC_MA,0)),0))</f>
        <v/>
      </c>
      <c r="H62" s="31" t="str">
        <f aca="false">IF(B62="","",G62/GIO_CONG)</f>
        <v/>
      </c>
      <c r="I62" s="36" t="n">
        <f aca="false">IF(D62="Khoán",IF(GIO_TB&gt;0,G62/GIO_TB*KL_CHEBIEN,0),0)</f>
        <v>0</v>
      </c>
      <c r="J62" s="20" t="n">
        <f aca="false">IF(D62="Khoán",F62*I62,0)</f>
        <v>0</v>
      </c>
      <c r="K62" s="20" t="n">
        <f aca="false">IF(D62="Khoán",IF(TONG_GIO_KHOAN&gt;0,QUY_HANGING/TONG_GIO_KHOAN*G62,0),0)</f>
        <v>0</v>
      </c>
      <c r="L62" s="20" t="n">
        <f aca="false">IF(D62="Khoán",IF(TONG_GIO_KHOAN&gt;0,QUY_KHAC/TONG_GIO_KHOAN*G62,0),0)</f>
        <v>0</v>
      </c>
      <c r="M62" s="20" t="n">
        <f aca="false">IF(B62="",0,SUMIFS(KHOAN_KHAC!$F$5:$F$39,KHOAN_KHAC!$G$5:$G$39,B62))</f>
        <v>0</v>
      </c>
      <c r="N62" s="20" t="n">
        <f aca="false">IF(D62="Khoán",IF(TONG_GIO_KHOAN&gt;0,QUY_CHEN/TONG_GIO_KHOAN*G62,0),0)</f>
        <v>0</v>
      </c>
      <c r="O62" s="20" t="n">
        <f aca="false">IF(D62="Khoán",IF(TONG_GIO_KHOAN&gt;0,-TONG_CONGNHAT/TONG_GIO_KHOAN*G62,0),0)</f>
        <v>0</v>
      </c>
      <c r="P62" s="20" t="n">
        <f aca="false">IF(D62="Công nhật",H62*IFERROR(IF(INDEX(NV_DGCN,MATCH(B62,NV_MA,0))="",DG_CONGNHAT,INDEX(NV_DGCN,MATCH(B62,NV_MA,0))),DG_CONGNHAT),0)</f>
        <v>0</v>
      </c>
      <c r="Q62" s="37" t="str">
        <f aca="false">IF(B62="","",IF(D62="Khoán",ROUNDDOWN(J62+K62+L62+M62+N62+O62,-3),P62+M62))</f>
        <v/>
      </c>
      <c r="R62" s="37" t="str">
        <f aca="false">IF(B62="","",ROUNDDOWN(TIENAN_CONG*H62,-3))</f>
        <v/>
      </c>
      <c r="S62" s="37" t="str">
        <f aca="false">IF(B62="","",Q62+R62)</f>
        <v/>
      </c>
      <c r="T62" s="24"/>
    </row>
    <row r="63" customFormat="false" ht="15" hidden="false" customHeight="false" outlineLevel="0" collapsed="false">
      <c r="A63" s="24" t="str">
        <f aca="false">IF(B63="","",58)</f>
        <v/>
      </c>
      <c r="B63" s="34" t="str">
        <f aca="false">IF(BCC_KHOAN!B63="","",BCC_KHOAN!B63)</f>
        <v/>
      </c>
      <c r="C63" s="24" t="str">
        <f aca="false">IF(B63="","",IFERROR(INDEX(NV_TEN,MATCH(B63,NV_MA,0)),"MÃ KHÔNG CÓ"))</f>
        <v/>
      </c>
      <c r="D63" s="24" t="str">
        <f aca="false">IF(B63="","",IFERROR(INDEX(NV_HINHTHUC,MATCH(B63,NV_MA,0)),""))</f>
        <v/>
      </c>
      <c r="E63" s="35" t="str">
        <f aca="false">IF(D63="Khoán",IFERROR(INDEX(NV_HESO,MATCH(B63,NV_MA,0)),0),"")</f>
        <v/>
      </c>
      <c r="F63" s="20" t="str">
        <f aca="false">IF(D63="Khoán",IFERROR(INDEX(HS_SX!$B$5:$B$30,MATCH(E63,HS_SX!$A$5:$A$30,0)),0),"")</f>
        <v/>
      </c>
      <c r="G63" s="30" t="str">
        <f aca="false">IF(B63="","",IFERROR(INDEX(BCC_GIO,MATCH(B63,BCC_MA,0)),0))</f>
        <v/>
      </c>
      <c r="H63" s="31" t="str">
        <f aca="false">IF(B63="","",G63/GIO_CONG)</f>
        <v/>
      </c>
      <c r="I63" s="36" t="n">
        <f aca="false">IF(D63="Khoán",IF(GIO_TB&gt;0,G63/GIO_TB*KL_CHEBIEN,0),0)</f>
        <v>0</v>
      </c>
      <c r="J63" s="20" t="n">
        <f aca="false">IF(D63="Khoán",F63*I63,0)</f>
        <v>0</v>
      </c>
      <c r="K63" s="20" t="n">
        <f aca="false">IF(D63="Khoán",IF(TONG_GIO_KHOAN&gt;0,QUY_HANGING/TONG_GIO_KHOAN*G63,0),0)</f>
        <v>0</v>
      </c>
      <c r="L63" s="20" t="n">
        <f aca="false">IF(D63="Khoán",IF(TONG_GIO_KHOAN&gt;0,QUY_KHAC/TONG_GIO_KHOAN*G63,0),0)</f>
        <v>0</v>
      </c>
      <c r="M63" s="20" t="n">
        <f aca="false">IF(B63="",0,SUMIFS(KHOAN_KHAC!$F$5:$F$39,KHOAN_KHAC!$G$5:$G$39,B63))</f>
        <v>0</v>
      </c>
      <c r="N63" s="20" t="n">
        <f aca="false">IF(D63="Khoán",IF(TONG_GIO_KHOAN&gt;0,QUY_CHEN/TONG_GIO_KHOAN*G63,0),0)</f>
        <v>0</v>
      </c>
      <c r="O63" s="20" t="n">
        <f aca="false">IF(D63="Khoán",IF(TONG_GIO_KHOAN&gt;0,-TONG_CONGNHAT/TONG_GIO_KHOAN*G63,0),0)</f>
        <v>0</v>
      </c>
      <c r="P63" s="20" t="n">
        <f aca="false">IF(D63="Công nhật",H63*IFERROR(IF(INDEX(NV_DGCN,MATCH(B63,NV_MA,0))="",DG_CONGNHAT,INDEX(NV_DGCN,MATCH(B63,NV_MA,0))),DG_CONGNHAT),0)</f>
        <v>0</v>
      </c>
      <c r="Q63" s="37" t="str">
        <f aca="false">IF(B63="","",IF(D63="Khoán",ROUNDDOWN(J63+K63+L63+M63+N63+O63,-3),P63+M63))</f>
        <v/>
      </c>
      <c r="R63" s="37" t="str">
        <f aca="false">IF(B63="","",ROUNDDOWN(TIENAN_CONG*H63,-3))</f>
        <v/>
      </c>
      <c r="S63" s="37" t="str">
        <f aca="false">IF(B63="","",Q63+R63)</f>
        <v/>
      </c>
      <c r="T63" s="24"/>
    </row>
    <row r="64" customFormat="false" ht="15" hidden="false" customHeight="false" outlineLevel="0" collapsed="false">
      <c r="A64" s="24" t="str">
        <f aca="false">IF(B64="","",59)</f>
        <v/>
      </c>
      <c r="B64" s="34" t="str">
        <f aca="false">IF(BCC_KHOAN!B64="","",BCC_KHOAN!B64)</f>
        <v/>
      </c>
      <c r="C64" s="24" t="str">
        <f aca="false">IF(B64="","",IFERROR(INDEX(NV_TEN,MATCH(B64,NV_MA,0)),"MÃ KHÔNG CÓ"))</f>
        <v/>
      </c>
      <c r="D64" s="24" t="str">
        <f aca="false">IF(B64="","",IFERROR(INDEX(NV_HINHTHUC,MATCH(B64,NV_MA,0)),""))</f>
        <v/>
      </c>
      <c r="E64" s="35" t="str">
        <f aca="false">IF(D64="Khoán",IFERROR(INDEX(NV_HESO,MATCH(B64,NV_MA,0)),0),"")</f>
        <v/>
      </c>
      <c r="F64" s="20" t="str">
        <f aca="false">IF(D64="Khoán",IFERROR(INDEX(HS_SX!$B$5:$B$30,MATCH(E64,HS_SX!$A$5:$A$30,0)),0),"")</f>
        <v/>
      </c>
      <c r="G64" s="30" t="str">
        <f aca="false">IF(B64="","",IFERROR(INDEX(BCC_GIO,MATCH(B64,BCC_MA,0)),0))</f>
        <v/>
      </c>
      <c r="H64" s="31" t="str">
        <f aca="false">IF(B64="","",G64/GIO_CONG)</f>
        <v/>
      </c>
      <c r="I64" s="36" t="n">
        <f aca="false">IF(D64="Khoán",IF(GIO_TB&gt;0,G64/GIO_TB*KL_CHEBIEN,0),0)</f>
        <v>0</v>
      </c>
      <c r="J64" s="20" t="n">
        <f aca="false">IF(D64="Khoán",F64*I64,0)</f>
        <v>0</v>
      </c>
      <c r="K64" s="20" t="n">
        <f aca="false">IF(D64="Khoán",IF(TONG_GIO_KHOAN&gt;0,QUY_HANGING/TONG_GIO_KHOAN*G64,0),0)</f>
        <v>0</v>
      </c>
      <c r="L64" s="20" t="n">
        <f aca="false">IF(D64="Khoán",IF(TONG_GIO_KHOAN&gt;0,QUY_KHAC/TONG_GIO_KHOAN*G64,0),0)</f>
        <v>0</v>
      </c>
      <c r="M64" s="20" t="n">
        <f aca="false">IF(B64="",0,SUMIFS(KHOAN_KHAC!$F$5:$F$39,KHOAN_KHAC!$G$5:$G$39,B64))</f>
        <v>0</v>
      </c>
      <c r="N64" s="20" t="n">
        <f aca="false">IF(D64="Khoán",IF(TONG_GIO_KHOAN&gt;0,QUY_CHEN/TONG_GIO_KHOAN*G64,0),0)</f>
        <v>0</v>
      </c>
      <c r="O64" s="20" t="n">
        <f aca="false">IF(D64="Khoán",IF(TONG_GIO_KHOAN&gt;0,-TONG_CONGNHAT/TONG_GIO_KHOAN*G64,0),0)</f>
        <v>0</v>
      </c>
      <c r="P64" s="20" t="n">
        <f aca="false">IF(D64="Công nhật",H64*IFERROR(IF(INDEX(NV_DGCN,MATCH(B64,NV_MA,0))="",DG_CONGNHAT,INDEX(NV_DGCN,MATCH(B64,NV_MA,0))),DG_CONGNHAT),0)</f>
        <v>0</v>
      </c>
      <c r="Q64" s="37" t="str">
        <f aca="false">IF(B64="","",IF(D64="Khoán",ROUNDDOWN(J64+K64+L64+M64+N64+O64,-3),P64+M64))</f>
        <v/>
      </c>
      <c r="R64" s="37" t="str">
        <f aca="false">IF(B64="","",ROUNDDOWN(TIENAN_CONG*H64,-3))</f>
        <v/>
      </c>
      <c r="S64" s="37" t="str">
        <f aca="false">IF(B64="","",Q64+R64)</f>
        <v/>
      </c>
      <c r="T64" s="24"/>
    </row>
    <row r="65" customFormat="false" ht="15" hidden="false" customHeight="false" outlineLevel="0" collapsed="false">
      <c r="A65" s="24" t="str">
        <f aca="false">IF(B65="","",60)</f>
        <v/>
      </c>
      <c r="B65" s="34" t="str">
        <f aca="false">IF(BCC_KHOAN!B65="","",BCC_KHOAN!B65)</f>
        <v/>
      </c>
      <c r="C65" s="24" t="str">
        <f aca="false">IF(B65="","",IFERROR(INDEX(NV_TEN,MATCH(B65,NV_MA,0)),"MÃ KHÔNG CÓ"))</f>
        <v/>
      </c>
      <c r="D65" s="24" t="str">
        <f aca="false">IF(B65="","",IFERROR(INDEX(NV_HINHTHUC,MATCH(B65,NV_MA,0)),""))</f>
        <v/>
      </c>
      <c r="E65" s="35" t="str">
        <f aca="false">IF(D65="Khoán",IFERROR(INDEX(NV_HESO,MATCH(B65,NV_MA,0)),0),"")</f>
        <v/>
      </c>
      <c r="F65" s="20" t="str">
        <f aca="false">IF(D65="Khoán",IFERROR(INDEX(HS_SX!$B$5:$B$30,MATCH(E65,HS_SX!$A$5:$A$30,0)),0),"")</f>
        <v/>
      </c>
      <c r="G65" s="30" t="str">
        <f aca="false">IF(B65="","",IFERROR(INDEX(BCC_GIO,MATCH(B65,BCC_MA,0)),0))</f>
        <v/>
      </c>
      <c r="H65" s="31" t="str">
        <f aca="false">IF(B65="","",G65/GIO_CONG)</f>
        <v/>
      </c>
      <c r="I65" s="36" t="n">
        <f aca="false">IF(D65="Khoán",IF(GIO_TB&gt;0,G65/GIO_TB*KL_CHEBIEN,0),0)</f>
        <v>0</v>
      </c>
      <c r="J65" s="20" t="n">
        <f aca="false">IF(D65="Khoán",F65*I65,0)</f>
        <v>0</v>
      </c>
      <c r="K65" s="20" t="n">
        <f aca="false">IF(D65="Khoán",IF(TONG_GIO_KHOAN&gt;0,QUY_HANGING/TONG_GIO_KHOAN*G65,0),0)</f>
        <v>0</v>
      </c>
      <c r="L65" s="20" t="n">
        <f aca="false">IF(D65="Khoán",IF(TONG_GIO_KHOAN&gt;0,QUY_KHAC/TONG_GIO_KHOAN*G65,0),0)</f>
        <v>0</v>
      </c>
      <c r="M65" s="20" t="n">
        <f aca="false">IF(B65="",0,SUMIFS(KHOAN_KHAC!$F$5:$F$39,KHOAN_KHAC!$G$5:$G$39,B65))</f>
        <v>0</v>
      </c>
      <c r="N65" s="20" t="n">
        <f aca="false">IF(D65="Khoán",IF(TONG_GIO_KHOAN&gt;0,QUY_CHEN/TONG_GIO_KHOAN*G65,0),0)</f>
        <v>0</v>
      </c>
      <c r="O65" s="20" t="n">
        <f aca="false">IF(D65="Khoán",IF(TONG_GIO_KHOAN&gt;0,-TONG_CONGNHAT/TONG_GIO_KHOAN*G65,0),0)</f>
        <v>0</v>
      </c>
      <c r="P65" s="20" t="n">
        <f aca="false">IF(D65="Công nhật",H65*IFERROR(IF(INDEX(NV_DGCN,MATCH(B65,NV_MA,0))="",DG_CONGNHAT,INDEX(NV_DGCN,MATCH(B65,NV_MA,0))),DG_CONGNHAT),0)</f>
        <v>0</v>
      </c>
      <c r="Q65" s="37" t="str">
        <f aca="false">IF(B65="","",IF(D65="Khoán",ROUNDDOWN(J65+K65+L65+M65+N65+O65,-3),P65+M65))</f>
        <v/>
      </c>
      <c r="R65" s="37" t="str">
        <f aca="false">IF(B65="","",ROUNDDOWN(TIENAN_CONG*H65,-3))</f>
        <v/>
      </c>
      <c r="S65" s="37" t="str">
        <f aca="false">IF(B65="","",Q65+R65)</f>
        <v/>
      </c>
      <c r="T65" s="24"/>
    </row>
    <row r="66" customFormat="false" ht="15" hidden="false" customHeight="false" outlineLevel="0" collapsed="false">
      <c r="A66" s="24" t="str">
        <f aca="false">IF(B66="","",61)</f>
        <v/>
      </c>
      <c r="B66" s="34" t="str">
        <f aca="false">IF(BCC_KHOAN!B66="","",BCC_KHOAN!B66)</f>
        <v/>
      </c>
      <c r="C66" s="24" t="str">
        <f aca="false">IF(B66="","",IFERROR(INDEX(NV_TEN,MATCH(B66,NV_MA,0)),"MÃ KHÔNG CÓ"))</f>
        <v/>
      </c>
      <c r="D66" s="24" t="str">
        <f aca="false">IF(B66="","",IFERROR(INDEX(NV_HINHTHUC,MATCH(B66,NV_MA,0)),""))</f>
        <v/>
      </c>
      <c r="E66" s="35" t="str">
        <f aca="false">IF(D66="Khoán",IFERROR(INDEX(NV_HESO,MATCH(B66,NV_MA,0)),0),"")</f>
        <v/>
      </c>
      <c r="F66" s="20" t="str">
        <f aca="false">IF(D66="Khoán",IFERROR(INDEX(HS_SX!$B$5:$B$30,MATCH(E66,HS_SX!$A$5:$A$30,0)),0),"")</f>
        <v/>
      </c>
      <c r="G66" s="30" t="str">
        <f aca="false">IF(B66="","",IFERROR(INDEX(BCC_GIO,MATCH(B66,BCC_MA,0)),0))</f>
        <v/>
      </c>
      <c r="H66" s="31" t="str">
        <f aca="false">IF(B66="","",G66/GIO_CONG)</f>
        <v/>
      </c>
      <c r="I66" s="36" t="n">
        <f aca="false">IF(D66="Khoán",IF(GIO_TB&gt;0,G66/GIO_TB*KL_CHEBIEN,0),0)</f>
        <v>0</v>
      </c>
      <c r="J66" s="20" t="n">
        <f aca="false">IF(D66="Khoán",F66*I66,0)</f>
        <v>0</v>
      </c>
      <c r="K66" s="20" t="n">
        <f aca="false">IF(D66="Khoán",IF(TONG_GIO_KHOAN&gt;0,QUY_HANGING/TONG_GIO_KHOAN*G66,0),0)</f>
        <v>0</v>
      </c>
      <c r="L66" s="20" t="n">
        <f aca="false">IF(D66="Khoán",IF(TONG_GIO_KHOAN&gt;0,QUY_KHAC/TONG_GIO_KHOAN*G66,0),0)</f>
        <v>0</v>
      </c>
      <c r="M66" s="20" t="n">
        <f aca="false">IF(B66="",0,SUMIFS(KHOAN_KHAC!$F$5:$F$39,KHOAN_KHAC!$G$5:$G$39,B66))</f>
        <v>0</v>
      </c>
      <c r="N66" s="20" t="n">
        <f aca="false">IF(D66="Khoán",IF(TONG_GIO_KHOAN&gt;0,QUY_CHEN/TONG_GIO_KHOAN*G66,0),0)</f>
        <v>0</v>
      </c>
      <c r="O66" s="20" t="n">
        <f aca="false">IF(D66="Khoán",IF(TONG_GIO_KHOAN&gt;0,-TONG_CONGNHAT/TONG_GIO_KHOAN*G66,0),0)</f>
        <v>0</v>
      </c>
      <c r="P66" s="20" t="n">
        <f aca="false">IF(D66="Công nhật",H66*IFERROR(IF(INDEX(NV_DGCN,MATCH(B66,NV_MA,0))="",DG_CONGNHAT,INDEX(NV_DGCN,MATCH(B66,NV_MA,0))),DG_CONGNHAT),0)</f>
        <v>0</v>
      </c>
      <c r="Q66" s="37" t="str">
        <f aca="false">IF(B66="","",IF(D66="Khoán",ROUNDDOWN(J66+K66+L66+M66+N66+O66,-3),P66+M66))</f>
        <v/>
      </c>
      <c r="R66" s="37" t="str">
        <f aca="false">IF(B66="","",ROUNDDOWN(TIENAN_CONG*H66,-3))</f>
        <v/>
      </c>
      <c r="S66" s="37" t="str">
        <f aca="false">IF(B66="","",Q66+R66)</f>
        <v/>
      </c>
      <c r="T66" s="24"/>
    </row>
    <row r="67" customFormat="false" ht="15" hidden="false" customHeight="false" outlineLevel="0" collapsed="false">
      <c r="A67" s="24" t="str">
        <f aca="false">IF(B67="","",62)</f>
        <v/>
      </c>
      <c r="B67" s="34" t="str">
        <f aca="false">IF(BCC_KHOAN!B67="","",BCC_KHOAN!B67)</f>
        <v/>
      </c>
      <c r="C67" s="24" t="str">
        <f aca="false">IF(B67="","",IFERROR(INDEX(NV_TEN,MATCH(B67,NV_MA,0)),"MÃ KHÔNG CÓ"))</f>
        <v/>
      </c>
      <c r="D67" s="24" t="str">
        <f aca="false">IF(B67="","",IFERROR(INDEX(NV_HINHTHUC,MATCH(B67,NV_MA,0)),""))</f>
        <v/>
      </c>
      <c r="E67" s="35" t="str">
        <f aca="false">IF(D67="Khoán",IFERROR(INDEX(NV_HESO,MATCH(B67,NV_MA,0)),0),"")</f>
        <v/>
      </c>
      <c r="F67" s="20" t="str">
        <f aca="false">IF(D67="Khoán",IFERROR(INDEX(HS_SX!$B$5:$B$30,MATCH(E67,HS_SX!$A$5:$A$30,0)),0),"")</f>
        <v/>
      </c>
      <c r="G67" s="30" t="str">
        <f aca="false">IF(B67="","",IFERROR(INDEX(BCC_GIO,MATCH(B67,BCC_MA,0)),0))</f>
        <v/>
      </c>
      <c r="H67" s="31" t="str">
        <f aca="false">IF(B67="","",G67/GIO_CONG)</f>
        <v/>
      </c>
      <c r="I67" s="36" t="n">
        <f aca="false">IF(D67="Khoán",IF(GIO_TB&gt;0,G67/GIO_TB*KL_CHEBIEN,0),0)</f>
        <v>0</v>
      </c>
      <c r="J67" s="20" t="n">
        <f aca="false">IF(D67="Khoán",F67*I67,0)</f>
        <v>0</v>
      </c>
      <c r="K67" s="20" t="n">
        <f aca="false">IF(D67="Khoán",IF(TONG_GIO_KHOAN&gt;0,QUY_HANGING/TONG_GIO_KHOAN*G67,0),0)</f>
        <v>0</v>
      </c>
      <c r="L67" s="20" t="n">
        <f aca="false">IF(D67="Khoán",IF(TONG_GIO_KHOAN&gt;0,QUY_KHAC/TONG_GIO_KHOAN*G67,0),0)</f>
        <v>0</v>
      </c>
      <c r="M67" s="20" t="n">
        <f aca="false">IF(B67="",0,SUMIFS(KHOAN_KHAC!$F$5:$F$39,KHOAN_KHAC!$G$5:$G$39,B67))</f>
        <v>0</v>
      </c>
      <c r="N67" s="20" t="n">
        <f aca="false">IF(D67="Khoán",IF(TONG_GIO_KHOAN&gt;0,QUY_CHEN/TONG_GIO_KHOAN*G67,0),0)</f>
        <v>0</v>
      </c>
      <c r="O67" s="20" t="n">
        <f aca="false">IF(D67="Khoán",IF(TONG_GIO_KHOAN&gt;0,-TONG_CONGNHAT/TONG_GIO_KHOAN*G67,0),0)</f>
        <v>0</v>
      </c>
      <c r="P67" s="20" t="n">
        <f aca="false">IF(D67="Công nhật",H67*IFERROR(IF(INDEX(NV_DGCN,MATCH(B67,NV_MA,0))="",DG_CONGNHAT,INDEX(NV_DGCN,MATCH(B67,NV_MA,0))),DG_CONGNHAT),0)</f>
        <v>0</v>
      </c>
      <c r="Q67" s="37" t="str">
        <f aca="false">IF(B67="","",IF(D67="Khoán",ROUNDDOWN(J67+K67+L67+M67+N67+O67,-3),P67+M67))</f>
        <v/>
      </c>
      <c r="R67" s="37" t="str">
        <f aca="false">IF(B67="","",ROUNDDOWN(TIENAN_CONG*H67,-3))</f>
        <v/>
      </c>
      <c r="S67" s="37" t="str">
        <f aca="false">IF(B67="","",Q67+R67)</f>
        <v/>
      </c>
      <c r="T67" s="24"/>
    </row>
    <row r="68" customFormat="false" ht="15" hidden="false" customHeight="false" outlineLevel="0" collapsed="false">
      <c r="A68" s="24" t="str">
        <f aca="false">IF(B68="","",63)</f>
        <v/>
      </c>
      <c r="B68" s="34" t="str">
        <f aca="false">IF(BCC_KHOAN!B68="","",BCC_KHOAN!B68)</f>
        <v/>
      </c>
      <c r="C68" s="24" t="str">
        <f aca="false">IF(B68="","",IFERROR(INDEX(NV_TEN,MATCH(B68,NV_MA,0)),"MÃ KHÔNG CÓ"))</f>
        <v/>
      </c>
      <c r="D68" s="24" t="str">
        <f aca="false">IF(B68="","",IFERROR(INDEX(NV_HINHTHUC,MATCH(B68,NV_MA,0)),""))</f>
        <v/>
      </c>
      <c r="E68" s="35" t="str">
        <f aca="false">IF(D68="Khoán",IFERROR(INDEX(NV_HESO,MATCH(B68,NV_MA,0)),0),"")</f>
        <v/>
      </c>
      <c r="F68" s="20" t="str">
        <f aca="false">IF(D68="Khoán",IFERROR(INDEX(HS_SX!$B$5:$B$30,MATCH(E68,HS_SX!$A$5:$A$30,0)),0),"")</f>
        <v/>
      </c>
      <c r="G68" s="30" t="str">
        <f aca="false">IF(B68="","",IFERROR(INDEX(BCC_GIO,MATCH(B68,BCC_MA,0)),0))</f>
        <v/>
      </c>
      <c r="H68" s="31" t="str">
        <f aca="false">IF(B68="","",G68/GIO_CONG)</f>
        <v/>
      </c>
      <c r="I68" s="36" t="n">
        <f aca="false">IF(D68="Khoán",IF(GIO_TB&gt;0,G68/GIO_TB*KL_CHEBIEN,0),0)</f>
        <v>0</v>
      </c>
      <c r="J68" s="20" t="n">
        <f aca="false">IF(D68="Khoán",F68*I68,0)</f>
        <v>0</v>
      </c>
      <c r="K68" s="20" t="n">
        <f aca="false">IF(D68="Khoán",IF(TONG_GIO_KHOAN&gt;0,QUY_HANGING/TONG_GIO_KHOAN*G68,0),0)</f>
        <v>0</v>
      </c>
      <c r="L68" s="20" t="n">
        <f aca="false">IF(D68="Khoán",IF(TONG_GIO_KHOAN&gt;0,QUY_KHAC/TONG_GIO_KHOAN*G68,0),0)</f>
        <v>0</v>
      </c>
      <c r="M68" s="20" t="n">
        <f aca="false">IF(B68="",0,SUMIFS(KHOAN_KHAC!$F$5:$F$39,KHOAN_KHAC!$G$5:$G$39,B68))</f>
        <v>0</v>
      </c>
      <c r="N68" s="20" t="n">
        <f aca="false">IF(D68="Khoán",IF(TONG_GIO_KHOAN&gt;0,QUY_CHEN/TONG_GIO_KHOAN*G68,0),0)</f>
        <v>0</v>
      </c>
      <c r="O68" s="20" t="n">
        <f aca="false">IF(D68="Khoán",IF(TONG_GIO_KHOAN&gt;0,-TONG_CONGNHAT/TONG_GIO_KHOAN*G68,0),0)</f>
        <v>0</v>
      </c>
      <c r="P68" s="20" t="n">
        <f aca="false">IF(D68="Công nhật",H68*IFERROR(IF(INDEX(NV_DGCN,MATCH(B68,NV_MA,0))="",DG_CONGNHAT,INDEX(NV_DGCN,MATCH(B68,NV_MA,0))),DG_CONGNHAT),0)</f>
        <v>0</v>
      </c>
      <c r="Q68" s="37" t="str">
        <f aca="false">IF(B68="","",IF(D68="Khoán",ROUNDDOWN(J68+K68+L68+M68+N68+O68,-3),P68+M68))</f>
        <v/>
      </c>
      <c r="R68" s="37" t="str">
        <f aca="false">IF(B68="","",ROUNDDOWN(TIENAN_CONG*H68,-3))</f>
        <v/>
      </c>
      <c r="S68" s="37" t="str">
        <f aca="false">IF(B68="","",Q68+R68)</f>
        <v/>
      </c>
      <c r="T68" s="24"/>
    </row>
    <row r="69" customFormat="false" ht="15" hidden="false" customHeight="false" outlineLevel="0" collapsed="false">
      <c r="A69" s="24" t="str">
        <f aca="false">IF(B69="","",64)</f>
        <v/>
      </c>
      <c r="B69" s="34" t="str">
        <f aca="false">IF(BCC_KHOAN!B69="","",BCC_KHOAN!B69)</f>
        <v/>
      </c>
      <c r="C69" s="24" t="str">
        <f aca="false">IF(B69="","",IFERROR(INDEX(NV_TEN,MATCH(B69,NV_MA,0)),"MÃ KHÔNG CÓ"))</f>
        <v/>
      </c>
      <c r="D69" s="24" t="str">
        <f aca="false">IF(B69="","",IFERROR(INDEX(NV_HINHTHUC,MATCH(B69,NV_MA,0)),""))</f>
        <v/>
      </c>
      <c r="E69" s="35" t="str">
        <f aca="false">IF(D69="Khoán",IFERROR(INDEX(NV_HESO,MATCH(B69,NV_MA,0)),0),"")</f>
        <v/>
      </c>
      <c r="F69" s="20" t="str">
        <f aca="false">IF(D69="Khoán",IFERROR(INDEX(HS_SX!$B$5:$B$30,MATCH(E69,HS_SX!$A$5:$A$30,0)),0),"")</f>
        <v/>
      </c>
      <c r="G69" s="30" t="str">
        <f aca="false">IF(B69="","",IFERROR(INDEX(BCC_GIO,MATCH(B69,BCC_MA,0)),0))</f>
        <v/>
      </c>
      <c r="H69" s="31" t="str">
        <f aca="false">IF(B69="","",G69/GIO_CONG)</f>
        <v/>
      </c>
      <c r="I69" s="36" t="n">
        <f aca="false">IF(D69="Khoán",IF(GIO_TB&gt;0,G69/GIO_TB*KL_CHEBIEN,0),0)</f>
        <v>0</v>
      </c>
      <c r="J69" s="20" t="n">
        <f aca="false">IF(D69="Khoán",F69*I69,0)</f>
        <v>0</v>
      </c>
      <c r="K69" s="20" t="n">
        <f aca="false">IF(D69="Khoán",IF(TONG_GIO_KHOAN&gt;0,QUY_HANGING/TONG_GIO_KHOAN*G69,0),0)</f>
        <v>0</v>
      </c>
      <c r="L69" s="20" t="n">
        <f aca="false">IF(D69="Khoán",IF(TONG_GIO_KHOAN&gt;0,QUY_KHAC/TONG_GIO_KHOAN*G69,0),0)</f>
        <v>0</v>
      </c>
      <c r="M69" s="20" t="n">
        <f aca="false">IF(B69="",0,SUMIFS(KHOAN_KHAC!$F$5:$F$39,KHOAN_KHAC!$G$5:$G$39,B69))</f>
        <v>0</v>
      </c>
      <c r="N69" s="20" t="n">
        <f aca="false">IF(D69="Khoán",IF(TONG_GIO_KHOAN&gt;0,QUY_CHEN/TONG_GIO_KHOAN*G69,0),0)</f>
        <v>0</v>
      </c>
      <c r="O69" s="20" t="n">
        <f aca="false">IF(D69="Khoán",IF(TONG_GIO_KHOAN&gt;0,-TONG_CONGNHAT/TONG_GIO_KHOAN*G69,0),0)</f>
        <v>0</v>
      </c>
      <c r="P69" s="20" t="n">
        <f aca="false">IF(D69="Công nhật",H69*IFERROR(IF(INDEX(NV_DGCN,MATCH(B69,NV_MA,0))="",DG_CONGNHAT,INDEX(NV_DGCN,MATCH(B69,NV_MA,0))),DG_CONGNHAT),0)</f>
        <v>0</v>
      </c>
      <c r="Q69" s="37" t="str">
        <f aca="false">IF(B69="","",IF(D69="Khoán",ROUNDDOWN(J69+K69+L69+M69+N69+O69,-3),P69+M69))</f>
        <v/>
      </c>
      <c r="R69" s="37" t="str">
        <f aca="false">IF(B69="","",ROUNDDOWN(TIENAN_CONG*H69,-3))</f>
        <v/>
      </c>
      <c r="S69" s="37" t="str">
        <f aca="false">IF(B69="","",Q69+R69)</f>
        <v/>
      </c>
      <c r="T69" s="24"/>
    </row>
    <row r="70" customFormat="false" ht="15" hidden="false" customHeight="false" outlineLevel="0" collapsed="false">
      <c r="A70" s="24" t="str">
        <f aca="false">IF(B70="","",65)</f>
        <v/>
      </c>
      <c r="B70" s="34" t="str">
        <f aca="false">IF(BCC_KHOAN!B70="","",BCC_KHOAN!B70)</f>
        <v/>
      </c>
      <c r="C70" s="24" t="str">
        <f aca="false">IF(B70="","",IFERROR(INDEX(NV_TEN,MATCH(B70,NV_MA,0)),"MÃ KHÔNG CÓ"))</f>
        <v/>
      </c>
      <c r="D70" s="24" t="str">
        <f aca="false">IF(B70="","",IFERROR(INDEX(NV_HINHTHUC,MATCH(B70,NV_MA,0)),""))</f>
        <v/>
      </c>
      <c r="E70" s="35" t="str">
        <f aca="false">IF(D70="Khoán",IFERROR(INDEX(NV_HESO,MATCH(B70,NV_MA,0)),0),"")</f>
        <v/>
      </c>
      <c r="F70" s="20" t="str">
        <f aca="false">IF(D70="Khoán",IFERROR(INDEX(HS_SX!$B$5:$B$30,MATCH(E70,HS_SX!$A$5:$A$30,0)),0),"")</f>
        <v/>
      </c>
      <c r="G70" s="30" t="str">
        <f aca="false">IF(B70="","",IFERROR(INDEX(BCC_GIO,MATCH(B70,BCC_MA,0)),0))</f>
        <v/>
      </c>
      <c r="H70" s="31" t="str">
        <f aca="false">IF(B70="","",G70/GIO_CONG)</f>
        <v/>
      </c>
      <c r="I70" s="36" t="n">
        <f aca="false">IF(D70="Khoán",IF(GIO_TB&gt;0,G70/GIO_TB*KL_CHEBIEN,0),0)</f>
        <v>0</v>
      </c>
      <c r="J70" s="20" t="n">
        <f aca="false">IF(D70="Khoán",F70*I70,0)</f>
        <v>0</v>
      </c>
      <c r="K70" s="20" t="n">
        <f aca="false">IF(D70="Khoán",IF(TONG_GIO_KHOAN&gt;0,QUY_HANGING/TONG_GIO_KHOAN*G70,0),0)</f>
        <v>0</v>
      </c>
      <c r="L70" s="20" t="n">
        <f aca="false">IF(D70="Khoán",IF(TONG_GIO_KHOAN&gt;0,QUY_KHAC/TONG_GIO_KHOAN*G70,0),0)</f>
        <v>0</v>
      </c>
      <c r="M70" s="20" t="n">
        <f aca="false">IF(B70="",0,SUMIFS(KHOAN_KHAC!$F$5:$F$39,KHOAN_KHAC!$G$5:$G$39,B70))</f>
        <v>0</v>
      </c>
      <c r="N70" s="20" t="n">
        <f aca="false">IF(D70="Khoán",IF(TONG_GIO_KHOAN&gt;0,QUY_CHEN/TONG_GIO_KHOAN*G70,0),0)</f>
        <v>0</v>
      </c>
      <c r="O70" s="20" t="n">
        <f aca="false">IF(D70="Khoán",IF(TONG_GIO_KHOAN&gt;0,-TONG_CONGNHAT/TONG_GIO_KHOAN*G70,0),0)</f>
        <v>0</v>
      </c>
      <c r="P70" s="20" t="n">
        <f aca="false">IF(D70="Công nhật",H70*IFERROR(IF(INDEX(NV_DGCN,MATCH(B70,NV_MA,0))="",DG_CONGNHAT,INDEX(NV_DGCN,MATCH(B70,NV_MA,0))),DG_CONGNHAT),0)</f>
        <v>0</v>
      </c>
      <c r="Q70" s="37" t="str">
        <f aca="false">IF(B70="","",IF(D70="Khoán",ROUNDDOWN(J70+K70+L70+M70+N70+O70,-3),P70+M70))</f>
        <v/>
      </c>
      <c r="R70" s="37" t="str">
        <f aca="false">IF(B70="","",ROUNDDOWN(TIENAN_CONG*H70,-3))</f>
        <v/>
      </c>
      <c r="S70" s="37" t="str">
        <f aca="false">IF(B70="","",Q70+R70)</f>
        <v/>
      </c>
      <c r="T70" s="24"/>
    </row>
    <row r="71" customFormat="false" ht="15" hidden="false" customHeight="false" outlineLevel="0" collapsed="false">
      <c r="A71" s="24" t="str">
        <f aca="false">IF(B71="","",66)</f>
        <v/>
      </c>
      <c r="B71" s="34" t="str">
        <f aca="false">IF(BCC_KHOAN!B71="","",BCC_KHOAN!B71)</f>
        <v/>
      </c>
      <c r="C71" s="24" t="str">
        <f aca="false">IF(B71="","",IFERROR(INDEX(NV_TEN,MATCH(B71,NV_MA,0)),"MÃ KHÔNG CÓ"))</f>
        <v/>
      </c>
      <c r="D71" s="24" t="str">
        <f aca="false">IF(B71="","",IFERROR(INDEX(NV_HINHTHUC,MATCH(B71,NV_MA,0)),""))</f>
        <v/>
      </c>
      <c r="E71" s="35" t="str">
        <f aca="false">IF(D71="Khoán",IFERROR(INDEX(NV_HESO,MATCH(B71,NV_MA,0)),0),"")</f>
        <v/>
      </c>
      <c r="F71" s="20" t="str">
        <f aca="false">IF(D71="Khoán",IFERROR(INDEX(HS_SX!$B$5:$B$30,MATCH(E71,HS_SX!$A$5:$A$30,0)),0),"")</f>
        <v/>
      </c>
      <c r="G71" s="30" t="str">
        <f aca="false">IF(B71="","",IFERROR(INDEX(BCC_GIO,MATCH(B71,BCC_MA,0)),0))</f>
        <v/>
      </c>
      <c r="H71" s="31" t="str">
        <f aca="false">IF(B71="","",G71/GIO_CONG)</f>
        <v/>
      </c>
      <c r="I71" s="36" t="n">
        <f aca="false">IF(D71="Khoán",IF(GIO_TB&gt;0,G71/GIO_TB*KL_CHEBIEN,0),0)</f>
        <v>0</v>
      </c>
      <c r="J71" s="20" t="n">
        <f aca="false">IF(D71="Khoán",F71*I71,0)</f>
        <v>0</v>
      </c>
      <c r="K71" s="20" t="n">
        <f aca="false">IF(D71="Khoán",IF(TONG_GIO_KHOAN&gt;0,QUY_HANGING/TONG_GIO_KHOAN*G71,0),0)</f>
        <v>0</v>
      </c>
      <c r="L71" s="20" t="n">
        <f aca="false">IF(D71="Khoán",IF(TONG_GIO_KHOAN&gt;0,QUY_KHAC/TONG_GIO_KHOAN*G71,0),0)</f>
        <v>0</v>
      </c>
      <c r="M71" s="20" t="n">
        <f aca="false">IF(B71="",0,SUMIFS(KHOAN_KHAC!$F$5:$F$39,KHOAN_KHAC!$G$5:$G$39,B71))</f>
        <v>0</v>
      </c>
      <c r="N71" s="20" t="n">
        <f aca="false">IF(D71="Khoán",IF(TONG_GIO_KHOAN&gt;0,QUY_CHEN/TONG_GIO_KHOAN*G71,0),0)</f>
        <v>0</v>
      </c>
      <c r="O71" s="20" t="n">
        <f aca="false">IF(D71="Khoán",IF(TONG_GIO_KHOAN&gt;0,-TONG_CONGNHAT/TONG_GIO_KHOAN*G71,0),0)</f>
        <v>0</v>
      </c>
      <c r="P71" s="20" t="n">
        <f aca="false">IF(D71="Công nhật",H71*IFERROR(IF(INDEX(NV_DGCN,MATCH(B71,NV_MA,0))="",DG_CONGNHAT,INDEX(NV_DGCN,MATCH(B71,NV_MA,0))),DG_CONGNHAT),0)</f>
        <v>0</v>
      </c>
      <c r="Q71" s="37" t="str">
        <f aca="false">IF(B71="","",IF(D71="Khoán",ROUNDDOWN(J71+K71+L71+M71+N71+O71,-3),P71+M71))</f>
        <v/>
      </c>
      <c r="R71" s="37" t="str">
        <f aca="false">IF(B71="","",ROUNDDOWN(TIENAN_CONG*H71,-3))</f>
        <v/>
      </c>
      <c r="S71" s="37" t="str">
        <f aca="false">IF(B71="","",Q71+R71)</f>
        <v/>
      </c>
      <c r="T71" s="24"/>
    </row>
    <row r="72" customFormat="false" ht="15" hidden="false" customHeight="false" outlineLevel="0" collapsed="false">
      <c r="A72" s="24" t="str">
        <f aca="false">IF(B72="","",67)</f>
        <v/>
      </c>
      <c r="B72" s="34" t="str">
        <f aca="false">IF(BCC_KHOAN!B72="","",BCC_KHOAN!B72)</f>
        <v/>
      </c>
      <c r="C72" s="24" t="str">
        <f aca="false">IF(B72="","",IFERROR(INDEX(NV_TEN,MATCH(B72,NV_MA,0)),"MÃ KHÔNG CÓ"))</f>
        <v/>
      </c>
      <c r="D72" s="24" t="str">
        <f aca="false">IF(B72="","",IFERROR(INDEX(NV_HINHTHUC,MATCH(B72,NV_MA,0)),""))</f>
        <v/>
      </c>
      <c r="E72" s="35" t="str">
        <f aca="false">IF(D72="Khoán",IFERROR(INDEX(NV_HESO,MATCH(B72,NV_MA,0)),0),"")</f>
        <v/>
      </c>
      <c r="F72" s="20" t="str">
        <f aca="false">IF(D72="Khoán",IFERROR(INDEX(HS_SX!$B$5:$B$30,MATCH(E72,HS_SX!$A$5:$A$30,0)),0),"")</f>
        <v/>
      </c>
      <c r="G72" s="30" t="str">
        <f aca="false">IF(B72="","",IFERROR(INDEX(BCC_GIO,MATCH(B72,BCC_MA,0)),0))</f>
        <v/>
      </c>
      <c r="H72" s="31" t="str">
        <f aca="false">IF(B72="","",G72/GIO_CONG)</f>
        <v/>
      </c>
      <c r="I72" s="36" t="n">
        <f aca="false">IF(D72="Khoán",IF(GIO_TB&gt;0,G72/GIO_TB*KL_CHEBIEN,0),0)</f>
        <v>0</v>
      </c>
      <c r="J72" s="20" t="n">
        <f aca="false">IF(D72="Khoán",F72*I72,0)</f>
        <v>0</v>
      </c>
      <c r="K72" s="20" t="n">
        <f aca="false">IF(D72="Khoán",IF(TONG_GIO_KHOAN&gt;0,QUY_HANGING/TONG_GIO_KHOAN*G72,0),0)</f>
        <v>0</v>
      </c>
      <c r="L72" s="20" t="n">
        <f aca="false">IF(D72="Khoán",IF(TONG_GIO_KHOAN&gt;0,QUY_KHAC/TONG_GIO_KHOAN*G72,0),0)</f>
        <v>0</v>
      </c>
      <c r="M72" s="20" t="n">
        <f aca="false">IF(B72="",0,SUMIFS(KHOAN_KHAC!$F$5:$F$39,KHOAN_KHAC!$G$5:$G$39,B72))</f>
        <v>0</v>
      </c>
      <c r="N72" s="20" t="n">
        <f aca="false">IF(D72="Khoán",IF(TONG_GIO_KHOAN&gt;0,QUY_CHEN/TONG_GIO_KHOAN*G72,0),0)</f>
        <v>0</v>
      </c>
      <c r="O72" s="20" t="n">
        <f aca="false">IF(D72="Khoán",IF(TONG_GIO_KHOAN&gt;0,-TONG_CONGNHAT/TONG_GIO_KHOAN*G72,0),0)</f>
        <v>0</v>
      </c>
      <c r="P72" s="20" t="n">
        <f aca="false">IF(D72="Công nhật",H72*IFERROR(IF(INDEX(NV_DGCN,MATCH(B72,NV_MA,0))="",DG_CONGNHAT,INDEX(NV_DGCN,MATCH(B72,NV_MA,0))),DG_CONGNHAT),0)</f>
        <v>0</v>
      </c>
      <c r="Q72" s="37" t="str">
        <f aca="false">IF(B72="","",IF(D72="Khoán",ROUNDDOWN(J72+K72+L72+M72+N72+O72,-3),P72+M72))</f>
        <v/>
      </c>
      <c r="R72" s="37" t="str">
        <f aca="false">IF(B72="","",ROUNDDOWN(TIENAN_CONG*H72,-3))</f>
        <v/>
      </c>
      <c r="S72" s="37" t="str">
        <f aca="false">IF(B72="","",Q72+R72)</f>
        <v/>
      </c>
      <c r="T72" s="24"/>
    </row>
    <row r="73" customFormat="false" ht="15" hidden="false" customHeight="false" outlineLevel="0" collapsed="false">
      <c r="A73" s="24" t="str">
        <f aca="false">IF(B73="","",68)</f>
        <v/>
      </c>
      <c r="B73" s="34" t="str">
        <f aca="false">IF(BCC_KHOAN!B73="","",BCC_KHOAN!B73)</f>
        <v/>
      </c>
      <c r="C73" s="24" t="str">
        <f aca="false">IF(B73="","",IFERROR(INDEX(NV_TEN,MATCH(B73,NV_MA,0)),"MÃ KHÔNG CÓ"))</f>
        <v/>
      </c>
      <c r="D73" s="24" t="str">
        <f aca="false">IF(B73="","",IFERROR(INDEX(NV_HINHTHUC,MATCH(B73,NV_MA,0)),""))</f>
        <v/>
      </c>
      <c r="E73" s="35" t="str">
        <f aca="false">IF(D73="Khoán",IFERROR(INDEX(NV_HESO,MATCH(B73,NV_MA,0)),0),"")</f>
        <v/>
      </c>
      <c r="F73" s="20" t="str">
        <f aca="false">IF(D73="Khoán",IFERROR(INDEX(HS_SX!$B$5:$B$30,MATCH(E73,HS_SX!$A$5:$A$30,0)),0),"")</f>
        <v/>
      </c>
      <c r="G73" s="30" t="str">
        <f aca="false">IF(B73="","",IFERROR(INDEX(BCC_GIO,MATCH(B73,BCC_MA,0)),0))</f>
        <v/>
      </c>
      <c r="H73" s="31" t="str">
        <f aca="false">IF(B73="","",G73/GIO_CONG)</f>
        <v/>
      </c>
      <c r="I73" s="36" t="n">
        <f aca="false">IF(D73="Khoán",IF(GIO_TB&gt;0,G73/GIO_TB*KL_CHEBIEN,0),0)</f>
        <v>0</v>
      </c>
      <c r="J73" s="20" t="n">
        <f aca="false">IF(D73="Khoán",F73*I73,0)</f>
        <v>0</v>
      </c>
      <c r="K73" s="20" t="n">
        <f aca="false">IF(D73="Khoán",IF(TONG_GIO_KHOAN&gt;0,QUY_HANGING/TONG_GIO_KHOAN*G73,0),0)</f>
        <v>0</v>
      </c>
      <c r="L73" s="20" t="n">
        <f aca="false">IF(D73="Khoán",IF(TONG_GIO_KHOAN&gt;0,QUY_KHAC/TONG_GIO_KHOAN*G73,0),0)</f>
        <v>0</v>
      </c>
      <c r="M73" s="20" t="n">
        <f aca="false">IF(B73="",0,SUMIFS(KHOAN_KHAC!$F$5:$F$39,KHOAN_KHAC!$G$5:$G$39,B73))</f>
        <v>0</v>
      </c>
      <c r="N73" s="20" t="n">
        <f aca="false">IF(D73="Khoán",IF(TONG_GIO_KHOAN&gt;0,QUY_CHEN/TONG_GIO_KHOAN*G73,0),0)</f>
        <v>0</v>
      </c>
      <c r="O73" s="20" t="n">
        <f aca="false">IF(D73="Khoán",IF(TONG_GIO_KHOAN&gt;0,-TONG_CONGNHAT/TONG_GIO_KHOAN*G73,0),0)</f>
        <v>0</v>
      </c>
      <c r="P73" s="20" t="n">
        <f aca="false">IF(D73="Công nhật",H73*IFERROR(IF(INDEX(NV_DGCN,MATCH(B73,NV_MA,0))="",DG_CONGNHAT,INDEX(NV_DGCN,MATCH(B73,NV_MA,0))),DG_CONGNHAT),0)</f>
        <v>0</v>
      </c>
      <c r="Q73" s="37" t="str">
        <f aca="false">IF(B73="","",IF(D73="Khoán",ROUNDDOWN(J73+K73+L73+M73+N73+O73,-3),P73+M73))</f>
        <v/>
      </c>
      <c r="R73" s="37" t="str">
        <f aca="false">IF(B73="","",ROUNDDOWN(TIENAN_CONG*H73,-3))</f>
        <v/>
      </c>
      <c r="S73" s="37" t="str">
        <f aca="false">IF(B73="","",Q73+R73)</f>
        <v/>
      </c>
      <c r="T73" s="24"/>
    </row>
    <row r="74" customFormat="false" ht="15" hidden="false" customHeight="false" outlineLevel="0" collapsed="false">
      <c r="A74" s="24" t="str">
        <f aca="false">IF(B74="","",69)</f>
        <v/>
      </c>
      <c r="B74" s="34" t="str">
        <f aca="false">IF(BCC_KHOAN!B74="","",BCC_KHOAN!B74)</f>
        <v/>
      </c>
      <c r="C74" s="24" t="str">
        <f aca="false">IF(B74="","",IFERROR(INDEX(NV_TEN,MATCH(B74,NV_MA,0)),"MÃ KHÔNG CÓ"))</f>
        <v/>
      </c>
      <c r="D74" s="24" t="str">
        <f aca="false">IF(B74="","",IFERROR(INDEX(NV_HINHTHUC,MATCH(B74,NV_MA,0)),""))</f>
        <v/>
      </c>
      <c r="E74" s="35" t="str">
        <f aca="false">IF(D74="Khoán",IFERROR(INDEX(NV_HESO,MATCH(B74,NV_MA,0)),0),"")</f>
        <v/>
      </c>
      <c r="F74" s="20" t="str">
        <f aca="false">IF(D74="Khoán",IFERROR(INDEX(HS_SX!$B$5:$B$30,MATCH(E74,HS_SX!$A$5:$A$30,0)),0),"")</f>
        <v/>
      </c>
      <c r="G74" s="30" t="str">
        <f aca="false">IF(B74="","",IFERROR(INDEX(BCC_GIO,MATCH(B74,BCC_MA,0)),0))</f>
        <v/>
      </c>
      <c r="H74" s="31" t="str">
        <f aca="false">IF(B74="","",G74/GIO_CONG)</f>
        <v/>
      </c>
      <c r="I74" s="36" t="n">
        <f aca="false">IF(D74="Khoán",IF(GIO_TB&gt;0,G74/GIO_TB*KL_CHEBIEN,0),0)</f>
        <v>0</v>
      </c>
      <c r="J74" s="20" t="n">
        <f aca="false">IF(D74="Khoán",F74*I74,0)</f>
        <v>0</v>
      </c>
      <c r="K74" s="20" t="n">
        <f aca="false">IF(D74="Khoán",IF(TONG_GIO_KHOAN&gt;0,QUY_HANGING/TONG_GIO_KHOAN*G74,0),0)</f>
        <v>0</v>
      </c>
      <c r="L74" s="20" t="n">
        <f aca="false">IF(D74="Khoán",IF(TONG_GIO_KHOAN&gt;0,QUY_KHAC/TONG_GIO_KHOAN*G74,0),0)</f>
        <v>0</v>
      </c>
      <c r="M74" s="20" t="n">
        <f aca="false">IF(B74="",0,SUMIFS(KHOAN_KHAC!$F$5:$F$39,KHOAN_KHAC!$G$5:$G$39,B74))</f>
        <v>0</v>
      </c>
      <c r="N74" s="20" t="n">
        <f aca="false">IF(D74="Khoán",IF(TONG_GIO_KHOAN&gt;0,QUY_CHEN/TONG_GIO_KHOAN*G74,0),0)</f>
        <v>0</v>
      </c>
      <c r="O74" s="20" t="n">
        <f aca="false">IF(D74="Khoán",IF(TONG_GIO_KHOAN&gt;0,-TONG_CONGNHAT/TONG_GIO_KHOAN*G74,0),0)</f>
        <v>0</v>
      </c>
      <c r="P74" s="20" t="n">
        <f aca="false">IF(D74="Công nhật",H74*IFERROR(IF(INDEX(NV_DGCN,MATCH(B74,NV_MA,0))="",DG_CONGNHAT,INDEX(NV_DGCN,MATCH(B74,NV_MA,0))),DG_CONGNHAT),0)</f>
        <v>0</v>
      </c>
      <c r="Q74" s="37" t="str">
        <f aca="false">IF(B74="","",IF(D74="Khoán",ROUNDDOWN(J74+K74+L74+M74+N74+O74,-3),P74+M74))</f>
        <v/>
      </c>
      <c r="R74" s="37" t="str">
        <f aca="false">IF(B74="","",ROUNDDOWN(TIENAN_CONG*H74,-3))</f>
        <v/>
      </c>
      <c r="S74" s="37" t="str">
        <f aca="false">IF(B74="","",Q74+R74)</f>
        <v/>
      </c>
      <c r="T74" s="24"/>
    </row>
    <row r="75" customFormat="false" ht="15" hidden="false" customHeight="false" outlineLevel="0" collapsed="false">
      <c r="A75" s="24" t="str">
        <f aca="false">IF(B75="","",70)</f>
        <v/>
      </c>
      <c r="B75" s="34" t="str">
        <f aca="false">IF(BCC_KHOAN!B75="","",BCC_KHOAN!B75)</f>
        <v/>
      </c>
      <c r="C75" s="24" t="str">
        <f aca="false">IF(B75="","",IFERROR(INDEX(NV_TEN,MATCH(B75,NV_MA,0)),"MÃ KHÔNG CÓ"))</f>
        <v/>
      </c>
      <c r="D75" s="24" t="str">
        <f aca="false">IF(B75="","",IFERROR(INDEX(NV_HINHTHUC,MATCH(B75,NV_MA,0)),""))</f>
        <v/>
      </c>
      <c r="E75" s="35" t="str">
        <f aca="false">IF(D75="Khoán",IFERROR(INDEX(NV_HESO,MATCH(B75,NV_MA,0)),0),"")</f>
        <v/>
      </c>
      <c r="F75" s="20" t="str">
        <f aca="false">IF(D75="Khoán",IFERROR(INDEX(HS_SX!$B$5:$B$30,MATCH(E75,HS_SX!$A$5:$A$30,0)),0),"")</f>
        <v/>
      </c>
      <c r="G75" s="30" t="str">
        <f aca="false">IF(B75="","",IFERROR(INDEX(BCC_GIO,MATCH(B75,BCC_MA,0)),0))</f>
        <v/>
      </c>
      <c r="H75" s="31" t="str">
        <f aca="false">IF(B75="","",G75/GIO_CONG)</f>
        <v/>
      </c>
      <c r="I75" s="36" t="n">
        <f aca="false">IF(D75="Khoán",IF(GIO_TB&gt;0,G75/GIO_TB*KL_CHEBIEN,0),0)</f>
        <v>0</v>
      </c>
      <c r="J75" s="20" t="n">
        <f aca="false">IF(D75="Khoán",F75*I75,0)</f>
        <v>0</v>
      </c>
      <c r="K75" s="20" t="n">
        <f aca="false">IF(D75="Khoán",IF(TONG_GIO_KHOAN&gt;0,QUY_HANGING/TONG_GIO_KHOAN*G75,0),0)</f>
        <v>0</v>
      </c>
      <c r="L75" s="20" t="n">
        <f aca="false">IF(D75="Khoán",IF(TONG_GIO_KHOAN&gt;0,QUY_KHAC/TONG_GIO_KHOAN*G75,0),0)</f>
        <v>0</v>
      </c>
      <c r="M75" s="20" t="n">
        <f aca="false">IF(B75="",0,SUMIFS(KHOAN_KHAC!$F$5:$F$39,KHOAN_KHAC!$G$5:$G$39,B75))</f>
        <v>0</v>
      </c>
      <c r="N75" s="20" t="n">
        <f aca="false">IF(D75="Khoán",IF(TONG_GIO_KHOAN&gt;0,QUY_CHEN/TONG_GIO_KHOAN*G75,0),0)</f>
        <v>0</v>
      </c>
      <c r="O75" s="20" t="n">
        <f aca="false">IF(D75="Khoán",IF(TONG_GIO_KHOAN&gt;0,-TONG_CONGNHAT/TONG_GIO_KHOAN*G75,0),0)</f>
        <v>0</v>
      </c>
      <c r="P75" s="20" t="n">
        <f aca="false">IF(D75="Công nhật",H75*IFERROR(IF(INDEX(NV_DGCN,MATCH(B75,NV_MA,0))="",DG_CONGNHAT,INDEX(NV_DGCN,MATCH(B75,NV_MA,0))),DG_CONGNHAT),0)</f>
        <v>0</v>
      </c>
      <c r="Q75" s="37" t="str">
        <f aca="false">IF(B75="","",IF(D75="Khoán",ROUNDDOWN(J75+K75+L75+M75+N75+O75,-3),P75+M75))</f>
        <v/>
      </c>
      <c r="R75" s="37" t="str">
        <f aca="false">IF(B75="","",ROUNDDOWN(TIENAN_CONG*H75,-3))</f>
        <v/>
      </c>
      <c r="S75" s="37" t="str">
        <f aca="false">IF(B75="","",Q75+R75)</f>
        <v/>
      </c>
      <c r="T75" s="24"/>
    </row>
    <row r="76" customFormat="false" ht="15" hidden="false" customHeight="false" outlineLevel="0" collapsed="false">
      <c r="A76" s="24" t="str">
        <f aca="false">IF(B76="","",71)</f>
        <v/>
      </c>
      <c r="B76" s="34" t="str">
        <f aca="false">IF(BCC_KHOAN!B76="","",BCC_KHOAN!B76)</f>
        <v/>
      </c>
      <c r="C76" s="24" t="str">
        <f aca="false">IF(B76="","",IFERROR(INDEX(NV_TEN,MATCH(B76,NV_MA,0)),"MÃ KHÔNG CÓ"))</f>
        <v/>
      </c>
      <c r="D76" s="24" t="str">
        <f aca="false">IF(B76="","",IFERROR(INDEX(NV_HINHTHUC,MATCH(B76,NV_MA,0)),""))</f>
        <v/>
      </c>
      <c r="E76" s="35" t="str">
        <f aca="false">IF(D76="Khoán",IFERROR(INDEX(NV_HESO,MATCH(B76,NV_MA,0)),0),"")</f>
        <v/>
      </c>
      <c r="F76" s="20" t="str">
        <f aca="false">IF(D76="Khoán",IFERROR(INDEX(HS_SX!$B$5:$B$30,MATCH(E76,HS_SX!$A$5:$A$30,0)),0),"")</f>
        <v/>
      </c>
      <c r="G76" s="30" t="str">
        <f aca="false">IF(B76="","",IFERROR(INDEX(BCC_GIO,MATCH(B76,BCC_MA,0)),0))</f>
        <v/>
      </c>
      <c r="H76" s="31" t="str">
        <f aca="false">IF(B76="","",G76/GIO_CONG)</f>
        <v/>
      </c>
      <c r="I76" s="36" t="n">
        <f aca="false">IF(D76="Khoán",IF(GIO_TB&gt;0,G76/GIO_TB*KL_CHEBIEN,0),0)</f>
        <v>0</v>
      </c>
      <c r="J76" s="20" t="n">
        <f aca="false">IF(D76="Khoán",F76*I76,0)</f>
        <v>0</v>
      </c>
      <c r="K76" s="20" t="n">
        <f aca="false">IF(D76="Khoán",IF(TONG_GIO_KHOAN&gt;0,QUY_HANGING/TONG_GIO_KHOAN*G76,0),0)</f>
        <v>0</v>
      </c>
      <c r="L76" s="20" t="n">
        <f aca="false">IF(D76="Khoán",IF(TONG_GIO_KHOAN&gt;0,QUY_KHAC/TONG_GIO_KHOAN*G76,0),0)</f>
        <v>0</v>
      </c>
      <c r="M76" s="20" t="n">
        <f aca="false">IF(B76="",0,SUMIFS(KHOAN_KHAC!$F$5:$F$39,KHOAN_KHAC!$G$5:$G$39,B76))</f>
        <v>0</v>
      </c>
      <c r="N76" s="20" t="n">
        <f aca="false">IF(D76="Khoán",IF(TONG_GIO_KHOAN&gt;0,QUY_CHEN/TONG_GIO_KHOAN*G76,0),0)</f>
        <v>0</v>
      </c>
      <c r="O76" s="20" t="n">
        <f aca="false">IF(D76="Khoán",IF(TONG_GIO_KHOAN&gt;0,-TONG_CONGNHAT/TONG_GIO_KHOAN*G76,0),0)</f>
        <v>0</v>
      </c>
      <c r="P76" s="20" t="n">
        <f aca="false">IF(D76="Công nhật",H76*IFERROR(IF(INDEX(NV_DGCN,MATCH(B76,NV_MA,0))="",DG_CONGNHAT,INDEX(NV_DGCN,MATCH(B76,NV_MA,0))),DG_CONGNHAT),0)</f>
        <v>0</v>
      </c>
      <c r="Q76" s="37" t="str">
        <f aca="false">IF(B76="","",IF(D76="Khoán",ROUNDDOWN(J76+K76+L76+M76+N76+O76,-3),P76+M76))</f>
        <v/>
      </c>
      <c r="R76" s="37" t="str">
        <f aca="false">IF(B76="","",ROUNDDOWN(TIENAN_CONG*H76,-3))</f>
        <v/>
      </c>
      <c r="S76" s="37" t="str">
        <f aca="false">IF(B76="","",Q76+R76)</f>
        <v/>
      </c>
      <c r="T76" s="24"/>
    </row>
    <row r="77" customFormat="false" ht="15" hidden="false" customHeight="false" outlineLevel="0" collapsed="false">
      <c r="A77" s="24" t="str">
        <f aca="false">IF(B77="","",72)</f>
        <v/>
      </c>
      <c r="B77" s="34" t="str">
        <f aca="false">IF(BCC_KHOAN!B77="","",BCC_KHOAN!B77)</f>
        <v/>
      </c>
      <c r="C77" s="24" t="str">
        <f aca="false">IF(B77="","",IFERROR(INDEX(NV_TEN,MATCH(B77,NV_MA,0)),"MÃ KHÔNG CÓ"))</f>
        <v/>
      </c>
      <c r="D77" s="24" t="str">
        <f aca="false">IF(B77="","",IFERROR(INDEX(NV_HINHTHUC,MATCH(B77,NV_MA,0)),""))</f>
        <v/>
      </c>
      <c r="E77" s="35" t="str">
        <f aca="false">IF(D77="Khoán",IFERROR(INDEX(NV_HESO,MATCH(B77,NV_MA,0)),0),"")</f>
        <v/>
      </c>
      <c r="F77" s="20" t="str">
        <f aca="false">IF(D77="Khoán",IFERROR(INDEX(HS_SX!$B$5:$B$30,MATCH(E77,HS_SX!$A$5:$A$30,0)),0),"")</f>
        <v/>
      </c>
      <c r="G77" s="30" t="str">
        <f aca="false">IF(B77="","",IFERROR(INDEX(BCC_GIO,MATCH(B77,BCC_MA,0)),0))</f>
        <v/>
      </c>
      <c r="H77" s="31" t="str">
        <f aca="false">IF(B77="","",G77/GIO_CONG)</f>
        <v/>
      </c>
      <c r="I77" s="36" t="n">
        <f aca="false">IF(D77="Khoán",IF(GIO_TB&gt;0,G77/GIO_TB*KL_CHEBIEN,0),0)</f>
        <v>0</v>
      </c>
      <c r="J77" s="20" t="n">
        <f aca="false">IF(D77="Khoán",F77*I77,0)</f>
        <v>0</v>
      </c>
      <c r="K77" s="20" t="n">
        <f aca="false">IF(D77="Khoán",IF(TONG_GIO_KHOAN&gt;0,QUY_HANGING/TONG_GIO_KHOAN*G77,0),0)</f>
        <v>0</v>
      </c>
      <c r="L77" s="20" t="n">
        <f aca="false">IF(D77="Khoán",IF(TONG_GIO_KHOAN&gt;0,QUY_KHAC/TONG_GIO_KHOAN*G77,0),0)</f>
        <v>0</v>
      </c>
      <c r="M77" s="20" t="n">
        <f aca="false">IF(B77="",0,SUMIFS(KHOAN_KHAC!$F$5:$F$39,KHOAN_KHAC!$G$5:$G$39,B77))</f>
        <v>0</v>
      </c>
      <c r="N77" s="20" t="n">
        <f aca="false">IF(D77="Khoán",IF(TONG_GIO_KHOAN&gt;0,QUY_CHEN/TONG_GIO_KHOAN*G77,0),0)</f>
        <v>0</v>
      </c>
      <c r="O77" s="20" t="n">
        <f aca="false">IF(D77="Khoán",IF(TONG_GIO_KHOAN&gt;0,-TONG_CONGNHAT/TONG_GIO_KHOAN*G77,0),0)</f>
        <v>0</v>
      </c>
      <c r="P77" s="20" t="n">
        <f aca="false">IF(D77="Công nhật",H77*IFERROR(IF(INDEX(NV_DGCN,MATCH(B77,NV_MA,0))="",DG_CONGNHAT,INDEX(NV_DGCN,MATCH(B77,NV_MA,0))),DG_CONGNHAT),0)</f>
        <v>0</v>
      </c>
      <c r="Q77" s="37" t="str">
        <f aca="false">IF(B77="","",IF(D77="Khoán",ROUNDDOWN(J77+K77+L77+M77+N77+O77,-3),P77+M77))</f>
        <v/>
      </c>
      <c r="R77" s="37" t="str">
        <f aca="false">IF(B77="","",ROUNDDOWN(TIENAN_CONG*H77,-3))</f>
        <v/>
      </c>
      <c r="S77" s="37" t="str">
        <f aca="false">IF(B77="","",Q77+R77)</f>
        <v/>
      </c>
      <c r="T77" s="24"/>
    </row>
    <row r="78" customFormat="false" ht="15" hidden="false" customHeight="false" outlineLevel="0" collapsed="false">
      <c r="A78" s="24" t="str">
        <f aca="false">IF(B78="","",73)</f>
        <v/>
      </c>
      <c r="B78" s="34" t="str">
        <f aca="false">IF(BCC_KHOAN!B78="","",BCC_KHOAN!B78)</f>
        <v/>
      </c>
      <c r="C78" s="24" t="str">
        <f aca="false">IF(B78="","",IFERROR(INDEX(NV_TEN,MATCH(B78,NV_MA,0)),"MÃ KHÔNG CÓ"))</f>
        <v/>
      </c>
      <c r="D78" s="24" t="str">
        <f aca="false">IF(B78="","",IFERROR(INDEX(NV_HINHTHUC,MATCH(B78,NV_MA,0)),""))</f>
        <v/>
      </c>
      <c r="E78" s="35" t="str">
        <f aca="false">IF(D78="Khoán",IFERROR(INDEX(NV_HESO,MATCH(B78,NV_MA,0)),0),"")</f>
        <v/>
      </c>
      <c r="F78" s="20" t="str">
        <f aca="false">IF(D78="Khoán",IFERROR(INDEX(HS_SX!$B$5:$B$30,MATCH(E78,HS_SX!$A$5:$A$30,0)),0),"")</f>
        <v/>
      </c>
      <c r="G78" s="30" t="str">
        <f aca="false">IF(B78="","",IFERROR(INDEX(BCC_GIO,MATCH(B78,BCC_MA,0)),0))</f>
        <v/>
      </c>
      <c r="H78" s="31" t="str">
        <f aca="false">IF(B78="","",G78/GIO_CONG)</f>
        <v/>
      </c>
      <c r="I78" s="36" t="n">
        <f aca="false">IF(D78="Khoán",IF(GIO_TB&gt;0,G78/GIO_TB*KL_CHEBIEN,0),0)</f>
        <v>0</v>
      </c>
      <c r="J78" s="20" t="n">
        <f aca="false">IF(D78="Khoán",F78*I78,0)</f>
        <v>0</v>
      </c>
      <c r="K78" s="20" t="n">
        <f aca="false">IF(D78="Khoán",IF(TONG_GIO_KHOAN&gt;0,QUY_HANGING/TONG_GIO_KHOAN*G78,0),0)</f>
        <v>0</v>
      </c>
      <c r="L78" s="20" t="n">
        <f aca="false">IF(D78="Khoán",IF(TONG_GIO_KHOAN&gt;0,QUY_KHAC/TONG_GIO_KHOAN*G78,0),0)</f>
        <v>0</v>
      </c>
      <c r="M78" s="20" t="n">
        <f aca="false">IF(B78="",0,SUMIFS(KHOAN_KHAC!$F$5:$F$39,KHOAN_KHAC!$G$5:$G$39,B78))</f>
        <v>0</v>
      </c>
      <c r="N78" s="20" t="n">
        <f aca="false">IF(D78="Khoán",IF(TONG_GIO_KHOAN&gt;0,QUY_CHEN/TONG_GIO_KHOAN*G78,0),0)</f>
        <v>0</v>
      </c>
      <c r="O78" s="20" t="n">
        <f aca="false">IF(D78="Khoán",IF(TONG_GIO_KHOAN&gt;0,-TONG_CONGNHAT/TONG_GIO_KHOAN*G78,0),0)</f>
        <v>0</v>
      </c>
      <c r="P78" s="20" t="n">
        <f aca="false">IF(D78="Công nhật",H78*IFERROR(IF(INDEX(NV_DGCN,MATCH(B78,NV_MA,0))="",DG_CONGNHAT,INDEX(NV_DGCN,MATCH(B78,NV_MA,0))),DG_CONGNHAT),0)</f>
        <v>0</v>
      </c>
      <c r="Q78" s="37" t="str">
        <f aca="false">IF(B78="","",IF(D78="Khoán",ROUNDDOWN(J78+K78+L78+M78+N78+O78,-3),P78+M78))</f>
        <v/>
      </c>
      <c r="R78" s="37" t="str">
        <f aca="false">IF(B78="","",ROUNDDOWN(TIENAN_CONG*H78,-3))</f>
        <v/>
      </c>
      <c r="S78" s="37" t="str">
        <f aca="false">IF(B78="","",Q78+R78)</f>
        <v/>
      </c>
      <c r="T78" s="24"/>
    </row>
    <row r="79" customFormat="false" ht="15" hidden="false" customHeight="false" outlineLevel="0" collapsed="false">
      <c r="A79" s="24" t="str">
        <f aca="false">IF(B79="","",74)</f>
        <v/>
      </c>
      <c r="B79" s="34" t="str">
        <f aca="false">IF(BCC_KHOAN!B79="","",BCC_KHOAN!B79)</f>
        <v/>
      </c>
      <c r="C79" s="24" t="str">
        <f aca="false">IF(B79="","",IFERROR(INDEX(NV_TEN,MATCH(B79,NV_MA,0)),"MÃ KHÔNG CÓ"))</f>
        <v/>
      </c>
      <c r="D79" s="24" t="str">
        <f aca="false">IF(B79="","",IFERROR(INDEX(NV_HINHTHUC,MATCH(B79,NV_MA,0)),""))</f>
        <v/>
      </c>
      <c r="E79" s="35" t="str">
        <f aca="false">IF(D79="Khoán",IFERROR(INDEX(NV_HESO,MATCH(B79,NV_MA,0)),0),"")</f>
        <v/>
      </c>
      <c r="F79" s="20" t="str">
        <f aca="false">IF(D79="Khoán",IFERROR(INDEX(HS_SX!$B$5:$B$30,MATCH(E79,HS_SX!$A$5:$A$30,0)),0),"")</f>
        <v/>
      </c>
      <c r="G79" s="30" t="str">
        <f aca="false">IF(B79="","",IFERROR(INDEX(BCC_GIO,MATCH(B79,BCC_MA,0)),0))</f>
        <v/>
      </c>
      <c r="H79" s="31" t="str">
        <f aca="false">IF(B79="","",G79/GIO_CONG)</f>
        <v/>
      </c>
      <c r="I79" s="36" t="n">
        <f aca="false">IF(D79="Khoán",IF(GIO_TB&gt;0,G79/GIO_TB*KL_CHEBIEN,0),0)</f>
        <v>0</v>
      </c>
      <c r="J79" s="20" t="n">
        <f aca="false">IF(D79="Khoán",F79*I79,0)</f>
        <v>0</v>
      </c>
      <c r="K79" s="20" t="n">
        <f aca="false">IF(D79="Khoán",IF(TONG_GIO_KHOAN&gt;0,QUY_HANGING/TONG_GIO_KHOAN*G79,0),0)</f>
        <v>0</v>
      </c>
      <c r="L79" s="20" t="n">
        <f aca="false">IF(D79="Khoán",IF(TONG_GIO_KHOAN&gt;0,QUY_KHAC/TONG_GIO_KHOAN*G79,0),0)</f>
        <v>0</v>
      </c>
      <c r="M79" s="20" t="n">
        <f aca="false">IF(B79="",0,SUMIFS(KHOAN_KHAC!$F$5:$F$39,KHOAN_KHAC!$G$5:$G$39,B79))</f>
        <v>0</v>
      </c>
      <c r="N79" s="20" t="n">
        <f aca="false">IF(D79="Khoán",IF(TONG_GIO_KHOAN&gt;0,QUY_CHEN/TONG_GIO_KHOAN*G79,0),0)</f>
        <v>0</v>
      </c>
      <c r="O79" s="20" t="n">
        <f aca="false">IF(D79="Khoán",IF(TONG_GIO_KHOAN&gt;0,-TONG_CONGNHAT/TONG_GIO_KHOAN*G79,0),0)</f>
        <v>0</v>
      </c>
      <c r="P79" s="20" t="n">
        <f aca="false">IF(D79="Công nhật",H79*IFERROR(IF(INDEX(NV_DGCN,MATCH(B79,NV_MA,0))="",DG_CONGNHAT,INDEX(NV_DGCN,MATCH(B79,NV_MA,0))),DG_CONGNHAT),0)</f>
        <v>0</v>
      </c>
      <c r="Q79" s="37" t="str">
        <f aca="false">IF(B79="","",IF(D79="Khoán",ROUNDDOWN(J79+K79+L79+M79+N79+O79,-3),P79+M79))</f>
        <v/>
      </c>
      <c r="R79" s="37" t="str">
        <f aca="false">IF(B79="","",ROUNDDOWN(TIENAN_CONG*H79,-3))</f>
        <v/>
      </c>
      <c r="S79" s="37" t="str">
        <f aca="false">IF(B79="","",Q79+R79)</f>
        <v/>
      </c>
      <c r="T79" s="24"/>
    </row>
    <row r="80" customFormat="false" ht="15" hidden="false" customHeight="false" outlineLevel="0" collapsed="false">
      <c r="A80" s="24" t="str">
        <f aca="false">IF(B80="","",75)</f>
        <v/>
      </c>
      <c r="B80" s="34" t="str">
        <f aca="false">IF(BCC_KHOAN!B80="","",BCC_KHOAN!B80)</f>
        <v/>
      </c>
      <c r="C80" s="24" t="str">
        <f aca="false">IF(B80="","",IFERROR(INDEX(NV_TEN,MATCH(B80,NV_MA,0)),"MÃ KHÔNG CÓ"))</f>
        <v/>
      </c>
      <c r="D80" s="24" t="str">
        <f aca="false">IF(B80="","",IFERROR(INDEX(NV_HINHTHUC,MATCH(B80,NV_MA,0)),""))</f>
        <v/>
      </c>
      <c r="E80" s="35" t="str">
        <f aca="false">IF(D80="Khoán",IFERROR(INDEX(NV_HESO,MATCH(B80,NV_MA,0)),0),"")</f>
        <v/>
      </c>
      <c r="F80" s="20" t="str">
        <f aca="false">IF(D80="Khoán",IFERROR(INDEX(HS_SX!$B$5:$B$30,MATCH(E80,HS_SX!$A$5:$A$30,0)),0),"")</f>
        <v/>
      </c>
      <c r="G80" s="30" t="str">
        <f aca="false">IF(B80="","",IFERROR(INDEX(BCC_GIO,MATCH(B80,BCC_MA,0)),0))</f>
        <v/>
      </c>
      <c r="H80" s="31" t="str">
        <f aca="false">IF(B80="","",G80/GIO_CONG)</f>
        <v/>
      </c>
      <c r="I80" s="36" t="n">
        <f aca="false">IF(D80="Khoán",IF(GIO_TB&gt;0,G80/GIO_TB*KL_CHEBIEN,0),0)</f>
        <v>0</v>
      </c>
      <c r="J80" s="20" t="n">
        <f aca="false">IF(D80="Khoán",F80*I80,0)</f>
        <v>0</v>
      </c>
      <c r="K80" s="20" t="n">
        <f aca="false">IF(D80="Khoán",IF(TONG_GIO_KHOAN&gt;0,QUY_HANGING/TONG_GIO_KHOAN*G80,0),0)</f>
        <v>0</v>
      </c>
      <c r="L80" s="20" t="n">
        <f aca="false">IF(D80="Khoán",IF(TONG_GIO_KHOAN&gt;0,QUY_KHAC/TONG_GIO_KHOAN*G80,0),0)</f>
        <v>0</v>
      </c>
      <c r="M80" s="20" t="n">
        <f aca="false">IF(B80="",0,SUMIFS(KHOAN_KHAC!$F$5:$F$39,KHOAN_KHAC!$G$5:$G$39,B80))</f>
        <v>0</v>
      </c>
      <c r="N80" s="20" t="n">
        <f aca="false">IF(D80="Khoán",IF(TONG_GIO_KHOAN&gt;0,QUY_CHEN/TONG_GIO_KHOAN*G80,0),0)</f>
        <v>0</v>
      </c>
      <c r="O80" s="20" t="n">
        <f aca="false">IF(D80="Khoán",IF(TONG_GIO_KHOAN&gt;0,-TONG_CONGNHAT/TONG_GIO_KHOAN*G80,0),0)</f>
        <v>0</v>
      </c>
      <c r="P80" s="20" t="n">
        <f aca="false">IF(D80="Công nhật",H80*IFERROR(IF(INDEX(NV_DGCN,MATCH(B80,NV_MA,0))="",DG_CONGNHAT,INDEX(NV_DGCN,MATCH(B80,NV_MA,0))),DG_CONGNHAT),0)</f>
        <v>0</v>
      </c>
      <c r="Q80" s="37" t="str">
        <f aca="false">IF(B80="","",IF(D80="Khoán",ROUNDDOWN(J80+K80+L80+M80+N80+O80,-3),P80+M80))</f>
        <v/>
      </c>
      <c r="R80" s="37" t="str">
        <f aca="false">IF(B80="","",ROUNDDOWN(TIENAN_CONG*H80,-3))</f>
        <v/>
      </c>
      <c r="S80" s="37" t="str">
        <f aca="false">IF(B80="","",Q80+R80)</f>
        <v/>
      </c>
      <c r="T80" s="24"/>
    </row>
    <row r="81" customFormat="false" ht="15" hidden="false" customHeight="false" outlineLevel="0" collapsed="false">
      <c r="A81" s="24" t="str">
        <f aca="false">IF(B81="","",76)</f>
        <v/>
      </c>
      <c r="B81" s="34" t="str">
        <f aca="false">IF(BCC_KHOAN!B81="","",BCC_KHOAN!B81)</f>
        <v/>
      </c>
      <c r="C81" s="24" t="str">
        <f aca="false">IF(B81="","",IFERROR(INDEX(NV_TEN,MATCH(B81,NV_MA,0)),"MÃ KHÔNG CÓ"))</f>
        <v/>
      </c>
      <c r="D81" s="24" t="str">
        <f aca="false">IF(B81="","",IFERROR(INDEX(NV_HINHTHUC,MATCH(B81,NV_MA,0)),""))</f>
        <v/>
      </c>
      <c r="E81" s="35" t="str">
        <f aca="false">IF(D81="Khoán",IFERROR(INDEX(NV_HESO,MATCH(B81,NV_MA,0)),0),"")</f>
        <v/>
      </c>
      <c r="F81" s="20" t="str">
        <f aca="false">IF(D81="Khoán",IFERROR(INDEX(HS_SX!$B$5:$B$30,MATCH(E81,HS_SX!$A$5:$A$30,0)),0),"")</f>
        <v/>
      </c>
      <c r="G81" s="30" t="str">
        <f aca="false">IF(B81="","",IFERROR(INDEX(BCC_GIO,MATCH(B81,BCC_MA,0)),0))</f>
        <v/>
      </c>
      <c r="H81" s="31" t="str">
        <f aca="false">IF(B81="","",G81/GIO_CONG)</f>
        <v/>
      </c>
      <c r="I81" s="36" t="n">
        <f aca="false">IF(D81="Khoán",IF(GIO_TB&gt;0,G81/GIO_TB*KL_CHEBIEN,0),0)</f>
        <v>0</v>
      </c>
      <c r="J81" s="20" t="n">
        <f aca="false">IF(D81="Khoán",F81*I81,0)</f>
        <v>0</v>
      </c>
      <c r="K81" s="20" t="n">
        <f aca="false">IF(D81="Khoán",IF(TONG_GIO_KHOAN&gt;0,QUY_HANGING/TONG_GIO_KHOAN*G81,0),0)</f>
        <v>0</v>
      </c>
      <c r="L81" s="20" t="n">
        <f aca="false">IF(D81="Khoán",IF(TONG_GIO_KHOAN&gt;0,QUY_KHAC/TONG_GIO_KHOAN*G81,0),0)</f>
        <v>0</v>
      </c>
      <c r="M81" s="20" t="n">
        <f aca="false">IF(B81="",0,SUMIFS(KHOAN_KHAC!$F$5:$F$39,KHOAN_KHAC!$G$5:$G$39,B81))</f>
        <v>0</v>
      </c>
      <c r="N81" s="20" t="n">
        <f aca="false">IF(D81="Khoán",IF(TONG_GIO_KHOAN&gt;0,QUY_CHEN/TONG_GIO_KHOAN*G81,0),0)</f>
        <v>0</v>
      </c>
      <c r="O81" s="20" t="n">
        <f aca="false">IF(D81="Khoán",IF(TONG_GIO_KHOAN&gt;0,-TONG_CONGNHAT/TONG_GIO_KHOAN*G81,0),0)</f>
        <v>0</v>
      </c>
      <c r="P81" s="20" t="n">
        <f aca="false">IF(D81="Công nhật",H81*IFERROR(IF(INDEX(NV_DGCN,MATCH(B81,NV_MA,0))="",DG_CONGNHAT,INDEX(NV_DGCN,MATCH(B81,NV_MA,0))),DG_CONGNHAT),0)</f>
        <v>0</v>
      </c>
      <c r="Q81" s="37" t="str">
        <f aca="false">IF(B81="","",IF(D81="Khoán",ROUNDDOWN(J81+K81+L81+M81+N81+O81,-3),P81+M81))</f>
        <v/>
      </c>
      <c r="R81" s="37" t="str">
        <f aca="false">IF(B81="","",ROUNDDOWN(TIENAN_CONG*H81,-3))</f>
        <v/>
      </c>
      <c r="S81" s="37" t="str">
        <f aca="false">IF(B81="","",Q81+R81)</f>
        <v/>
      </c>
      <c r="T81" s="24"/>
    </row>
    <row r="82" customFormat="false" ht="15" hidden="false" customHeight="false" outlineLevel="0" collapsed="false">
      <c r="A82" s="24" t="str">
        <f aca="false">IF(B82="","",77)</f>
        <v/>
      </c>
      <c r="B82" s="34" t="str">
        <f aca="false">IF(BCC_KHOAN!B82="","",BCC_KHOAN!B82)</f>
        <v/>
      </c>
      <c r="C82" s="24" t="str">
        <f aca="false">IF(B82="","",IFERROR(INDEX(NV_TEN,MATCH(B82,NV_MA,0)),"MÃ KHÔNG CÓ"))</f>
        <v/>
      </c>
      <c r="D82" s="24" t="str">
        <f aca="false">IF(B82="","",IFERROR(INDEX(NV_HINHTHUC,MATCH(B82,NV_MA,0)),""))</f>
        <v/>
      </c>
      <c r="E82" s="35" t="str">
        <f aca="false">IF(D82="Khoán",IFERROR(INDEX(NV_HESO,MATCH(B82,NV_MA,0)),0),"")</f>
        <v/>
      </c>
      <c r="F82" s="20" t="str">
        <f aca="false">IF(D82="Khoán",IFERROR(INDEX(HS_SX!$B$5:$B$30,MATCH(E82,HS_SX!$A$5:$A$30,0)),0),"")</f>
        <v/>
      </c>
      <c r="G82" s="30" t="str">
        <f aca="false">IF(B82="","",IFERROR(INDEX(BCC_GIO,MATCH(B82,BCC_MA,0)),0))</f>
        <v/>
      </c>
      <c r="H82" s="31" t="str">
        <f aca="false">IF(B82="","",G82/GIO_CONG)</f>
        <v/>
      </c>
      <c r="I82" s="36" t="n">
        <f aca="false">IF(D82="Khoán",IF(GIO_TB&gt;0,G82/GIO_TB*KL_CHEBIEN,0),0)</f>
        <v>0</v>
      </c>
      <c r="J82" s="20" t="n">
        <f aca="false">IF(D82="Khoán",F82*I82,0)</f>
        <v>0</v>
      </c>
      <c r="K82" s="20" t="n">
        <f aca="false">IF(D82="Khoán",IF(TONG_GIO_KHOAN&gt;0,QUY_HANGING/TONG_GIO_KHOAN*G82,0),0)</f>
        <v>0</v>
      </c>
      <c r="L82" s="20" t="n">
        <f aca="false">IF(D82="Khoán",IF(TONG_GIO_KHOAN&gt;0,QUY_KHAC/TONG_GIO_KHOAN*G82,0),0)</f>
        <v>0</v>
      </c>
      <c r="M82" s="20" t="n">
        <f aca="false">IF(B82="",0,SUMIFS(KHOAN_KHAC!$F$5:$F$39,KHOAN_KHAC!$G$5:$G$39,B82))</f>
        <v>0</v>
      </c>
      <c r="N82" s="20" t="n">
        <f aca="false">IF(D82="Khoán",IF(TONG_GIO_KHOAN&gt;0,QUY_CHEN/TONG_GIO_KHOAN*G82,0),0)</f>
        <v>0</v>
      </c>
      <c r="O82" s="20" t="n">
        <f aca="false">IF(D82="Khoán",IF(TONG_GIO_KHOAN&gt;0,-TONG_CONGNHAT/TONG_GIO_KHOAN*G82,0),0)</f>
        <v>0</v>
      </c>
      <c r="P82" s="20" t="n">
        <f aca="false">IF(D82="Công nhật",H82*IFERROR(IF(INDEX(NV_DGCN,MATCH(B82,NV_MA,0))="",DG_CONGNHAT,INDEX(NV_DGCN,MATCH(B82,NV_MA,0))),DG_CONGNHAT),0)</f>
        <v>0</v>
      </c>
      <c r="Q82" s="37" t="str">
        <f aca="false">IF(B82="","",IF(D82="Khoán",ROUNDDOWN(J82+K82+L82+M82+N82+O82,-3),P82+M82))</f>
        <v/>
      </c>
      <c r="R82" s="37" t="str">
        <f aca="false">IF(B82="","",ROUNDDOWN(TIENAN_CONG*H82,-3))</f>
        <v/>
      </c>
      <c r="S82" s="37" t="str">
        <f aca="false">IF(B82="","",Q82+R82)</f>
        <v/>
      </c>
      <c r="T82" s="24"/>
    </row>
    <row r="83" customFormat="false" ht="15" hidden="false" customHeight="false" outlineLevel="0" collapsed="false">
      <c r="A83" s="24" t="str">
        <f aca="false">IF(B83="","",78)</f>
        <v/>
      </c>
      <c r="B83" s="34" t="str">
        <f aca="false">IF(BCC_KHOAN!B83="","",BCC_KHOAN!B83)</f>
        <v/>
      </c>
      <c r="C83" s="24" t="str">
        <f aca="false">IF(B83="","",IFERROR(INDEX(NV_TEN,MATCH(B83,NV_MA,0)),"MÃ KHÔNG CÓ"))</f>
        <v/>
      </c>
      <c r="D83" s="24" t="str">
        <f aca="false">IF(B83="","",IFERROR(INDEX(NV_HINHTHUC,MATCH(B83,NV_MA,0)),""))</f>
        <v/>
      </c>
      <c r="E83" s="35" t="str">
        <f aca="false">IF(D83="Khoán",IFERROR(INDEX(NV_HESO,MATCH(B83,NV_MA,0)),0),"")</f>
        <v/>
      </c>
      <c r="F83" s="20" t="str">
        <f aca="false">IF(D83="Khoán",IFERROR(INDEX(HS_SX!$B$5:$B$30,MATCH(E83,HS_SX!$A$5:$A$30,0)),0),"")</f>
        <v/>
      </c>
      <c r="G83" s="30" t="str">
        <f aca="false">IF(B83="","",IFERROR(INDEX(BCC_GIO,MATCH(B83,BCC_MA,0)),0))</f>
        <v/>
      </c>
      <c r="H83" s="31" t="str">
        <f aca="false">IF(B83="","",G83/GIO_CONG)</f>
        <v/>
      </c>
      <c r="I83" s="36" t="n">
        <f aca="false">IF(D83="Khoán",IF(GIO_TB&gt;0,G83/GIO_TB*KL_CHEBIEN,0),0)</f>
        <v>0</v>
      </c>
      <c r="J83" s="20" t="n">
        <f aca="false">IF(D83="Khoán",F83*I83,0)</f>
        <v>0</v>
      </c>
      <c r="K83" s="20" t="n">
        <f aca="false">IF(D83="Khoán",IF(TONG_GIO_KHOAN&gt;0,QUY_HANGING/TONG_GIO_KHOAN*G83,0),0)</f>
        <v>0</v>
      </c>
      <c r="L83" s="20" t="n">
        <f aca="false">IF(D83="Khoán",IF(TONG_GIO_KHOAN&gt;0,QUY_KHAC/TONG_GIO_KHOAN*G83,0),0)</f>
        <v>0</v>
      </c>
      <c r="M83" s="20" t="n">
        <f aca="false">IF(B83="",0,SUMIFS(KHOAN_KHAC!$F$5:$F$39,KHOAN_KHAC!$G$5:$G$39,B83))</f>
        <v>0</v>
      </c>
      <c r="N83" s="20" t="n">
        <f aca="false">IF(D83="Khoán",IF(TONG_GIO_KHOAN&gt;0,QUY_CHEN/TONG_GIO_KHOAN*G83,0),0)</f>
        <v>0</v>
      </c>
      <c r="O83" s="20" t="n">
        <f aca="false">IF(D83="Khoán",IF(TONG_GIO_KHOAN&gt;0,-TONG_CONGNHAT/TONG_GIO_KHOAN*G83,0),0)</f>
        <v>0</v>
      </c>
      <c r="P83" s="20" t="n">
        <f aca="false">IF(D83="Công nhật",H83*IFERROR(IF(INDEX(NV_DGCN,MATCH(B83,NV_MA,0))="",DG_CONGNHAT,INDEX(NV_DGCN,MATCH(B83,NV_MA,0))),DG_CONGNHAT),0)</f>
        <v>0</v>
      </c>
      <c r="Q83" s="37" t="str">
        <f aca="false">IF(B83="","",IF(D83="Khoán",ROUNDDOWN(J83+K83+L83+M83+N83+O83,-3),P83+M83))</f>
        <v/>
      </c>
      <c r="R83" s="37" t="str">
        <f aca="false">IF(B83="","",ROUNDDOWN(TIENAN_CONG*H83,-3))</f>
        <v/>
      </c>
      <c r="S83" s="37" t="str">
        <f aca="false">IF(B83="","",Q83+R83)</f>
        <v/>
      </c>
      <c r="T83" s="24"/>
    </row>
    <row r="84" customFormat="false" ht="15" hidden="false" customHeight="false" outlineLevel="0" collapsed="false">
      <c r="A84" s="24" t="str">
        <f aca="false">IF(B84="","",79)</f>
        <v/>
      </c>
      <c r="B84" s="34" t="str">
        <f aca="false">IF(BCC_KHOAN!B84="","",BCC_KHOAN!B84)</f>
        <v/>
      </c>
      <c r="C84" s="24" t="str">
        <f aca="false">IF(B84="","",IFERROR(INDEX(NV_TEN,MATCH(B84,NV_MA,0)),"MÃ KHÔNG CÓ"))</f>
        <v/>
      </c>
      <c r="D84" s="24" t="str">
        <f aca="false">IF(B84="","",IFERROR(INDEX(NV_HINHTHUC,MATCH(B84,NV_MA,0)),""))</f>
        <v/>
      </c>
      <c r="E84" s="35" t="str">
        <f aca="false">IF(D84="Khoán",IFERROR(INDEX(NV_HESO,MATCH(B84,NV_MA,0)),0),"")</f>
        <v/>
      </c>
      <c r="F84" s="20" t="str">
        <f aca="false">IF(D84="Khoán",IFERROR(INDEX(HS_SX!$B$5:$B$30,MATCH(E84,HS_SX!$A$5:$A$30,0)),0),"")</f>
        <v/>
      </c>
      <c r="G84" s="30" t="str">
        <f aca="false">IF(B84="","",IFERROR(INDEX(BCC_GIO,MATCH(B84,BCC_MA,0)),0))</f>
        <v/>
      </c>
      <c r="H84" s="31" t="str">
        <f aca="false">IF(B84="","",G84/GIO_CONG)</f>
        <v/>
      </c>
      <c r="I84" s="36" t="n">
        <f aca="false">IF(D84="Khoán",IF(GIO_TB&gt;0,G84/GIO_TB*KL_CHEBIEN,0),0)</f>
        <v>0</v>
      </c>
      <c r="J84" s="20" t="n">
        <f aca="false">IF(D84="Khoán",F84*I84,0)</f>
        <v>0</v>
      </c>
      <c r="K84" s="20" t="n">
        <f aca="false">IF(D84="Khoán",IF(TONG_GIO_KHOAN&gt;0,QUY_HANGING/TONG_GIO_KHOAN*G84,0),0)</f>
        <v>0</v>
      </c>
      <c r="L84" s="20" t="n">
        <f aca="false">IF(D84="Khoán",IF(TONG_GIO_KHOAN&gt;0,QUY_KHAC/TONG_GIO_KHOAN*G84,0),0)</f>
        <v>0</v>
      </c>
      <c r="M84" s="20" t="n">
        <f aca="false">IF(B84="",0,SUMIFS(KHOAN_KHAC!$F$5:$F$39,KHOAN_KHAC!$G$5:$G$39,B84))</f>
        <v>0</v>
      </c>
      <c r="N84" s="20" t="n">
        <f aca="false">IF(D84="Khoán",IF(TONG_GIO_KHOAN&gt;0,QUY_CHEN/TONG_GIO_KHOAN*G84,0),0)</f>
        <v>0</v>
      </c>
      <c r="O84" s="20" t="n">
        <f aca="false">IF(D84="Khoán",IF(TONG_GIO_KHOAN&gt;0,-TONG_CONGNHAT/TONG_GIO_KHOAN*G84,0),0)</f>
        <v>0</v>
      </c>
      <c r="P84" s="20" t="n">
        <f aca="false">IF(D84="Công nhật",H84*IFERROR(IF(INDEX(NV_DGCN,MATCH(B84,NV_MA,0))="",DG_CONGNHAT,INDEX(NV_DGCN,MATCH(B84,NV_MA,0))),DG_CONGNHAT),0)</f>
        <v>0</v>
      </c>
      <c r="Q84" s="37" t="str">
        <f aca="false">IF(B84="","",IF(D84="Khoán",ROUNDDOWN(J84+K84+L84+M84+N84+O84,-3),P84+M84))</f>
        <v/>
      </c>
      <c r="R84" s="37" t="str">
        <f aca="false">IF(B84="","",ROUNDDOWN(TIENAN_CONG*H84,-3))</f>
        <v/>
      </c>
      <c r="S84" s="37" t="str">
        <f aca="false">IF(B84="","",Q84+R84)</f>
        <v/>
      </c>
      <c r="T84" s="24"/>
    </row>
    <row r="85" customFormat="false" ht="15" hidden="false" customHeight="false" outlineLevel="0" collapsed="false">
      <c r="A85" s="24" t="str">
        <f aca="false">IF(B85="","",80)</f>
        <v/>
      </c>
      <c r="B85" s="34" t="str">
        <f aca="false">IF(BCC_KHOAN!B85="","",BCC_KHOAN!B85)</f>
        <v/>
      </c>
      <c r="C85" s="24" t="str">
        <f aca="false">IF(B85="","",IFERROR(INDEX(NV_TEN,MATCH(B85,NV_MA,0)),"MÃ KHÔNG CÓ"))</f>
        <v/>
      </c>
      <c r="D85" s="24" t="str">
        <f aca="false">IF(B85="","",IFERROR(INDEX(NV_HINHTHUC,MATCH(B85,NV_MA,0)),""))</f>
        <v/>
      </c>
      <c r="E85" s="35" t="str">
        <f aca="false">IF(D85="Khoán",IFERROR(INDEX(NV_HESO,MATCH(B85,NV_MA,0)),0),"")</f>
        <v/>
      </c>
      <c r="F85" s="20" t="str">
        <f aca="false">IF(D85="Khoán",IFERROR(INDEX(HS_SX!$B$5:$B$30,MATCH(E85,HS_SX!$A$5:$A$30,0)),0),"")</f>
        <v/>
      </c>
      <c r="G85" s="30" t="str">
        <f aca="false">IF(B85="","",IFERROR(INDEX(BCC_GIO,MATCH(B85,BCC_MA,0)),0))</f>
        <v/>
      </c>
      <c r="H85" s="31" t="str">
        <f aca="false">IF(B85="","",G85/GIO_CONG)</f>
        <v/>
      </c>
      <c r="I85" s="36" t="n">
        <f aca="false">IF(D85="Khoán",IF(GIO_TB&gt;0,G85/GIO_TB*KL_CHEBIEN,0),0)</f>
        <v>0</v>
      </c>
      <c r="J85" s="20" t="n">
        <f aca="false">IF(D85="Khoán",F85*I85,0)</f>
        <v>0</v>
      </c>
      <c r="K85" s="20" t="n">
        <f aca="false">IF(D85="Khoán",IF(TONG_GIO_KHOAN&gt;0,QUY_HANGING/TONG_GIO_KHOAN*G85,0),0)</f>
        <v>0</v>
      </c>
      <c r="L85" s="20" t="n">
        <f aca="false">IF(D85="Khoán",IF(TONG_GIO_KHOAN&gt;0,QUY_KHAC/TONG_GIO_KHOAN*G85,0),0)</f>
        <v>0</v>
      </c>
      <c r="M85" s="20" t="n">
        <f aca="false">IF(B85="",0,SUMIFS(KHOAN_KHAC!$F$5:$F$39,KHOAN_KHAC!$G$5:$G$39,B85))</f>
        <v>0</v>
      </c>
      <c r="N85" s="20" t="n">
        <f aca="false">IF(D85="Khoán",IF(TONG_GIO_KHOAN&gt;0,QUY_CHEN/TONG_GIO_KHOAN*G85,0),0)</f>
        <v>0</v>
      </c>
      <c r="O85" s="20" t="n">
        <f aca="false">IF(D85="Khoán",IF(TONG_GIO_KHOAN&gt;0,-TONG_CONGNHAT/TONG_GIO_KHOAN*G85,0),0)</f>
        <v>0</v>
      </c>
      <c r="P85" s="20" t="n">
        <f aca="false">IF(D85="Công nhật",H85*IFERROR(IF(INDEX(NV_DGCN,MATCH(B85,NV_MA,0))="",DG_CONGNHAT,INDEX(NV_DGCN,MATCH(B85,NV_MA,0))),DG_CONGNHAT),0)</f>
        <v>0</v>
      </c>
      <c r="Q85" s="37" t="str">
        <f aca="false">IF(B85="","",IF(D85="Khoán",ROUNDDOWN(J85+K85+L85+M85+N85+O85,-3),P85+M85))</f>
        <v/>
      </c>
      <c r="R85" s="37" t="str">
        <f aca="false">IF(B85="","",ROUNDDOWN(TIENAN_CONG*H85,-3))</f>
        <v/>
      </c>
      <c r="S85" s="37" t="str">
        <f aca="false">IF(B85="","",Q85+R85)</f>
        <v/>
      </c>
      <c r="T85" s="24"/>
    </row>
    <row r="86" customFormat="false" ht="15" hidden="false" customHeight="false" outlineLevel="0" collapsed="false">
      <c r="A86" s="24" t="str">
        <f aca="false">IF(B86="","",81)</f>
        <v/>
      </c>
      <c r="B86" s="34" t="str">
        <f aca="false">IF(BCC_KHOAN!B86="","",BCC_KHOAN!B86)</f>
        <v/>
      </c>
      <c r="C86" s="24" t="str">
        <f aca="false">IF(B86="","",IFERROR(INDEX(NV_TEN,MATCH(B86,NV_MA,0)),"MÃ KHÔNG CÓ"))</f>
        <v/>
      </c>
      <c r="D86" s="24" t="str">
        <f aca="false">IF(B86="","",IFERROR(INDEX(NV_HINHTHUC,MATCH(B86,NV_MA,0)),""))</f>
        <v/>
      </c>
      <c r="E86" s="35" t="str">
        <f aca="false">IF(D86="Khoán",IFERROR(INDEX(NV_HESO,MATCH(B86,NV_MA,0)),0),"")</f>
        <v/>
      </c>
      <c r="F86" s="20" t="str">
        <f aca="false">IF(D86="Khoán",IFERROR(INDEX(HS_SX!$B$5:$B$30,MATCH(E86,HS_SX!$A$5:$A$30,0)),0),"")</f>
        <v/>
      </c>
      <c r="G86" s="30" t="str">
        <f aca="false">IF(B86="","",IFERROR(INDEX(BCC_GIO,MATCH(B86,BCC_MA,0)),0))</f>
        <v/>
      </c>
      <c r="H86" s="31" t="str">
        <f aca="false">IF(B86="","",G86/GIO_CONG)</f>
        <v/>
      </c>
      <c r="I86" s="36" t="n">
        <f aca="false">IF(D86="Khoán",IF(GIO_TB&gt;0,G86/GIO_TB*KL_CHEBIEN,0),0)</f>
        <v>0</v>
      </c>
      <c r="J86" s="20" t="n">
        <f aca="false">IF(D86="Khoán",F86*I86,0)</f>
        <v>0</v>
      </c>
      <c r="K86" s="20" t="n">
        <f aca="false">IF(D86="Khoán",IF(TONG_GIO_KHOAN&gt;0,QUY_HANGING/TONG_GIO_KHOAN*G86,0),0)</f>
        <v>0</v>
      </c>
      <c r="L86" s="20" t="n">
        <f aca="false">IF(D86="Khoán",IF(TONG_GIO_KHOAN&gt;0,QUY_KHAC/TONG_GIO_KHOAN*G86,0),0)</f>
        <v>0</v>
      </c>
      <c r="M86" s="20" t="n">
        <f aca="false">IF(B86="",0,SUMIFS(KHOAN_KHAC!$F$5:$F$39,KHOAN_KHAC!$G$5:$G$39,B86))</f>
        <v>0</v>
      </c>
      <c r="N86" s="20" t="n">
        <f aca="false">IF(D86="Khoán",IF(TONG_GIO_KHOAN&gt;0,QUY_CHEN/TONG_GIO_KHOAN*G86,0),0)</f>
        <v>0</v>
      </c>
      <c r="O86" s="20" t="n">
        <f aca="false">IF(D86="Khoán",IF(TONG_GIO_KHOAN&gt;0,-TONG_CONGNHAT/TONG_GIO_KHOAN*G86,0),0)</f>
        <v>0</v>
      </c>
      <c r="P86" s="20" t="n">
        <f aca="false">IF(D86="Công nhật",H86*IFERROR(IF(INDEX(NV_DGCN,MATCH(B86,NV_MA,0))="",DG_CONGNHAT,INDEX(NV_DGCN,MATCH(B86,NV_MA,0))),DG_CONGNHAT),0)</f>
        <v>0</v>
      </c>
      <c r="Q86" s="37" t="str">
        <f aca="false">IF(B86="","",IF(D86="Khoán",ROUNDDOWN(J86+K86+L86+M86+N86+O86,-3),P86+M86))</f>
        <v/>
      </c>
      <c r="R86" s="37" t="str">
        <f aca="false">IF(B86="","",ROUNDDOWN(TIENAN_CONG*H86,-3))</f>
        <v/>
      </c>
      <c r="S86" s="37" t="str">
        <f aca="false">IF(B86="","",Q86+R86)</f>
        <v/>
      </c>
      <c r="T86" s="24"/>
    </row>
    <row r="87" customFormat="false" ht="15" hidden="false" customHeight="false" outlineLevel="0" collapsed="false">
      <c r="A87" s="24" t="str">
        <f aca="false">IF(B87="","",82)</f>
        <v/>
      </c>
      <c r="B87" s="34" t="str">
        <f aca="false">IF(BCC_KHOAN!B87="","",BCC_KHOAN!B87)</f>
        <v/>
      </c>
      <c r="C87" s="24" t="str">
        <f aca="false">IF(B87="","",IFERROR(INDEX(NV_TEN,MATCH(B87,NV_MA,0)),"MÃ KHÔNG CÓ"))</f>
        <v/>
      </c>
      <c r="D87" s="24" t="str">
        <f aca="false">IF(B87="","",IFERROR(INDEX(NV_HINHTHUC,MATCH(B87,NV_MA,0)),""))</f>
        <v/>
      </c>
      <c r="E87" s="35" t="str">
        <f aca="false">IF(D87="Khoán",IFERROR(INDEX(NV_HESO,MATCH(B87,NV_MA,0)),0),"")</f>
        <v/>
      </c>
      <c r="F87" s="20" t="str">
        <f aca="false">IF(D87="Khoán",IFERROR(INDEX(HS_SX!$B$5:$B$30,MATCH(E87,HS_SX!$A$5:$A$30,0)),0),"")</f>
        <v/>
      </c>
      <c r="G87" s="30" t="str">
        <f aca="false">IF(B87="","",IFERROR(INDEX(BCC_GIO,MATCH(B87,BCC_MA,0)),0))</f>
        <v/>
      </c>
      <c r="H87" s="31" t="str">
        <f aca="false">IF(B87="","",G87/GIO_CONG)</f>
        <v/>
      </c>
      <c r="I87" s="36" t="n">
        <f aca="false">IF(D87="Khoán",IF(GIO_TB&gt;0,G87/GIO_TB*KL_CHEBIEN,0),0)</f>
        <v>0</v>
      </c>
      <c r="J87" s="20" t="n">
        <f aca="false">IF(D87="Khoán",F87*I87,0)</f>
        <v>0</v>
      </c>
      <c r="K87" s="20" t="n">
        <f aca="false">IF(D87="Khoán",IF(TONG_GIO_KHOAN&gt;0,QUY_HANGING/TONG_GIO_KHOAN*G87,0),0)</f>
        <v>0</v>
      </c>
      <c r="L87" s="20" t="n">
        <f aca="false">IF(D87="Khoán",IF(TONG_GIO_KHOAN&gt;0,QUY_KHAC/TONG_GIO_KHOAN*G87,0),0)</f>
        <v>0</v>
      </c>
      <c r="M87" s="20" t="n">
        <f aca="false">IF(B87="",0,SUMIFS(KHOAN_KHAC!$F$5:$F$39,KHOAN_KHAC!$G$5:$G$39,B87))</f>
        <v>0</v>
      </c>
      <c r="N87" s="20" t="n">
        <f aca="false">IF(D87="Khoán",IF(TONG_GIO_KHOAN&gt;0,QUY_CHEN/TONG_GIO_KHOAN*G87,0),0)</f>
        <v>0</v>
      </c>
      <c r="O87" s="20" t="n">
        <f aca="false">IF(D87="Khoán",IF(TONG_GIO_KHOAN&gt;0,-TONG_CONGNHAT/TONG_GIO_KHOAN*G87,0),0)</f>
        <v>0</v>
      </c>
      <c r="P87" s="20" t="n">
        <f aca="false">IF(D87="Công nhật",H87*IFERROR(IF(INDEX(NV_DGCN,MATCH(B87,NV_MA,0))="",DG_CONGNHAT,INDEX(NV_DGCN,MATCH(B87,NV_MA,0))),DG_CONGNHAT),0)</f>
        <v>0</v>
      </c>
      <c r="Q87" s="37" t="str">
        <f aca="false">IF(B87="","",IF(D87="Khoán",ROUNDDOWN(J87+K87+L87+M87+N87+O87,-3),P87+M87))</f>
        <v/>
      </c>
      <c r="R87" s="37" t="str">
        <f aca="false">IF(B87="","",ROUNDDOWN(TIENAN_CONG*H87,-3))</f>
        <v/>
      </c>
      <c r="S87" s="37" t="str">
        <f aca="false">IF(B87="","",Q87+R87)</f>
        <v/>
      </c>
      <c r="T87" s="24"/>
    </row>
    <row r="88" customFormat="false" ht="15" hidden="false" customHeight="false" outlineLevel="0" collapsed="false">
      <c r="A88" s="24" t="str">
        <f aca="false">IF(B88="","",83)</f>
        <v/>
      </c>
      <c r="B88" s="34" t="str">
        <f aca="false">IF(BCC_KHOAN!B88="","",BCC_KHOAN!B88)</f>
        <v/>
      </c>
      <c r="C88" s="24" t="str">
        <f aca="false">IF(B88="","",IFERROR(INDEX(NV_TEN,MATCH(B88,NV_MA,0)),"MÃ KHÔNG CÓ"))</f>
        <v/>
      </c>
      <c r="D88" s="24" t="str">
        <f aca="false">IF(B88="","",IFERROR(INDEX(NV_HINHTHUC,MATCH(B88,NV_MA,0)),""))</f>
        <v/>
      </c>
      <c r="E88" s="35" t="str">
        <f aca="false">IF(D88="Khoán",IFERROR(INDEX(NV_HESO,MATCH(B88,NV_MA,0)),0),"")</f>
        <v/>
      </c>
      <c r="F88" s="20" t="str">
        <f aca="false">IF(D88="Khoán",IFERROR(INDEX(HS_SX!$B$5:$B$30,MATCH(E88,HS_SX!$A$5:$A$30,0)),0),"")</f>
        <v/>
      </c>
      <c r="G88" s="30" t="str">
        <f aca="false">IF(B88="","",IFERROR(INDEX(BCC_GIO,MATCH(B88,BCC_MA,0)),0))</f>
        <v/>
      </c>
      <c r="H88" s="31" t="str">
        <f aca="false">IF(B88="","",G88/GIO_CONG)</f>
        <v/>
      </c>
      <c r="I88" s="36" t="n">
        <f aca="false">IF(D88="Khoán",IF(GIO_TB&gt;0,G88/GIO_TB*KL_CHEBIEN,0),0)</f>
        <v>0</v>
      </c>
      <c r="J88" s="20" t="n">
        <f aca="false">IF(D88="Khoán",F88*I88,0)</f>
        <v>0</v>
      </c>
      <c r="K88" s="20" t="n">
        <f aca="false">IF(D88="Khoán",IF(TONG_GIO_KHOAN&gt;0,QUY_HANGING/TONG_GIO_KHOAN*G88,0),0)</f>
        <v>0</v>
      </c>
      <c r="L88" s="20" t="n">
        <f aca="false">IF(D88="Khoán",IF(TONG_GIO_KHOAN&gt;0,QUY_KHAC/TONG_GIO_KHOAN*G88,0),0)</f>
        <v>0</v>
      </c>
      <c r="M88" s="20" t="n">
        <f aca="false">IF(B88="",0,SUMIFS(KHOAN_KHAC!$F$5:$F$39,KHOAN_KHAC!$G$5:$G$39,B88))</f>
        <v>0</v>
      </c>
      <c r="N88" s="20" t="n">
        <f aca="false">IF(D88="Khoán",IF(TONG_GIO_KHOAN&gt;0,QUY_CHEN/TONG_GIO_KHOAN*G88,0),0)</f>
        <v>0</v>
      </c>
      <c r="O88" s="20" t="n">
        <f aca="false">IF(D88="Khoán",IF(TONG_GIO_KHOAN&gt;0,-TONG_CONGNHAT/TONG_GIO_KHOAN*G88,0),0)</f>
        <v>0</v>
      </c>
      <c r="P88" s="20" t="n">
        <f aca="false">IF(D88="Công nhật",H88*IFERROR(IF(INDEX(NV_DGCN,MATCH(B88,NV_MA,0))="",DG_CONGNHAT,INDEX(NV_DGCN,MATCH(B88,NV_MA,0))),DG_CONGNHAT),0)</f>
        <v>0</v>
      </c>
      <c r="Q88" s="37" t="str">
        <f aca="false">IF(B88="","",IF(D88="Khoán",ROUNDDOWN(J88+K88+L88+M88+N88+O88,-3),P88+M88))</f>
        <v/>
      </c>
      <c r="R88" s="37" t="str">
        <f aca="false">IF(B88="","",ROUNDDOWN(TIENAN_CONG*H88,-3))</f>
        <v/>
      </c>
      <c r="S88" s="37" t="str">
        <f aca="false">IF(B88="","",Q88+R88)</f>
        <v/>
      </c>
      <c r="T88" s="24"/>
    </row>
    <row r="89" customFormat="false" ht="15" hidden="false" customHeight="false" outlineLevel="0" collapsed="false">
      <c r="A89" s="24" t="str">
        <f aca="false">IF(B89="","",84)</f>
        <v/>
      </c>
      <c r="B89" s="34" t="str">
        <f aca="false">IF(BCC_KHOAN!B89="","",BCC_KHOAN!B89)</f>
        <v/>
      </c>
      <c r="C89" s="24" t="str">
        <f aca="false">IF(B89="","",IFERROR(INDEX(NV_TEN,MATCH(B89,NV_MA,0)),"MÃ KHÔNG CÓ"))</f>
        <v/>
      </c>
      <c r="D89" s="24" t="str">
        <f aca="false">IF(B89="","",IFERROR(INDEX(NV_HINHTHUC,MATCH(B89,NV_MA,0)),""))</f>
        <v/>
      </c>
      <c r="E89" s="35" t="str">
        <f aca="false">IF(D89="Khoán",IFERROR(INDEX(NV_HESO,MATCH(B89,NV_MA,0)),0),"")</f>
        <v/>
      </c>
      <c r="F89" s="20" t="str">
        <f aca="false">IF(D89="Khoán",IFERROR(INDEX(HS_SX!$B$5:$B$30,MATCH(E89,HS_SX!$A$5:$A$30,0)),0),"")</f>
        <v/>
      </c>
      <c r="G89" s="30" t="str">
        <f aca="false">IF(B89="","",IFERROR(INDEX(BCC_GIO,MATCH(B89,BCC_MA,0)),0))</f>
        <v/>
      </c>
      <c r="H89" s="31" t="str">
        <f aca="false">IF(B89="","",G89/GIO_CONG)</f>
        <v/>
      </c>
      <c r="I89" s="36" t="n">
        <f aca="false">IF(D89="Khoán",IF(GIO_TB&gt;0,G89/GIO_TB*KL_CHEBIEN,0),0)</f>
        <v>0</v>
      </c>
      <c r="J89" s="20" t="n">
        <f aca="false">IF(D89="Khoán",F89*I89,0)</f>
        <v>0</v>
      </c>
      <c r="K89" s="20" t="n">
        <f aca="false">IF(D89="Khoán",IF(TONG_GIO_KHOAN&gt;0,QUY_HANGING/TONG_GIO_KHOAN*G89,0),0)</f>
        <v>0</v>
      </c>
      <c r="L89" s="20" t="n">
        <f aca="false">IF(D89="Khoán",IF(TONG_GIO_KHOAN&gt;0,QUY_KHAC/TONG_GIO_KHOAN*G89,0),0)</f>
        <v>0</v>
      </c>
      <c r="M89" s="20" t="n">
        <f aca="false">IF(B89="",0,SUMIFS(KHOAN_KHAC!$F$5:$F$39,KHOAN_KHAC!$G$5:$G$39,B89))</f>
        <v>0</v>
      </c>
      <c r="N89" s="20" t="n">
        <f aca="false">IF(D89="Khoán",IF(TONG_GIO_KHOAN&gt;0,QUY_CHEN/TONG_GIO_KHOAN*G89,0),0)</f>
        <v>0</v>
      </c>
      <c r="O89" s="20" t="n">
        <f aca="false">IF(D89="Khoán",IF(TONG_GIO_KHOAN&gt;0,-TONG_CONGNHAT/TONG_GIO_KHOAN*G89,0),0)</f>
        <v>0</v>
      </c>
      <c r="P89" s="20" t="n">
        <f aca="false">IF(D89="Công nhật",H89*IFERROR(IF(INDEX(NV_DGCN,MATCH(B89,NV_MA,0))="",DG_CONGNHAT,INDEX(NV_DGCN,MATCH(B89,NV_MA,0))),DG_CONGNHAT),0)</f>
        <v>0</v>
      </c>
      <c r="Q89" s="37" t="str">
        <f aca="false">IF(B89="","",IF(D89="Khoán",ROUNDDOWN(J89+K89+L89+M89+N89+O89,-3),P89+M89))</f>
        <v/>
      </c>
      <c r="R89" s="37" t="str">
        <f aca="false">IF(B89="","",ROUNDDOWN(TIENAN_CONG*H89,-3))</f>
        <v/>
      </c>
      <c r="S89" s="37" t="str">
        <f aca="false">IF(B89="","",Q89+R89)</f>
        <v/>
      </c>
      <c r="T89" s="24"/>
    </row>
    <row r="90" customFormat="false" ht="15" hidden="false" customHeight="false" outlineLevel="0" collapsed="false">
      <c r="A90" s="24" t="str">
        <f aca="false">IF(B90="","",85)</f>
        <v/>
      </c>
      <c r="B90" s="34" t="str">
        <f aca="false">IF(BCC_KHOAN!B90="","",BCC_KHOAN!B90)</f>
        <v/>
      </c>
      <c r="C90" s="24" t="str">
        <f aca="false">IF(B90="","",IFERROR(INDEX(NV_TEN,MATCH(B90,NV_MA,0)),"MÃ KHÔNG CÓ"))</f>
        <v/>
      </c>
      <c r="D90" s="24" t="str">
        <f aca="false">IF(B90="","",IFERROR(INDEX(NV_HINHTHUC,MATCH(B90,NV_MA,0)),""))</f>
        <v/>
      </c>
      <c r="E90" s="35" t="str">
        <f aca="false">IF(D90="Khoán",IFERROR(INDEX(NV_HESO,MATCH(B90,NV_MA,0)),0),"")</f>
        <v/>
      </c>
      <c r="F90" s="20" t="str">
        <f aca="false">IF(D90="Khoán",IFERROR(INDEX(HS_SX!$B$5:$B$30,MATCH(E90,HS_SX!$A$5:$A$30,0)),0),"")</f>
        <v/>
      </c>
      <c r="G90" s="30" t="str">
        <f aca="false">IF(B90="","",IFERROR(INDEX(BCC_GIO,MATCH(B90,BCC_MA,0)),0))</f>
        <v/>
      </c>
      <c r="H90" s="31" t="str">
        <f aca="false">IF(B90="","",G90/GIO_CONG)</f>
        <v/>
      </c>
      <c r="I90" s="36" t="n">
        <f aca="false">IF(D90="Khoán",IF(GIO_TB&gt;0,G90/GIO_TB*KL_CHEBIEN,0),0)</f>
        <v>0</v>
      </c>
      <c r="J90" s="20" t="n">
        <f aca="false">IF(D90="Khoán",F90*I90,0)</f>
        <v>0</v>
      </c>
      <c r="K90" s="20" t="n">
        <f aca="false">IF(D90="Khoán",IF(TONG_GIO_KHOAN&gt;0,QUY_HANGING/TONG_GIO_KHOAN*G90,0),0)</f>
        <v>0</v>
      </c>
      <c r="L90" s="20" t="n">
        <f aca="false">IF(D90="Khoán",IF(TONG_GIO_KHOAN&gt;0,QUY_KHAC/TONG_GIO_KHOAN*G90,0),0)</f>
        <v>0</v>
      </c>
      <c r="M90" s="20" t="n">
        <f aca="false">IF(B90="",0,SUMIFS(KHOAN_KHAC!$F$5:$F$39,KHOAN_KHAC!$G$5:$G$39,B90))</f>
        <v>0</v>
      </c>
      <c r="N90" s="20" t="n">
        <f aca="false">IF(D90="Khoán",IF(TONG_GIO_KHOAN&gt;0,QUY_CHEN/TONG_GIO_KHOAN*G90,0),0)</f>
        <v>0</v>
      </c>
      <c r="O90" s="20" t="n">
        <f aca="false">IF(D90="Khoán",IF(TONG_GIO_KHOAN&gt;0,-TONG_CONGNHAT/TONG_GIO_KHOAN*G90,0),0)</f>
        <v>0</v>
      </c>
      <c r="P90" s="20" t="n">
        <f aca="false">IF(D90="Công nhật",H90*IFERROR(IF(INDEX(NV_DGCN,MATCH(B90,NV_MA,0))="",DG_CONGNHAT,INDEX(NV_DGCN,MATCH(B90,NV_MA,0))),DG_CONGNHAT),0)</f>
        <v>0</v>
      </c>
      <c r="Q90" s="37" t="str">
        <f aca="false">IF(B90="","",IF(D90="Khoán",ROUNDDOWN(J90+K90+L90+M90+N90+O90,-3),P90+M90))</f>
        <v/>
      </c>
      <c r="R90" s="37" t="str">
        <f aca="false">IF(B90="","",ROUNDDOWN(TIENAN_CONG*H90,-3))</f>
        <v/>
      </c>
      <c r="S90" s="37" t="str">
        <f aca="false">IF(B90="","",Q90+R90)</f>
        <v/>
      </c>
      <c r="T90" s="24"/>
    </row>
    <row r="91" customFormat="false" ht="15" hidden="false" customHeight="false" outlineLevel="0" collapsed="false">
      <c r="A91" s="24" t="str">
        <f aca="false">IF(B91="","",86)</f>
        <v/>
      </c>
      <c r="B91" s="34" t="str">
        <f aca="false">IF(BCC_KHOAN!B91="","",BCC_KHOAN!B91)</f>
        <v/>
      </c>
      <c r="C91" s="24" t="str">
        <f aca="false">IF(B91="","",IFERROR(INDEX(NV_TEN,MATCH(B91,NV_MA,0)),"MÃ KHÔNG CÓ"))</f>
        <v/>
      </c>
      <c r="D91" s="24" t="str">
        <f aca="false">IF(B91="","",IFERROR(INDEX(NV_HINHTHUC,MATCH(B91,NV_MA,0)),""))</f>
        <v/>
      </c>
      <c r="E91" s="35" t="str">
        <f aca="false">IF(D91="Khoán",IFERROR(INDEX(NV_HESO,MATCH(B91,NV_MA,0)),0),"")</f>
        <v/>
      </c>
      <c r="F91" s="20" t="str">
        <f aca="false">IF(D91="Khoán",IFERROR(INDEX(HS_SX!$B$5:$B$30,MATCH(E91,HS_SX!$A$5:$A$30,0)),0),"")</f>
        <v/>
      </c>
      <c r="G91" s="30" t="str">
        <f aca="false">IF(B91="","",IFERROR(INDEX(BCC_GIO,MATCH(B91,BCC_MA,0)),0))</f>
        <v/>
      </c>
      <c r="H91" s="31" t="str">
        <f aca="false">IF(B91="","",G91/GIO_CONG)</f>
        <v/>
      </c>
      <c r="I91" s="36" t="n">
        <f aca="false">IF(D91="Khoán",IF(GIO_TB&gt;0,G91/GIO_TB*KL_CHEBIEN,0),0)</f>
        <v>0</v>
      </c>
      <c r="J91" s="20" t="n">
        <f aca="false">IF(D91="Khoán",F91*I91,0)</f>
        <v>0</v>
      </c>
      <c r="K91" s="20" t="n">
        <f aca="false">IF(D91="Khoán",IF(TONG_GIO_KHOAN&gt;0,QUY_HANGING/TONG_GIO_KHOAN*G91,0),0)</f>
        <v>0</v>
      </c>
      <c r="L91" s="20" t="n">
        <f aca="false">IF(D91="Khoán",IF(TONG_GIO_KHOAN&gt;0,QUY_KHAC/TONG_GIO_KHOAN*G91,0),0)</f>
        <v>0</v>
      </c>
      <c r="M91" s="20" t="n">
        <f aca="false">IF(B91="",0,SUMIFS(KHOAN_KHAC!$F$5:$F$39,KHOAN_KHAC!$G$5:$G$39,B91))</f>
        <v>0</v>
      </c>
      <c r="N91" s="20" t="n">
        <f aca="false">IF(D91="Khoán",IF(TONG_GIO_KHOAN&gt;0,QUY_CHEN/TONG_GIO_KHOAN*G91,0),0)</f>
        <v>0</v>
      </c>
      <c r="O91" s="20" t="n">
        <f aca="false">IF(D91="Khoán",IF(TONG_GIO_KHOAN&gt;0,-TONG_CONGNHAT/TONG_GIO_KHOAN*G91,0),0)</f>
        <v>0</v>
      </c>
      <c r="P91" s="20" t="n">
        <f aca="false">IF(D91="Công nhật",H91*IFERROR(IF(INDEX(NV_DGCN,MATCH(B91,NV_MA,0))="",DG_CONGNHAT,INDEX(NV_DGCN,MATCH(B91,NV_MA,0))),DG_CONGNHAT),0)</f>
        <v>0</v>
      </c>
      <c r="Q91" s="37" t="str">
        <f aca="false">IF(B91="","",IF(D91="Khoán",ROUNDDOWN(J91+K91+L91+M91+N91+O91,-3),P91+M91))</f>
        <v/>
      </c>
      <c r="R91" s="37" t="str">
        <f aca="false">IF(B91="","",ROUNDDOWN(TIENAN_CONG*H91,-3))</f>
        <v/>
      </c>
      <c r="S91" s="37" t="str">
        <f aca="false">IF(B91="","",Q91+R91)</f>
        <v/>
      </c>
      <c r="T91" s="24"/>
    </row>
    <row r="92" customFormat="false" ht="15" hidden="false" customHeight="false" outlineLevel="0" collapsed="false">
      <c r="A92" s="24" t="str">
        <f aca="false">IF(B92="","",87)</f>
        <v/>
      </c>
      <c r="B92" s="34" t="str">
        <f aca="false">IF(BCC_KHOAN!B92="","",BCC_KHOAN!B92)</f>
        <v/>
      </c>
      <c r="C92" s="24" t="str">
        <f aca="false">IF(B92="","",IFERROR(INDEX(NV_TEN,MATCH(B92,NV_MA,0)),"MÃ KHÔNG CÓ"))</f>
        <v/>
      </c>
      <c r="D92" s="24" t="str">
        <f aca="false">IF(B92="","",IFERROR(INDEX(NV_HINHTHUC,MATCH(B92,NV_MA,0)),""))</f>
        <v/>
      </c>
      <c r="E92" s="35" t="str">
        <f aca="false">IF(D92="Khoán",IFERROR(INDEX(NV_HESO,MATCH(B92,NV_MA,0)),0),"")</f>
        <v/>
      </c>
      <c r="F92" s="20" t="str">
        <f aca="false">IF(D92="Khoán",IFERROR(INDEX(HS_SX!$B$5:$B$30,MATCH(E92,HS_SX!$A$5:$A$30,0)),0),"")</f>
        <v/>
      </c>
      <c r="G92" s="30" t="str">
        <f aca="false">IF(B92="","",IFERROR(INDEX(BCC_GIO,MATCH(B92,BCC_MA,0)),0))</f>
        <v/>
      </c>
      <c r="H92" s="31" t="str">
        <f aca="false">IF(B92="","",G92/GIO_CONG)</f>
        <v/>
      </c>
      <c r="I92" s="36" t="n">
        <f aca="false">IF(D92="Khoán",IF(GIO_TB&gt;0,G92/GIO_TB*KL_CHEBIEN,0),0)</f>
        <v>0</v>
      </c>
      <c r="J92" s="20" t="n">
        <f aca="false">IF(D92="Khoán",F92*I92,0)</f>
        <v>0</v>
      </c>
      <c r="K92" s="20" t="n">
        <f aca="false">IF(D92="Khoán",IF(TONG_GIO_KHOAN&gt;0,QUY_HANGING/TONG_GIO_KHOAN*G92,0),0)</f>
        <v>0</v>
      </c>
      <c r="L92" s="20" t="n">
        <f aca="false">IF(D92="Khoán",IF(TONG_GIO_KHOAN&gt;0,QUY_KHAC/TONG_GIO_KHOAN*G92,0),0)</f>
        <v>0</v>
      </c>
      <c r="M92" s="20" t="n">
        <f aca="false">IF(B92="",0,SUMIFS(KHOAN_KHAC!$F$5:$F$39,KHOAN_KHAC!$G$5:$G$39,B92))</f>
        <v>0</v>
      </c>
      <c r="N92" s="20" t="n">
        <f aca="false">IF(D92="Khoán",IF(TONG_GIO_KHOAN&gt;0,QUY_CHEN/TONG_GIO_KHOAN*G92,0),0)</f>
        <v>0</v>
      </c>
      <c r="O92" s="20" t="n">
        <f aca="false">IF(D92="Khoán",IF(TONG_GIO_KHOAN&gt;0,-TONG_CONGNHAT/TONG_GIO_KHOAN*G92,0),0)</f>
        <v>0</v>
      </c>
      <c r="P92" s="20" t="n">
        <f aca="false">IF(D92="Công nhật",H92*IFERROR(IF(INDEX(NV_DGCN,MATCH(B92,NV_MA,0))="",DG_CONGNHAT,INDEX(NV_DGCN,MATCH(B92,NV_MA,0))),DG_CONGNHAT),0)</f>
        <v>0</v>
      </c>
      <c r="Q92" s="37" t="str">
        <f aca="false">IF(B92="","",IF(D92="Khoán",ROUNDDOWN(J92+K92+L92+M92+N92+O92,-3),P92+M92))</f>
        <v/>
      </c>
      <c r="R92" s="37" t="str">
        <f aca="false">IF(B92="","",ROUNDDOWN(TIENAN_CONG*H92,-3))</f>
        <v/>
      </c>
      <c r="S92" s="37" t="str">
        <f aca="false">IF(B92="","",Q92+R92)</f>
        <v/>
      </c>
      <c r="T92" s="24"/>
    </row>
    <row r="93" customFormat="false" ht="15" hidden="false" customHeight="false" outlineLevel="0" collapsed="false">
      <c r="A93" s="24" t="str">
        <f aca="false">IF(B93="","",88)</f>
        <v/>
      </c>
      <c r="B93" s="34" t="str">
        <f aca="false">IF(BCC_KHOAN!B93="","",BCC_KHOAN!B93)</f>
        <v/>
      </c>
      <c r="C93" s="24" t="str">
        <f aca="false">IF(B93="","",IFERROR(INDEX(NV_TEN,MATCH(B93,NV_MA,0)),"MÃ KHÔNG CÓ"))</f>
        <v/>
      </c>
      <c r="D93" s="24" t="str">
        <f aca="false">IF(B93="","",IFERROR(INDEX(NV_HINHTHUC,MATCH(B93,NV_MA,0)),""))</f>
        <v/>
      </c>
      <c r="E93" s="35" t="str">
        <f aca="false">IF(D93="Khoán",IFERROR(INDEX(NV_HESO,MATCH(B93,NV_MA,0)),0),"")</f>
        <v/>
      </c>
      <c r="F93" s="20" t="str">
        <f aca="false">IF(D93="Khoán",IFERROR(INDEX(HS_SX!$B$5:$B$30,MATCH(E93,HS_SX!$A$5:$A$30,0)),0),"")</f>
        <v/>
      </c>
      <c r="G93" s="30" t="str">
        <f aca="false">IF(B93="","",IFERROR(INDEX(BCC_GIO,MATCH(B93,BCC_MA,0)),0))</f>
        <v/>
      </c>
      <c r="H93" s="31" t="str">
        <f aca="false">IF(B93="","",G93/GIO_CONG)</f>
        <v/>
      </c>
      <c r="I93" s="36" t="n">
        <f aca="false">IF(D93="Khoán",IF(GIO_TB&gt;0,G93/GIO_TB*KL_CHEBIEN,0),0)</f>
        <v>0</v>
      </c>
      <c r="J93" s="20" t="n">
        <f aca="false">IF(D93="Khoán",F93*I93,0)</f>
        <v>0</v>
      </c>
      <c r="K93" s="20" t="n">
        <f aca="false">IF(D93="Khoán",IF(TONG_GIO_KHOAN&gt;0,QUY_HANGING/TONG_GIO_KHOAN*G93,0),0)</f>
        <v>0</v>
      </c>
      <c r="L93" s="20" t="n">
        <f aca="false">IF(D93="Khoán",IF(TONG_GIO_KHOAN&gt;0,QUY_KHAC/TONG_GIO_KHOAN*G93,0),0)</f>
        <v>0</v>
      </c>
      <c r="M93" s="20" t="n">
        <f aca="false">IF(B93="",0,SUMIFS(KHOAN_KHAC!$F$5:$F$39,KHOAN_KHAC!$G$5:$G$39,B93))</f>
        <v>0</v>
      </c>
      <c r="N93" s="20" t="n">
        <f aca="false">IF(D93="Khoán",IF(TONG_GIO_KHOAN&gt;0,QUY_CHEN/TONG_GIO_KHOAN*G93,0),0)</f>
        <v>0</v>
      </c>
      <c r="O93" s="20" t="n">
        <f aca="false">IF(D93="Khoán",IF(TONG_GIO_KHOAN&gt;0,-TONG_CONGNHAT/TONG_GIO_KHOAN*G93,0),0)</f>
        <v>0</v>
      </c>
      <c r="P93" s="20" t="n">
        <f aca="false">IF(D93="Công nhật",H93*IFERROR(IF(INDEX(NV_DGCN,MATCH(B93,NV_MA,0))="",DG_CONGNHAT,INDEX(NV_DGCN,MATCH(B93,NV_MA,0))),DG_CONGNHAT),0)</f>
        <v>0</v>
      </c>
      <c r="Q93" s="37" t="str">
        <f aca="false">IF(B93="","",IF(D93="Khoán",ROUNDDOWN(J93+K93+L93+M93+N93+O93,-3),P93+M93))</f>
        <v/>
      </c>
      <c r="R93" s="37" t="str">
        <f aca="false">IF(B93="","",ROUNDDOWN(TIENAN_CONG*H93,-3))</f>
        <v/>
      </c>
      <c r="S93" s="37" t="str">
        <f aca="false">IF(B93="","",Q93+R93)</f>
        <v/>
      </c>
      <c r="T93" s="24"/>
    </row>
    <row r="94" customFormat="false" ht="15" hidden="false" customHeight="false" outlineLevel="0" collapsed="false">
      <c r="A94" s="24" t="str">
        <f aca="false">IF(B94="","",89)</f>
        <v/>
      </c>
      <c r="B94" s="34" t="str">
        <f aca="false">IF(BCC_KHOAN!B94="","",BCC_KHOAN!B94)</f>
        <v/>
      </c>
      <c r="C94" s="24" t="str">
        <f aca="false">IF(B94="","",IFERROR(INDEX(NV_TEN,MATCH(B94,NV_MA,0)),"MÃ KHÔNG CÓ"))</f>
        <v/>
      </c>
      <c r="D94" s="24" t="str">
        <f aca="false">IF(B94="","",IFERROR(INDEX(NV_HINHTHUC,MATCH(B94,NV_MA,0)),""))</f>
        <v/>
      </c>
      <c r="E94" s="35" t="str">
        <f aca="false">IF(D94="Khoán",IFERROR(INDEX(NV_HESO,MATCH(B94,NV_MA,0)),0),"")</f>
        <v/>
      </c>
      <c r="F94" s="20" t="str">
        <f aca="false">IF(D94="Khoán",IFERROR(INDEX(HS_SX!$B$5:$B$30,MATCH(E94,HS_SX!$A$5:$A$30,0)),0),"")</f>
        <v/>
      </c>
      <c r="G94" s="30" t="str">
        <f aca="false">IF(B94="","",IFERROR(INDEX(BCC_GIO,MATCH(B94,BCC_MA,0)),0))</f>
        <v/>
      </c>
      <c r="H94" s="31" t="str">
        <f aca="false">IF(B94="","",G94/GIO_CONG)</f>
        <v/>
      </c>
      <c r="I94" s="36" t="n">
        <f aca="false">IF(D94="Khoán",IF(GIO_TB&gt;0,G94/GIO_TB*KL_CHEBIEN,0),0)</f>
        <v>0</v>
      </c>
      <c r="J94" s="20" t="n">
        <f aca="false">IF(D94="Khoán",F94*I94,0)</f>
        <v>0</v>
      </c>
      <c r="K94" s="20" t="n">
        <f aca="false">IF(D94="Khoán",IF(TONG_GIO_KHOAN&gt;0,QUY_HANGING/TONG_GIO_KHOAN*G94,0),0)</f>
        <v>0</v>
      </c>
      <c r="L94" s="20" t="n">
        <f aca="false">IF(D94="Khoán",IF(TONG_GIO_KHOAN&gt;0,QUY_KHAC/TONG_GIO_KHOAN*G94,0),0)</f>
        <v>0</v>
      </c>
      <c r="M94" s="20" t="n">
        <f aca="false">IF(B94="",0,SUMIFS(KHOAN_KHAC!$F$5:$F$39,KHOAN_KHAC!$G$5:$G$39,B94))</f>
        <v>0</v>
      </c>
      <c r="N94" s="20" t="n">
        <f aca="false">IF(D94="Khoán",IF(TONG_GIO_KHOAN&gt;0,QUY_CHEN/TONG_GIO_KHOAN*G94,0),0)</f>
        <v>0</v>
      </c>
      <c r="O94" s="20" t="n">
        <f aca="false">IF(D94="Khoán",IF(TONG_GIO_KHOAN&gt;0,-TONG_CONGNHAT/TONG_GIO_KHOAN*G94,0),0)</f>
        <v>0</v>
      </c>
      <c r="P94" s="20" t="n">
        <f aca="false">IF(D94="Công nhật",H94*IFERROR(IF(INDEX(NV_DGCN,MATCH(B94,NV_MA,0))="",DG_CONGNHAT,INDEX(NV_DGCN,MATCH(B94,NV_MA,0))),DG_CONGNHAT),0)</f>
        <v>0</v>
      </c>
      <c r="Q94" s="37" t="str">
        <f aca="false">IF(B94="","",IF(D94="Khoán",ROUNDDOWN(J94+K94+L94+M94+N94+O94,-3),P94+M94))</f>
        <v/>
      </c>
      <c r="R94" s="37" t="str">
        <f aca="false">IF(B94="","",ROUNDDOWN(TIENAN_CONG*H94,-3))</f>
        <v/>
      </c>
      <c r="S94" s="37" t="str">
        <f aca="false">IF(B94="","",Q94+R94)</f>
        <v/>
      </c>
      <c r="T94" s="24"/>
    </row>
    <row r="95" customFormat="false" ht="15" hidden="false" customHeight="false" outlineLevel="0" collapsed="false">
      <c r="A95" s="24" t="str">
        <f aca="false">IF(B95="","",90)</f>
        <v/>
      </c>
      <c r="B95" s="34" t="str">
        <f aca="false">IF(BCC_KHOAN!B95="","",BCC_KHOAN!B95)</f>
        <v/>
      </c>
      <c r="C95" s="24" t="str">
        <f aca="false">IF(B95="","",IFERROR(INDEX(NV_TEN,MATCH(B95,NV_MA,0)),"MÃ KHÔNG CÓ"))</f>
        <v/>
      </c>
      <c r="D95" s="24" t="str">
        <f aca="false">IF(B95="","",IFERROR(INDEX(NV_HINHTHUC,MATCH(B95,NV_MA,0)),""))</f>
        <v/>
      </c>
      <c r="E95" s="35" t="str">
        <f aca="false">IF(D95="Khoán",IFERROR(INDEX(NV_HESO,MATCH(B95,NV_MA,0)),0),"")</f>
        <v/>
      </c>
      <c r="F95" s="20" t="str">
        <f aca="false">IF(D95="Khoán",IFERROR(INDEX(HS_SX!$B$5:$B$30,MATCH(E95,HS_SX!$A$5:$A$30,0)),0),"")</f>
        <v/>
      </c>
      <c r="G95" s="30" t="str">
        <f aca="false">IF(B95="","",IFERROR(INDEX(BCC_GIO,MATCH(B95,BCC_MA,0)),0))</f>
        <v/>
      </c>
      <c r="H95" s="31" t="str">
        <f aca="false">IF(B95="","",G95/GIO_CONG)</f>
        <v/>
      </c>
      <c r="I95" s="36" t="n">
        <f aca="false">IF(D95="Khoán",IF(GIO_TB&gt;0,G95/GIO_TB*KL_CHEBIEN,0),0)</f>
        <v>0</v>
      </c>
      <c r="J95" s="20" t="n">
        <f aca="false">IF(D95="Khoán",F95*I95,0)</f>
        <v>0</v>
      </c>
      <c r="K95" s="20" t="n">
        <f aca="false">IF(D95="Khoán",IF(TONG_GIO_KHOAN&gt;0,QUY_HANGING/TONG_GIO_KHOAN*G95,0),0)</f>
        <v>0</v>
      </c>
      <c r="L95" s="20" t="n">
        <f aca="false">IF(D95="Khoán",IF(TONG_GIO_KHOAN&gt;0,QUY_KHAC/TONG_GIO_KHOAN*G95,0),0)</f>
        <v>0</v>
      </c>
      <c r="M95" s="20" t="n">
        <f aca="false">IF(B95="",0,SUMIFS(KHOAN_KHAC!$F$5:$F$39,KHOAN_KHAC!$G$5:$G$39,B95))</f>
        <v>0</v>
      </c>
      <c r="N95" s="20" t="n">
        <f aca="false">IF(D95="Khoán",IF(TONG_GIO_KHOAN&gt;0,QUY_CHEN/TONG_GIO_KHOAN*G95,0),0)</f>
        <v>0</v>
      </c>
      <c r="O95" s="20" t="n">
        <f aca="false">IF(D95="Khoán",IF(TONG_GIO_KHOAN&gt;0,-TONG_CONGNHAT/TONG_GIO_KHOAN*G95,0),0)</f>
        <v>0</v>
      </c>
      <c r="P95" s="20" t="n">
        <f aca="false">IF(D95="Công nhật",H95*IFERROR(IF(INDEX(NV_DGCN,MATCH(B95,NV_MA,0))="",DG_CONGNHAT,INDEX(NV_DGCN,MATCH(B95,NV_MA,0))),DG_CONGNHAT),0)</f>
        <v>0</v>
      </c>
      <c r="Q95" s="37" t="str">
        <f aca="false">IF(B95="","",IF(D95="Khoán",ROUNDDOWN(J95+K95+L95+M95+N95+O95,-3),P95+M95))</f>
        <v/>
      </c>
      <c r="R95" s="37" t="str">
        <f aca="false">IF(B95="","",ROUNDDOWN(TIENAN_CONG*H95,-3))</f>
        <v/>
      </c>
      <c r="S95" s="37" t="str">
        <f aca="false">IF(B95="","",Q95+R95)</f>
        <v/>
      </c>
      <c r="T95" s="24"/>
    </row>
    <row r="96" customFormat="false" ht="15" hidden="false" customHeight="false" outlineLevel="0" collapsed="false">
      <c r="A96" s="24" t="str">
        <f aca="false">IF(B96="","",91)</f>
        <v/>
      </c>
      <c r="B96" s="34" t="str">
        <f aca="false">IF(BCC_KHOAN!B96="","",BCC_KHOAN!B96)</f>
        <v/>
      </c>
      <c r="C96" s="24" t="str">
        <f aca="false">IF(B96="","",IFERROR(INDEX(NV_TEN,MATCH(B96,NV_MA,0)),"MÃ KHÔNG CÓ"))</f>
        <v/>
      </c>
      <c r="D96" s="24" t="str">
        <f aca="false">IF(B96="","",IFERROR(INDEX(NV_HINHTHUC,MATCH(B96,NV_MA,0)),""))</f>
        <v/>
      </c>
      <c r="E96" s="35" t="str">
        <f aca="false">IF(D96="Khoán",IFERROR(INDEX(NV_HESO,MATCH(B96,NV_MA,0)),0),"")</f>
        <v/>
      </c>
      <c r="F96" s="20" t="str">
        <f aca="false">IF(D96="Khoán",IFERROR(INDEX(HS_SX!$B$5:$B$30,MATCH(E96,HS_SX!$A$5:$A$30,0)),0),"")</f>
        <v/>
      </c>
      <c r="G96" s="30" t="str">
        <f aca="false">IF(B96="","",IFERROR(INDEX(BCC_GIO,MATCH(B96,BCC_MA,0)),0))</f>
        <v/>
      </c>
      <c r="H96" s="31" t="str">
        <f aca="false">IF(B96="","",G96/GIO_CONG)</f>
        <v/>
      </c>
      <c r="I96" s="36" t="n">
        <f aca="false">IF(D96="Khoán",IF(GIO_TB&gt;0,G96/GIO_TB*KL_CHEBIEN,0),0)</f>
        <v>0</v>
      </c>
      <c r="J96" s="20" t="n">
        <f aca="false">IF(D96="Khoán",F96*I96,0)</f>
        <v>0</v>
      </c>
      <c r="K96" s="20" t="n">
        <f aca="false">IF(D96="Khoán",IF(TONG_GIO_KHOAN&gt;0,QUY_HANGING/TONG_GIO_KHOAN*G96,0),0)</f>
        <v>0</v>
      </c>
      <c r="L96" s="20" t="n">
        <f aca="false">IF(D96="Khoán",IF(TONG_GIO_KHOAN&gt;0,QUY_KHAC/TONG_GIO_KHOAN*G96,0),0)</f>
        <v>0</v>
      </c>
      <c r="M96" s="20" t="n">
        <f aca="false">IF(B96="",0,SUMIFS(KHOAN_KHAC!$F$5:$F$39,KHOAN_KHAC!$G$5:$G$39,B96))</f>
        <v>0</v>
      </c>
      <c r="N96" s="20" t="n">
        <f aca="false">IF(D96="Khoán",IF(TONG_GIO_KHOAN&gt;0,QUY_CHEN/TONG_GIO_KHOAN*G96,0),0)</f>
        <v>0</v>
      </c>
      <c r="O96" s="20" t="n">
        <f aca="false">IF(D96="Khoán",IF(TONG_GIO_KHOAN&gt;0,-TONG_CONGNHAT/TONG_GIO_KHOAN*G96,0),0)</f>
        <v>0</v>
      </c>
      <c r="P96" s="20" t="n">
        <f aca="false">IF(D96="Công nhật",H96*IFERROR(IF(INDEX(NV_DGCN,MATCH(B96,NV_MA,0))="",DG_CONGNHAT,INDEX(NV_DGCN,MATCH(B96,NV_MA,0))),DG_CONGNHAT),0)</f>
        <v>0</v>
      </c>
      <c r="Q96" s="37" t="str">
        <f aca="false">IF(B96="","",IF(D96="Khoán",ROUNDDOWN(J96+K96+L96+M96+N96+O96,-3),P96+M96))</f>
        <v/>
      </c>
      <c r="R96" s="37" t="str">
        <f aca="false">IF(B96="","",ROUNDDOWN(TIENAN_CONG*H96,-3))</f>
        <v/>
      </c>
      <c r="S96" s="37" t="str">
        <f aca="false">IF(B96="","",Q96+R96)</f>
        <v/>
      </c>
      <c r="T96" s="24"/>
    </row>
    <row r="97" customFormat="false" ht="15" hidden="false" customHeight="false" outlineLevel="0" collapsed="false">
      <c r="A97" s="24" t="str">
        <f aca="false">IF(B97="","",92)</f>
        <v/>
      </c>
      <c r="B97" s="34" t="str">
        <f aca="false">IF(BCC_KHOAN!B97="","",BCC_KHOAN!B97)</f>
        <v/>
      </c>
      <c r="C97" s="24" t="str">
        <f aca="false">IF(B97="","",IFERROR(INDEX(NV_TEN,MATCH(B97,NV_MA,0)),"MÃ KHÔNG CÓ"))</f>
        <v/>
      </c>
      <c r="D97" s="24" t="str">
        <f aca="false">IF(B97="","",IFERROR(INDEX(NV_HINHTHUC,MATCH(B97,NV_MA,0)),""))</f>
        <v/>
      </c>
      <c r="E97" s="35" t="str">
        <f aca="false">IF(D97="Khoán",IFERROR(INDEX(NV_HESO,MATCH(B97,NV_MA,0)),0),"")</f>
        <v/>
      </c>
      <c r="F97" s="20" t="str">
        <f aca="false">IF(D97="Khoán",IFERROR(INDEX(HS_SX!$B$5:$B$30,MATCH(E97,HS_SX!$A$5:$A$30,0)),0),"")</f>
        <v/>
      </c>
      <c r="G97" s="30" t="str">
        <f aca="false">IF(B97="","",IFERROR(INDEX(BCC_GIO,MATCH(B97,BCC_MA,0)),0))</f>
        <v/>
      </c>
      <c r="H97" s="31" t="str">
        <f aca="false">IF(B97="","",G97/GIO_CONG)</f>
        <v/>
      </c>
      <c r="I97" s="36" t="n">
        <f aca="false">IF(D97="Khoán",IF(GIO_TB&gt;0,G97/GIO_TB*KL_CHEBIEN,0),0)</f>
        <v>0</v>
      </c>
      <c r="J97" s="20" t="n">
        <f aca="false">IF(D97="Khoán",F97*I97,0)</f>
        <v>0</v>
      </c>
      <c r="K97" s="20" t="n">
        <f aca="false">IF(D97="Khoán",IF(TONG_GIO_KHOAN&gt;0,QUY_HANGING/TONG_GIO_KHOAN*G97,0),0)</f>
        <v>0</v>
      </c>
      <c r="L97" s="20" t="n">
        <f aca="false">IF(D97="Khoán",IF(TONG_GIO_KHOAN&gt;0,QUY_KHAC/TONG_GIO_KHOAN*G97,0),0)</f>
        <v>0</v>
      </c>
      <c r="M97" s="20" t="n">
        <f aca="false">IF(B97="",0,SUMIFS(KHOAN_KHAC!$F$5:$F$39,KHOAN_KHAC!$G$5:$G$39,B97))</f>
        <v>0</v>
      </c>
      <c r="N97" s="20" t="n">
        <f aca="false">IF(D97="Khoán",IF(TONG_GIO_KHOAN&gt;0,QUY_CHEN/TONG_GIO_KHOAN*G97,0),0)</f>
        <v>0</v>
      </c>
      <c r="O97" s="20" t="n">
        <f aca="false">IF(D97="Khoán",IF(TONG_GIO_KHOAN&gt;0,-TONG_CONGNHAT/TONG_GIO_KHOAN*G97,0),0)</f>
        <v>0</v>
      </c>
      <c r="P97" s="20" t="n">
        <f aca="false">IF(D97="Công nhật",H97*IFERROR(IF(INDEX(NV_DGCN,MATCH(B97,NV_MA,0))="",DG_CONGNHAT,INDEX(NV_DGCN,MATCH(B97,NV_MA,0))),DG_CONGNHAT),0)</f>
        <v>0</v>
      </c>
      <c r="Q97" s="37" t="str">
        <f aca="false">IF(B97="","",IF(D97="Khoán",ROUNDDOWN(J97+K97+L97+M97+N97+O97,-3),P97+M97))</f>
        <v/>
      </c>
      <c r="R97" s="37" t="str">
        <f aca="false">IF(B97="","",ROUNDDOWN(TIENAN_CONG*H97,-3))</f>
        <v/>
      </c>
      <c r="S97" s="37" t="str">
        <f aca="false">IF(B97="","",Q97+R97)</f>
        <v/>
      </c>
      <c r="T97" s="24"/>
    </row>
    <row r="98" customFormat="false" ht="15" hidden="false" customHeight="false" outlineLevel="0" collapsed="false">
      <c r="A98" s="24" t="str">
        <f aca="false">IF(B98="","",93)</f>
        <v/>
      </c>
      <c r="B98" s="34" t="str">
        <f aca="false">IF(BCC_KHOAN!B98="","",BCC_KHOAN!B98)</f>
        <v/>
      </c>
      <c r="C98" s="24" t="str">
        <f aca="false">IF(B98="","",IFERROR(INDEX(NV_TEN,MATCH(B98,NV_MA,0)),"MÃ KHÔNG CÓ"))</f>
        <v/>
      </c>
      <c r="D98" s="24" t="str">
        <f aca="false">IF(B98="","",IFERROR(INDEX(NV_HINHTHUC,MATCH(B98,NV_MA,0)),""))</f>
        <v/>
      </c>
      <c r="E98" s="35" t="str">
        <f aca="false">IF(D98="Khoán",IFERROR(INDEX(NV_HESO,MATCH(B98,NV_MA,0)),0),"")</f>
        <v/>
      </c>
      <c r="F98" s="20" t="str">
        <f aca="false">IF(D98="Khoán",IFERROR(INDEX(HS_SX!$B$5:$B$30,MATCH(E98,HS_SX!$A$5:$A$30,0)),0),"")</f>
        <v/>
      </c>
      <c r="G98" s="30" t="str">
        <f aca="false">IF(B98="","",IFERROR(INDEX(BCC_GIO,MATCH(B98,BCC_MA,0)),0))</f>
        <v/>
      </c>
      <c r="H98" s="31" t="str">
        <f aca="false">IF(B98="","",G98/GIO_CONG)</f>
        <v/>
      </c>
      <c r="I98" s="36" t="n">
        <f aca="false">IF(D98="Khoán",IF(GIO_TB&gt;0,G98/GIO_TB*KL_CHEBIEN,0),0)</f>
        <v>0</v>
      </c>
      <c r="J98" s="20" t="n">
        <f aca="false">IF(D98="Khoán",F98*I98,0)</f>
        <v>0</v>
      </c>
      <c r="K98" s="20" t="n">
        <f aca="false">IF(D98="Khoán",IF(TONG_GIO_KHOAN&gt;0,QUY_HANGING/TONG_GIO_KHOAN*G98,0),0)</f>
        <v>0</v>
      </c>
      <c r="L98" s="20" t="n">
        <f aca="false">IF(D98="Khoán",IF(TONG_GIO_KHOAN&gt;0,QUY_KHAC/TONG_GIO_KHOAN*G98,0),0)</f>
        <v>0</v>
      </c>
      <c r="M98" s="20" t="n">
        <f aca="false">IF(B98="",0,SUMIFS(KHOAN_KHAC!$F$5:$F$39,KHOAN_KHAC!$G$5:$G$39,B98))</f>
        <v>0</v>
      </c>
      <c r="N98" s="20" t="n">
        <f aca="false">IF(D98="Khoán",IF(TONG_GIO_KHOAN&gt;0,QUY_CHEN/TONG_GIO_KHOAN*G98,0),0)</f>
        <v>0</v>
      </c>
      <c r="O98" s="20" t="n">
        <f aca="false">IF(D98="Khoán",IF(TONG_GIO_KHOAN&gt;0,-TONG_CONGNHAT/TONG_GIO_KHOAN*G98,0),0)</f>
        <v>0</v>
      </c>
      <c r="P98" s="20" t="n">
        <f aca="false">IF(D98="Công nhật",H98*IFERROR(IF(INDEX(NV_DGCN,MATCH(B98,NV_MA,0))="",DG_CONGNHAT,INDEX(NV_DGCN,MATCH(B98,NV_MA,0))),DG_CONGNHAT),0)</f>
        <v>0</v>
      </c>
      <c r="Q98" s="37" t="str">
        <f aca="false">IF(B98="","",IF(D98="Khoán",ROUNDDOWN(J98+K98+L98+M98+N98+O98,-3),P98+M98))</f>
        <v/>
      </c>
      <c r="R98" s="37" t="str">
        <f aca="false">IF(B98="","",ROUNDDOWN(TIENAN_CONG*H98,-3))</f>
        <v/>
      </c>
      <c r="S98" s="37" t="str">
        <f aca="false">IF(B98="","",Q98+R98)</f>
        <v/>
      </c>
      <c r="T98" s="24"/>
    </row>
    <row r="99" customFormat="false" ht="15" hidden="false" customHeight="false" outlineLevel="0" collapsed="false">
      <c r="A99" s="24" t="str">
        <f aca="false">IF(B99="","",94)</f>
        <v/>
      </c>
      <c r="B99" s="34" t="str">
        <f aca="false">IF(BCC_KHOAN!B99="","",BCC_KHOAN!B99)</f>
        <v/>
      </c>
      <c r="C99" s="24" t="str">
        <f aca="false">IF(B99="","",IFERROR(INDEX(NV_TEN,MATCH(B99,NV_MA,0)),"MÃ KHÔNG CÓ"))</f>
        <v/>
      </c>
      <c r="D99" s="24" t="str">
        <f aca="false">IF(B99="","",IFERROR(INDEX(NV_HINHTHUC,MATCH(B99,NV_MA,0)),""))</f>
        <v/>
      </c>
      <c r="E99" s="35" t="str">
        <f aca="false">IF(D99="Khoán",IFERROR(INDEX(NV_HESO,MATCH(B99,NV_MA,0)),0),"")</f>
        <v/>
      </c>
      <c r="F99" s="20" t="str">
        <f aca="false">IF(D99="Khoán",IFERROR(INDEX(HS_SX!$B$5:$B$30,MATCH(E99,HS_SX!$A$5:$A$30,0)),0),"")</f>
        <v/>
      </c>
      <c r="G99" s="30" t="str">
        <f aca="false">IF(B99="","",IFERROR(INDEX(BCC_GIO,MATCH(B99,BCC_MA,0)),0))</f>
        <v/>
      </c>
      <c r="H99" s="31" t="str">
        <f aca="false">IF(B99="","",G99/GIO_CONG)</f>
        <v/>
      </c>
      <c r="I99" s="36" t="n">
        <f aca="false">IF(D99="Khoán",IF(GIO_TB&gt;0,G99/GIO_TB*KL_CHEBIEN,0),0)</f>
        <v>0</v>
      </c>
      <c r="J99" s="20" t="n">
        <f aca="false">IF(D99="Khoán",F99*I99,0)</f>
        <v>0</v>
      </c>
      <c r="K99" s="20" t="n">
        <f aca="false">IF(D99="Khoán",IF(TONG_GIO_KHOAN&gt;0,QUY_HANGING/TONG_GIO_KHOAN*G99,0),0)</f>
        <v>0</v>
      </c>
      <c r="L99" s="20" t="n">
        <f aca="false">IF(D99="Khoán",IF(TONG_GIO_KHOAN&gt;0,QUY_KHAC/TONG_GIO_KHOAN*G99,0),0)</f>
        <v>0</v>
      </c>
      <c r="M99" s="20" t="n">
        <f aca="false">IF(B99="",0,SUMIFS(KHOAN_KHAC!$F$5:$F$39,KHOAN_KHAC!$G$5:$G$39,B99))</f>
        <v>0</v>
      </c>
      <c r="N99" s="20" t="n">
        <f aca="false">IF(D99="Khoán",IF(TONG_GIO_KHOAN&gt;0,QUY_CHEN/TONG_GIO_KHOAN*G99,0),0)</f>
        <v>0</v>
      </c>
      <c r="O99" s="20" t="n">
        <f aca="false">IF(D99="Khoán",IF(TONG_GIO_KHOAN&gt;0,-TONG_CONGNHAT/TONG_GIO_KHOAN*G99,0),0)</f>
        <v>0</v>
      </c>
      <c r="P99" s="20" t="n">
        <f aca="false">IF(D99="Công nhật",H99*IFERROR(IF(INDEX(NV_DGCN,MATCH(B99,NV_MA,0))="",DG_CONGNHAT,INDEX(NV_DGCN,MATCH(B99,NV_MA,0))),DG_CONGNHAT),0)</f>
        <v>0</v>
      </c>
      <c r="Q99" s="37" t="str">
        <f aca="false">IF(B99="","",IF(D99="Khoán",ROUNDDOWN(J99+K99+L99+M99+N99+O99,-3),P99+M99))</f>
        <v/>
      </c>
      <c r="R99" s="37" t="str">
        <f aca="false">IF(B99="","",ROUNDDOWN(TIENAN_CONG*H99,-3))</f>
        <v/>
      </c>
      <c r="S99" s="37" t="str">
        <f aca="false">IF(B99="","",Q99+R99)</f>
        <v/>
      </c>
      <c r="T99" s="24"/>
    </row>
    <row r="100" customFormat="false" ht="15" hidden="false" customHeight="false" outlineLevel="0" collapsed="false">
      <c r="A100" s="24" t="str">
        <f aca="false">IF(B100="","",95)</f>
        <v/>
      </c>
      <c r="B100" s="34" t="str">
        <f aca="false">IF(BCC_KHOAN!B100="","",BCC_KHOAN!B100)</f>
        <v/>
      </c>
      <c r="C100" s="24" t="str">
        <f aca="false">IF(B100="","",IFERROR(INDEX(NV_TEN,MATCH(B100,NV_MA,0)),"MÃ KHÔNG CÓ"))</f>
        <v/>
      </c>
      <c r="D100" s="24" t="str">
        <f aca="false">IF(B100="","",IFERROR(INDEX(NV_HINHTHUC,MATCH(B100,NV_MA,0)),""))</f>
        <v/>
      </c>
      <c r="E100" s="35" t="str">
        <f aca="false">IF(D100="Khoán",IFERROR(INDEX(NV_HESO,MATCH(B100,NV_MA,0)),0),"")</f>
        <v/>
      </c>
      <c r="F100" s="20" t="str">
        <f aca="false">IF(D100="Khoán",IFERROR(INDEX(HS_SX!$B$5:$B$30,MATCH(E100,HS_SX!$A$5:$A$30,0)),0),"")</f>
        <v/>
      </c>
      <c r="G100" s="30" t="str">
        <f aca="false">IF(B100="","",IFERROR(INDEX(BCC_GIO,MATCH(B100,BCC_MA,0)),0))</f>
        <v/>
      </c>
      <c r="H100" s="31" t="str">
        <f aca="false">IF(B100="","",G100/GIO_CONG)</f>
        <v/>
      </c>
      <c r="I100" s="36" t="n">
        <f aca="false">IF(D100="Khoán",IF(GIO_TB&gt;0,G100/GIO_TB*KL_CHEBIEN,0),0)</f>
        <v>0</v>
      </c>
      <c r="J100" s="20" t="n">
        <f aca="false">IF(D100="Khoán",F100*I100,0)</f>
        <v>0</v>
      </c>
      <c r="K100" s="20" t="n">
        <f aca="false">IF(D100="Khoán",IF(TONG_GIO_KHOAN&gt;0,QUY_HANGING/TONG_GIO_KHOAN*G100,0),0)</f>
        <v>0</v>
      </c>
      <c r="L100" s="20" t="n">
        <f aca="false">IF(D100="Khoán",IF(TONG_GIO_KHOAN&gt;0,QUY_KHAC/TONG_GIO_KHOAN*G100,0),0)</f>
        <v>0</v>
      </c>
      <c r="M100" s="20" t="n">
        <f aca="false">IF(B100="",0,SUMIFS(KHOAN_KHAC!$F$5:$F$39,KHOAN_KHAC!$G$5:$G$39,B100))</f>
        <v>0</v>
      </c>
      <c r="N100" s="20" t="n">
        <f aca="false">IF(D100="Khoán",IF(TONG_GIO_KHOAN&gt;0,QUY_CHEN/TONG_GIO_KHOAN*G100,0),0)</f>
        <v>0</v>
      </c>
      <c r="O100" s="20" t="n">
        <f aca="false">IF(D100="Khoán",IF(TONG_GIO_KHOAN&gt;0,-TONG_CONGNHAT/TONG_GIO_KHOAN*G100,0),0)</f>
        <v>0</v>
      </c>
      <c r="P100" s="20" t="n">
        <f aca="false">IF(D100="Công nhật",H100*IFERROR(IF(INDEX(NV_DGCN,MATCH(B100,NV_MA,0))="",DG_CONGNHAT,INDEX(NV_DGCN,MATCH(B100,NV_MA,0))),DG_CONGNHAT),0)</f>
        <v>0</v>
      </c>
      <c r="Q100" s="37" t="str">
        <f aca="false">IF(B100="","",IF(D100="Khoán",ROUNDDOWN(J100+K100+L100+M100+N100+O100,-3),P100+M100))</f>
        <v/>
      </c>
      <c r="R100" s="37" t="str">
        <f aca="false">IF(B100="","",ROUNDDOWN(TIENAN_CONG*H100,-3))</f>
        <v/>
      </c>
      <c r="S100" s="37" t="str">
        <f aca="false">IF(B100="","",Q100+R100)</f>
        <v/>
      </c>
      <c r="T100" s="24"/>
    </row>
    <row r="102" customFormat="false" ht="15" hidden="false" customHeight="false" outlineLevel="0" collapsed="false">
      <c r="C102" s="3" t="s">
        <v>316</v>
      </c>
      <c r="G102" s="32" t="n">
        <f aca="false">SUM(G6:G100)</f>
        <v>455</v>
      </c>
      <c r="H102" s="33" t="n">
        <f aca="false">SUM(H6:H100)</f>
        <v>56.875</v>
      </c>
      <c r="I102" s="38" t="n">
        <f aca="false">SUM(I6:I100)</f>
        <v>45254.58</v>
      </c>
      <c r="J102" s="26" t="n">
        <f aca="false">SUM(J6:J100)</f>
        <v>340732176.184615</v>
      </c>
      <c r="K102" s="26" t="n">
        <f aca="false">SUM(K6:K100)</f>
        <v>0</v>
      </c>
      <c r="L102" s="26" t="n">
        <f aca="false">SUM(L6:L100)</f>
        <v>-22450000</v>
      </c>
      <c r="M102" s="26" t="n">
        <f aca="false">SUM(M6:M100)</f>
        <v>400000</v>
      </c>
      <c r="N102" s="26" t="n">
        <f aca="false">SUM(N6:N100)</f>
        <v>14751800</v>
      </c>
      <c r="O102" s="26" t="n">
        <f aca="false">SUM(O6:O100)</f>
        <v>0</v>
      </c>
      <c r="P102" s="26" t="n">
        <f aca="false">SUM(P6:P100)</f>
        <v>0</v>
      </c>
      <c r="Q102" s="26" t="n">
        <f aca="false">SUM(Q6:Q100)</f>
        <v>333433000</v>
      </c>
      <c r="R102" s="26" t="n">
        <f aca="false">SUM(R6:R100)</f>
        <v>22088000</v>
      </c>
      <c r="S102" s="26" t="n">
        <f aca="false">SUM(S6:S100)</f>
        <v>355521000</v>
      </c>
    </row>
  </sheetData>
  <sheetProtection sheet="true" formatColumns="false" formatRows="false" inser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334</v>
      </c>
    </row>
    <row r="2" customFormat="false" ht="15" hidden="false" customHeight="false" outlineLevel="0" collapsed="false">
      <c r="A2" s="2" t="s">
        <v>335</v>
      </c>
    </row>
    <row r="4" customFormat="false" ht="30" hidden="false" customHeight="true" outlineLevel="0" collapsed="false">
      <c r="A4" s="18" t="s">
        <v>336</v>
      </c>
      <c r="B4" s="18" t="s">
        <v>337</v>
      </c>
      <c r="C4" s="18" t="s">
        <v>338</v>
      </c>
      <c r="D4" s="18" t="s">
        <v>339</v>
      </c>
      <c r="E4" s="18" t="s">
        <v>340</v>
      </c>
    </row>
    <row r="5" customFormat="false" ht="15" hidden="false" customHeight="false" outlineLevel="0" collapsed="false">
      <c r="A5" s="24" t="n">
        <v>1</v>
      </c>
      <c r="B5" s="39" t="s">
        <v>341</v>
      </c>
      <c r="C5" s="20" t="n">
        <f aca="false">QUY_TIENAN-SUM(LUONG_KHOAN!$R$6:$R$100)</f>
        <v>545</v>
      </c>
      <c r="D5" s="40" t="str">
        <f aca="false">IF(ABS(C5)&lt;=COUNTA(BCC_MA)*LAMTRON,"OK","LỖI")</f>
        <v>OK</v>
      </c>
      <c r="E5" s="41" t="s">
        <v>342</v>
      </c>
    </row>
    <row r="6" customFormat="false" ht="28.35" hidden="false" customHeight="false" outlineLevel="0" collapsed="false">
      <c r="A6" s="24" t="n">
        <v>2</v>
      </c>
      <c r="B6" s="39" t="s">
        <v>343</v>
      </c>
      <c r="C6" s="20" t="n">
        <f aca="false">(QUY_HANGING+QUY_CHEN+QUY_KHAC+THAM_SO!$C$23-TONG_CONGNHAT+THAM_SO!$C$28)-SUMIFS(LUONG_KHOAN!$Q$6:$Q$100,LUONG_KHOAN!$D$6:$D$100,"Khoán")</f>
        <v>976.184615373612</v>
      </c>
      <c r="D6" s="40" t="str">
        <f aca="false">IF(ABS(C6)&lt;=COUNTA(BCC_MA)*LAMTRON,"OK","LỖI")</f>
        <v>OK</v>
      </c>
      <c r="E6" s="41" t="s">
        <v>344</v>
      </c>
    </row>
    <row r="7" customFormat="false" ht="22.35" hidden="false" customHeight="false" outlineLevel="0" collapsed="false">
      <c r="A7" s="24" t="n">
        <v>3</v>
      </c>
      <c r="B7" s="39" t="s">
        <v>345</v>
      </c>
      <c r="C7" s="20" t="n">
        <f aca="false">COUNTIFS(LUONG_KHOAN!$D$6:$D$100,"Khoán",LUONG_KHOAN!$G$6:$G$100,"&gt;0")</f>
        <v>3</v>
      </c>
      <c r="D7" s="40" t="str">
        <f aca="false">IF(C7=SO_LD_DINHMUC,"OK","XEM LẠI")</f>
        <v>XEM LẠI</v>
      </c>
      <c r="E7" s="41" t="s">
        <v>346</v>
      </c>
    </row>
    <row r="8" customFormat="false" ht="15" hidden="false" customHeight="false" outlineLevel="0" collapsed="false">
      <c r="A8" s="24" t="n">
        <v>4</v>
      </c>
      <c r="B8" s="39" t="s">
        <v>347</v>
      </c>
      <c r="C8" s="20" t="n">
        <f aca="false">SUMPRODUCT((NV_MA&lt;&gt;"")*(COUNTIF(NV_MA,NV_MA)&gt;1))</f>
        <v>0</v>
      </c>
      <c r="D8" s="40" t="str">
        <f aca="false">IF(C8=0,"OK","LỖI")</f>
        <v>OK</v>
      </c>
      <c r="E8" s="41" t="s">
        <v>348</v>
      </c>
    </row>
    <row r="9" customFormat="false" ht="15" hidden="false" customHeight="false" outlineLevel="0" collapsed="false">
      <c r="A9" s="24" t="n">
        <v>5</v>
      </c>
      <c r="B9" s="39" t="s">
        <v>349</v>
      </c>
      <c r="C9" s="20" t="n">
        <f aca="false">SUMPRODUCT((BCC_MA&lt;&gt;"")*(COUNTIF(BCC_MA,BCC_MA)&gt;1))</f>
        <v>0</v>
      </c>
      <c r="D9" s="40" t="str">
        <f aca="false">IF(C9=0,"OK","LỖI")</f>
        <v>OK</v>
      </c>
      <c r="E9" s="41" t="s">
        <v>350</v>
      </c>
    </row>
    <row r="10" customFormat="false" ht="15" hidden="false" customHeight="false" outlineLevel="0" collapsed="false">
      <c r="A10" s="24" t="n">
        <v>6</v>
      </c>
      <c r="B10" s="39" t="s">
        <v>351</v>
      </c>
      <c r="C10" s="20" t="n">
        <f aca="false">COUNTIF(LUONG_KHOAN!$C$6:$C$100,"MÃ KHÔNG CÓ")</f>
        <v>0</v>
      </c>
      <c r="D10" s="40" t="str">
        <f aca="false">IF(C10=0,"OK","LỖI")</f>
        <v>OK</v>
      </c>
      <c r="E10" s="41" t="s">
        <v>352</v>
      </c>
    </row>
    <row r="11" customFormat="false" ht="15" hidden="false" customHeight="false" outlineLevel="0" collapsed="false">
      <c r="A11" s="24" t="n">
        <v>7</v>
      </c>
      <c r="B11" s="39" t="s">
        <v>353</v>
      </c>
      <c r="C11" s="20" t="n">
        <f aca="false">COUNTIFS(LUONG_KHOAN!$D$6:$D$100,"Khoán",LUONG_KHOAN!$F$6:$F$100,0)</f>
        <v>0</v>
      </c>
      <c r="D11" s="40" t="str">
        <f aca="false">IF(C11=0,"OK","LỖI")</f>
        <v>OK</v>
      </c>
      <c r="E11" s="41" t="s">
        <v>354</v>
      </c>
    </row>
    <row r="12" customFormat="false" ht="15" hidden="false" customHeight="false" outlineLevel="0" collapsed="false">
      <c r="A12" s="24" t="n">
        <v>8</v>
      </c>
      <c r="B12" s="39" t="s">
        <v>355</v>
      </c>
      <c r="C12" s="20" t="n">
        <f aca="false">COUNTIF(KHOAN_KHAC!$H$5:$H$39,"MÃ KHÔNG CÓ")</f>
        <v>0</v>
      </c>
      <c r="D12" s="40" t="str">
        <f aca="false">IF(C12=0,"OK","LỖI")</f>
        <v>OK</v>
      </c>
      <c r="E12" s="41" t="s">
        <v>356</v>
      </c>
    </row>
    <row r="13" customFormat="false" ht="15" hidden="false" customHeight="false" outlineLevel="0" collapsed="false">
      <c r="A13" s="24" t="n">
        <v>9</v>
      </c>
      <c r="B13" s="39" t="s">
        <v>357</v>
      </c>
      <c r="C13" s="20" t="n">
        <f aca="false">BCC_KHOAN!$AJ$102-SUM(LUONG_KHOAN!$G$6:$G$100)</f>
        <v>0</v>
      </c>
      <c r="D13" s="40" t="str">
        <f aca="false">IF(C13=0,"OK","LỖI")</f>
        <v>OK</v>
      </c>
      <c r="E13" s="41" t="s">
        <v>358</v>
      </c>
    </row>
    <row r="14" customFormat="false" ht="15" hidden="false" customHeight="false" outlineLevel="0" collapsed="false">
      <c r="A14" s="24" t="n">
        <v>10</v>
      </c>
      <c r="B14" s="39" t="s">
        <v>359</v>
      </c>
      <c r="C14" s="20" t="n">
        <f aca="false">SUMPRODUCT(--ISERROR(LUONG_KHOAN!$A$6:$T$100))</f>
        <v>0</v>
      </c>
      <c r="D14" s="40" t="str">
        <f aca="false">IF(C14=0,"OK","LỖI")</f>
        <v>OK</v>
      </c>
      <c r="E14" s="41"/>
    </row>
    <row r="15" customFormat="false" ht="15" hidden="false" customHeight="false" outlineLevel="0" collapsed="false">
      <c r="A15" s="24" t="n">
        <v>11</v>
      </c>
      <c r="B15" s="39" t="s">
        <v>360</v>
      </c>
      <c r="C15" s="20" t="n">
        <f aca="false">THAM_SO!$C$29</f>
        <v>316227.692307692</v>
      </c>
      <c r="D15" s="40" t="str">
        <f aca="false">IF(OR(C15&lt;150000,C15&gt;500000),"XEM LẠI","OK")</f>
        <v>OK</v>
      </c>
      <c r="E15" s="41" t="s">
        <v>361</v>
      </c>
    </row>
    <row r="16" customFormat="false" ht="15" hidden="false" customHeight="false" outlineLevel="0" collapsed="false">
      <c r="A16" s="24" t="n">
        <v>12</v>
      </c>
      <c r="B16" s="39" t="s">
        <v>362</v>
      </c>
      <c r="C16" s="20" t="n">
        <f aca="false">COUNTIF(XE_CHUYEN!$C$5:$C$300,"MÃ KHÔNG CÓ")+COUNTIF(XE_CHI_PHI!$D$5:$D$500,"MÃ KHÔNG CÓ")</f>
        <v>0</v>
      </c>
      <c r="D16" s="40" t="str">
        <f aca="false">IF(C16=0,"OK","LỖI")</f>
        <v>OK</v>
      </c>
      <c r="E16" s="41"/>
    </row>
    <row r="17" customFormat="false" ht="15" hidden="false" customHeight="false" outlineLevel="0" collapsed="false">
      <c r="A17" s="24" t="n">
        <v>13</v>
      </c>
      <c r="B17" s="39" t="s">
        <v>363</v>
      </c>
      <c r="C17" s="20" t="n">
        <f aca="false">COUNTIF(XE_CHUYEN!$J$5:$J$300,"TUYẾN KHÔNG CÓ")</f>
        <v>0</v>
      </c>
      <c r="D17" s="40" t="str">
        <f aca="false">IF(C17=0,"OK","LỖI")</f>
        <v>OK</v>
      </c>
      <c r="E17" s="41" t="s">
        <v>364</v>
      </c>
    </row>
    <row r="18" customFormat="false" ht="15" hidden="false" customHeight="false" outlineLevel="0" collapsed="false">
      <c r="A18" s="24" t="n">
        <v>14</v>
      </c>
      <c r="B18" s="39" t="s">
        <v>365</v>
      </c>
      <c r="C18" s="20" t="n">
        <f aca="false">COUNTIF(XE_CHUYEN!$W$5:$W$300,"x")</f>
        <v>2</v>
      </c>
      <c r="D18" s="40" t="str">
        <f aca="false">IF(C18=0,"OK","XEM LẠI")</f>
        <v>XEM LẠI</v>
      </c>
      <c r="E18" s="41" t="s">
        <v>366</v>
      </c>
    </row>
    <row r="19" customFormat="false" ht="15" hidden="false" customHeight="false" outlineLevel="0" collapsed="false">
      <c r="A19" s="24" t="n">
        <v>15</v>
      </c>
      <c r="B19" s="39" t="s">
        <v>367</v>
      </c>
      <c r="C19" s="20" t="n">
        <f aca="false">COUNTIFS(XE_CHI_PHI!$L$5:$L$500,"x",XE_CHI_PHI!$J$5:$J$500,"Có")</f>
        <v>8</v>
      </c>
      <c r="D19" s="40" t="str">
        <f aca="false">IF(C19=0,"OK","XEM LẠI")</f>
        <v>XEM LẠI</v>
      </c>
      <c r="E19" s="41" t="s">
        <v>368</v>
      </c>
    </row>
    <row r="21" customFormat="false" ht="15" hidden="false" customHeight="false" outlineLevel="0" collapsed="false">
      <c r="B21" s="3" t="s">
        <v>369</v>
      </c>
      <c r="D21" s="42" t="str">
        <f aca="false">IF(COUNTIF(D5:D19,"LỖI")=0,"ĐƯỢC CHỐT","CHƯA ĐƯỢC CHỐT")</f>
        <v>ĐƯỢC CHỐT</v>
      </c>
    </row>
  </sheetData>
  <sheetProtection sheet="true" formatColumns="false" formatRows="false" insertRows="false" sort="false" autoFilter="false"/>
  <conditionalFormatting sqref="D5:D1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"LỖI"</formula>
    </cfRule>
    <cfRule type="cellIs" priority="4" operator="equal" aboveAverage="0" equalAverage="0" bottom="0" percent="0" rank="0" text="" dxfId="2">
      <formula>"XEM LẠI"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370</v>
      </c>
    </row>
    <row r="2" customFormat="false" ht="15" hidden="false" customHeight="false" outlineLevel="0" collapsed="false">
      <c r="A2" s="2" t="s">
        <v>371</v>
      </c>
    </row>
    <row r="4" customFormat="false" ht="15" hidden="false" customHeight="false" outlineLevel="0" collapsed="false">
      <c r="B4" s="0" t="s">
        <v>54</v>
      </c>
      <c r="C4" s="10" t="n">
        <v>2</v>
      </c>
    </row>
    <row r="5" customFormat="false" ht="15" hidden="false" customHeight="false" outlineLevel="0" collapsed="false">
      <c r="B5" s="0" t="s">
        <v>55</v>
      </c>
      <c r="C5" s="10" t="n">
        <v>2026</v>
      </c>
    </row>
    <row r="7" customFormat="false" ht="15" hidden="false" customHeight="false" outlineLevel="0" collapsed="false">
      <c r="B7" s="0" t="s">
        <v>372</v>
      </c>
      <c r="C7" s="43" t="n">
        <v>1.15</v>
      </c>
      <c r="D7" s="2" t="s">
        <v>373</v>
      </c>
    </row>
    <row r="8" customFormat="false" ht="15" hidden="false" customHeight="false" outlineLevel="0" collapsed="false">
      <c r="B8" s="0" t="s">
        <v>374</v>
      </c>
      <c r="C8" s="13" t="n">
        <v>300000</v>
      </c>
      <c r="D8" s="2" t="s">
        <v>375</v>
      </c>
    </row>
    <row r="9" customFormat="false" ht="15" hidden="false" customHeight="false" outlineLevel="0" collapsed="false">
      <c r="B9" s="0" t="s">
        <v>376</v>
      </c>
      <c r="C9" s="13" t="n">
        <v>0</v>
      </c>
      <c r="D9" s="2" t="s">
        <v>377</v>
      </c>
    </row>
    <row r="10" customFormat="false" ht="15" hidden="false" customHeight="false" outlineLevel="0" collapsed="false">
      <c r="B10" s="0" t="s">
        <v>378</v>
      </c>
      <c r="C10" s="14" t="n">
        <v>0</v>
      </c>
    </row>
    <row r="11" customFormat="false" ht="15" hidden="false" customHeight="false" outlineLevel="0" collapsed="false">
      <c r="B11" s="0" t="s">
        <v>379</v>
      </c>
      <c r="C11" s="44" t="n">
        <v>0.105</v>
      </c>
    </row>
    <row r="12" customFormat="false" ht="15" hidden="false" customHeight="false" outlineLevel="0" collapsed="false">
      <c r="B12" s="0" t="s">
        <v>73</v>
      </c>
      <c r="C12" s="13" t="n">
        <v>1000</v>
      </c>
    </row>
  </sheetData>
  <sheetProtection sheet="true" formatColumns="false" formatRows="false" inser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380</v>
      </c>
    </row>
    <row r="2" customFormat="false" ht="15" hidden="false" customHeight="false" outlineLevel="0" collapsed="false">
      <c r="A2" s="2" t="s">
        <v>381</v>
      </c>
    </row>
    <row r="4" customFormat="false" ht="30" hidden="false" customHeight="true" outlineLevel="0" collapsed="false">
      <c r="A4" s="18" t="s">
        <v>382</v>
      </c>
      <c r="B4" s="18" t="s">
        <v>383</v>
      </c>
      <c r="C4" s="18" t="s">
        <v>384</v>
      </c>
      <c r="D4" s="18" t="s">
        <v>385</v>
      </c>
      <c r="E4" s="18" t="s">
        <v>386</v>
      </c>
      <c r="F4" s="18" t="s">
        <v>387</v>
      </c>
      <c r="G4" s="18" t="s">
        <v>117</v>
      </c>
    </row>
    <row r="5" customFormat="false" ht="15" hidden="false" customHeight="false" outlineLevel="0" collapsed="false">
      <c r="A5" s="22" t="s">
        <v>388</v>
      </c>
      <c r="B5" s="22" t="s">
        <v>389</v>
      </c>
      <c r="C5" s="45" t="n">
        <v>220</v>
      </c>
      <c r="D5" s="45" t="n">
        <v>1</v>
      </c>
      <c r="E5" s="13" t="n">
        <v>1200000</v>
      </c>
      <c r="F5" s="13" t="n">
        <v>0</v>
      </c>
      <c r="G5" s="22" t="s">
        <v>390</v>
      </c>
    </row>
    <row r="6" customFormat="false" ht="15" hidden="false" customHeight="false" outlineLevel="0" collapsed="false">
      <c r="A6" s="22" t="s">
        <v>391</v>
      </c>
      <c r="B6" s="22" t="s">
        <v>392</v>
      </c>
      <c r="C6" s="45" t="n">
        <v>700</v>
      </c>
      <c r="D6" s="45" t="n">
        <v>3</v>
      </c>
      <c r="E6" s="13" t="n">
        <v>3500000</v>
      </c>
      <c r="F6" s="13" t="n">
        <v>0</v>
      </c>
      <c r="G6" s="22"/>
    </row>
    <row r="7" customFormat="false" ht="15" hidden="false" customHeight="false" outlineLevel="0" collapsed="false">
      <c r="A7" s="22" t="s">
        <v>393</v>
      </c>
      <c r="B7" s="22" t="s">
        <v>394</v>
      </c>
      <c r="C7" s="45" t="n">
        <v>800</v>
      </c>
      <c r="D7" s="45" t="n">
        <v>3</v>
      </c>
      <c r="E7" s="13" t="n">
        <v>3800000</v>
      </c>
      <c r="F7" s="13" t="n">
        <v>0</v>
      </c>
      <c r="G7" s="22"/>
    </row>
    <row r="8" customFormat="false" ht="15" hidden="false" customHeight="false" outlineLevel="0" collapsed="false">
      <c r="A8" s="22" t="s">
        <v>395</v>
      </c>
      <c r="B8" s="22" t="s">
        <v>396</v>
      </c>
      <c r="C8" s="45" t="n">
        <v>900</v>
      </c>
      <c r="D8" s="45" t="n">
        <v>5</v>
      </c>
      <c r="E8" s="13" t="n">
        <v>6500000</v>
      </c>
      <c r="F8" s="13" t="n">
        <v>0</v>
      </c>
      <c r="G8" s="22" t="s">
        <v>397</v>
      </c>
    </row>
    <row r="9" customFormat="false" ht="15" hidden="false" customHeight="false" outlineLevel="0" collapsed="false">
      <c r="A9" s="22" t="s">
        <v>398</v>
      </c>
      <c r="B9" s="22" t="s">
        <v>399</v>
      </c>
      <c r="C9" s="45" t="n">
        <v>60</v>
      </c>
      <c r="D9" s="45" t="n">
        <v>1</v>
      </c>
      <c r="E9" s="13" t="n">
        <v>500000</v>
      </c>
      <c r="F9" s="13" t="n">
        <v>0</v>
      </c>
      <c r="G9" s="22"/>
    </row>
    <row r="10" customFormat="false" ht="15" hidden="false" customHeight="false" outlineLevel="0" collapsed="false">
      <c r="A10" s="25"/>
      <c r="B10" s="25"/>
      <c r="C10" s="25"/>
      <c r="D10" s="25"/>
      <c r="E10" s="25"/>
      <c r="F10" s="25"/>
      <c r="G10" s="25"/>
    </row>
    <row r="11" customFormat="false" ht="15" hidden="false" customHeight="false" outlineLevel="0" collapsed="false">
      <c r="A11" s="25"/>
      <c r="B11" s="25"/>
      <c r="C11" s="25"/>
      <c r="D11" s="25"/>
      <c r="E11" s="25"/>
      <c r="F11" s="25"/>
      <c r="G11" s="25"/>
    </row>
    <row r="12" customFormat="false" ht="15" hidden="false" customHeight="false" outlineLevel="0" collapsed="false">
      <c r="A12" s="25"/>
      <c r="B12" s="25"/>
      <c r="C12" s="25"/>
      <c r="D12" s="25"/>
      <c r="E12" s="25"/>
      <c r="F12" s="25"/>
      <c r="G12" s="25"/>
    </row>
    <row r="13" customFormat="false" ht="15" hidden="false" customHeight="false" outlineLevel="0" collapsed="false">
      <c r="A13" s="25"/>
      <c r="B13" s="25"/>
      <c r="C13" s="25"/>
      <c r="D13" s="25"/>
      <c r="E13" s="25"/>
      <c r="F13" s="25"/>
      <c r="G13" s="25"/>
    </row>
    <row r="14" customFormat="false" ht="15" hidden="false" customHeight="false" outlineLevel="0" collapsed="false">
      <c r="A14" s="25"/>
      <c r="B14" s="25"/>
      <c r="C14" s="25"/>
      <c r="D14" s="25"/>
      <c r="E14" s="25"/>
      <c r="F14" s="25"/>
      <c r="G14" s="25"/>
    </row>
    <row r="15" customFormat="false" ht="15" hidden="false" customHeight="false" outlineLevel="0" collapsed="false">
      <c r="A15" s="25"/>
      <c r="B15" s="25"/>
      <c r="C15" s="25"/>
      <c r="D15" s="25"/>
      <c r="E15" s="25"/>
      <c r="F15" s="25"/>
      <c r="G15" s="25"/>
    </row>
    <row r="16" customFormat="false" ht="15" hidden="false" customHeight="false" outlineLevel="0" collapsed="false">
      <c r="A16" s="25"/>
      <c r="B16" s="25"/>
      <c r="C16" s="25"/>
      <c r="D16" s="25"/>
      <c r="E16" s="25"/>
      <c r="F16" s="25"/>
      <c r="G16" s="25"/>
    </row>
    <row r="17" customFormat="false" ht="15" hidden="false" customHeight="false" outlineLevel="0" collapsed="false">
      <c r="A17" s="25"/>
      <c r="B17" s="25"/>
      <c r="C17" s="25"/>
      <c r="D17" s="25"/>
      <c r="E17" s="25"/>
      <c r="F17" s="25"/>
      <c r="G17" s="25"/>
    </row>
    <row r="18" customFormat="false" ht="15" hidden="false" customHeight="false" outlineLevel="0" collapsed="false">
      <c r="A18" s="25"/>
      <c r="B18" s="25"/>
      <c r="C18" s="25"/>
      <c r="D18" s="25"/>
      <c r="E18" s="25"/>
      <c r="F18" s="25"/>
      <c r="G18" s="25"/>
    </row>
    <row r="19" customFormat="false" ht="15" hidden="false" customHeight="false" outlineLevel="0" collapsed="false">
      <c r="A19" s="25"/>
      <c r="B19" s="25"/>
      <c r="C19" s="25"/>
      <c r="D19" s="25"/>
      <c r="E19" s="25"/>
      <c r="F19" s="25"/>
      <c r="G19" s="25"/>
    </row>
    <row r="20" customFormat="false" ht="15" hidden="false" customHeight="false" outlineLevel="0" collapsed="false">
      <c r="A20" s="25"/>
      <c r="B20" s="25"/>
      <c r="C20" s="25"/>
      <c r="D20" s="25"/>
      <c r="E20" s="25"/>
      <c r="F20" s="25"/>
      <c r="G20" s="25"/>
    </row>
    <row r="21" customFormat="false" ht="15" hidden="false" customHeight="false" outlineLevel="0" collapsed="false">
      <c r="A21" s="25"/>
      <c r="B21" s="25"/>
      <c r="C21" s="25"/>
      <c r="D21" s="25"/>
      <c r="E21" s="25"/>
      <c r="F21" s="25"/>
      <c r="G21" s="25"/>
    </row>
    <row r="22" customFormat="false" ht="15" hidden="false" customHeight="false" outlineLevel="0" collapsed="false">
      <c r="A22" s="25"/>
      <c r="B22" s="25"/>
      <c r="C22" s="25"/>
      <c r="D22" s="25"/>
      <c r="E22" s="25"/>
      <c r="F22" s="25"/>
      <c r="G22" s="25"/>
    </row>
    <row r="23" customFormat="false" ht="15" hidden="false" customHeight="false" outlineLevel="0" collapsed="false">
      <c r="A23" s="25"/>
      <c r="B23" s="25"/>
      <c r="C23" s="25"/>
      <c r="D23" s="25"/>
      <c r="E23" s="25"/>
      <c r="F23" s="25"/>
      <c r="G23" s="25"/>
    </row>
    <row r="24" customFormat="false" ht="15" hidden="false" customHeight="false" outlineLevel="0" collapsed="false">
      <c r="A24" s="25"/>
      <c r="B24" s="25"/>
      <c r="C24" s="25"/>
      <c r="D24" s="25"/>
      <c r="E24" s="25"/>
      <c r="F24" s="25"/>
      <c r="G24" s="25"/>
    </row>
    <row r="25" customFormat="false" ht="15" hidden="false" customHeight="false" outlineLevel="0" collapsed="false">
      <c r="A25" s="25"/>
      <c r="B25" s="25"/>
      <c r="C25" s="25"/>
      <c r="D25" s="25"/>
      <c r="E25" s="25"/>
      <c r="F25" s="25"/>
      <c r="G25" s="25"/>
    </row>
    <row r="26" customFormat="false" ht="15" hidden="false" customHeight="false" outlineLevel="0" collapsed="false">
      <c r="A26" s="25"/>
      <c r="B26" s="25"/>
      <c r="C26" s="25"/>
      <c r="D26" s="25"/>
      <c r="E26" s="25"/>
      <c r="F26" s="25"/>
      <c r="G26" s="25"/>
    </row>
    <row r="27" customFormat="false" ht="15" hidden="false" customHeight="false" outlineLevel="0" collapsed="false">
      <c r="A27" s="25"/>
      <c r="B27" s="25"/>
      <c r="C27" s="25"/>
      <c r="D27" s="25"/>
      <c r="E27" s="25"/>
      <c r="F27" s="25"/>
      <c r="G27" s="25"/>
    </row>
    <row r="28" customFormat="false" ht="15" hidden="false" customHeight="false" outlineLevel="0" collapsed="false">
      <c r="A28" s="25"/>
      <c r="B28" s="25"/>
      <c r="C28" s="25"/>
      <c r="D28" s="25"/>
      <c r="E28" s="25"/>
      <c r="F28" s="25"/>
      <c r="G28" s="25"/>
    </row>
    <row r="29" customFormat="false" ht="15" hidden="false" customHeight="false" outlineLevel="0" collapsed="false">
      <c r="A29" s="25"/>
      <c r="B29" s="25"/>
      <c r="C29" s="25"/>
      <c r="D29" s="25"/>
      <c r="E29" s="25"/>
      <c r="F29" s="25"/>
      <c r="G29" s="25"/>
    </row>
    <row r="30" customFormat="false" ht="15" hidden="false" customHeight="false" outlineLevel="0" collapsed="false">
      <c r="A30" s="25"/>
      <c r="B30" s="25"/>
      <c r="C30" s="25"/>
      <c r="D30" s="25"/>
      <c r="E30" s="25"/>
      <c r="F30" s="25"/>
      <c r="G30" s="25"/>
    </row>
    <row r="31" customFormat="false" ht="15" hidden="false" customHeight="false" outlineLevel="0" collapsed="false">
      <c r="A31" s="25"/>
      <c r="B31" s="25"/>
      <c r="C31" s="25"/>
      <c r="D31" s="25"/>
      <c r="E31" s="25"/>
      <c r="F31" s="25"/>
      <c r="G31" s="25"/>
    </row>
    <row r="32" customFormat="false" ht="15" hidden="false" customHeight="false" outlineLevel="0" collapsed="false">
      <c r="A32" s="25"/>
      <c r="B32" s="25"/>
      <c r="C32" s="25"/>
      <c r="D32" s="25"/>
      <c r="E32" s="25"/>
      <c r="F32" s="25"/>
      <c r="G32" s="25"/>
    </row>
    <row r="33" customFormat="false" ht="15" hidden="false" customHeight="false" outlineLevel="0" collapsed="false">
      <c r="A33" s="25"/>
      <c r="B33" s="25"/>
      <c r="C33" s="25"/>
      <c r="D33" s="25"/>
      <c r="E33" s="25"/>
      <c r="F33" s="25"/>
      <c r="G33" s="25"/>
    </row>
    <row r="34" customFormat="false" ht="15" hidden="false" customHeight="false" outlineLevel="0" collapsed="false">
      <c r="A34" s="25"/>
      <c r="B34" s="25"/>
      <c r="C34" s="25"/>
      <c r="D34" s="25"/>
      <c r="E34" s="25"/>
      <c r="F34" s="25"/>
      <c r="G34" s="25"/>
    </row>
    <row r="35" customFormat="false" ht="15" hidden="false" customHeight="false" outlineLevel="0" collapsed="false">
      <c r="A35" s="25"/>
      <c r="B35" s="25"/>
      <c r="C35" s="25"/>
      <c r="D35" s="25"/>
      <c r="E35" s="25"/>
      <c r="F35" s="25"/>
      <c r="G35" s="25"/>
    </row>
    <row r="36" customFormat="false" ht="15" hidden="false" customHeight="false" outlineLevel="0" collapsed="false">
      <c r="A36" s="25"/>
      <c r="B36" s="25"/>
      <c r="C36" s="25"/>
      <c r="D36" s="25"/>
      <c r="E36" s="25"/>
      <c r="F36" s="25"/>
      <c r="G36" s="25"/>
    </row>
    <row r="37" customFormat="false" ht="15" hidden="false" customHeight="false" outlineLevel="0" collapsed="false">
      <c r="A37" s="25"/>
      <c r="B37" s="25"/>
      <c r="C37" s="25"/>
      <c r="D37" s="25"/>
      <c r="E37" s="25"/>
      <c r="F37" s="25"/>
      <c r="G37" s="25"/>
    </row>
    <row r="38" customFormat="false" ht="15" hidden="false" customHeight="false" outlineLevel="0" collapsed="false">
      <c r="A38" s="25"/>
      <c r="B38" s="25"/>
      <c r="C38" s="25"/>
      <c r="D38" s="25"/>
      <c r="E38" s="25"/>
      <c r="F38" s="25"/>
      <c r="G38" s="25"/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25"/>
      <c r="G39" s="25"/>
    </row>
  </sheetData>
  <sheetProtection sheet="true" formatColumns="false" formatRows="false" inser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5" min="4" style="0" width="11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34"/>
    <col collapsed="false" customWidth="true" hidden="false" outlineLevel="0" max="12" min="11" style="0" width="7"/>
    <col collapsed="false" customWidth="true" hidden="false" outlineLevel="0" max="13" min="13" style="0" width="40"/>
    <col collapsed="false" customWidth="true" hidden="false" outlineLevel="0" max="16" min="14" style="0" width="8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8"/>
    <col collapsed="false" customWidth="true" hidden="false" outlineLevel="0" max="21" min="21" style="0" width="12"/>
    <col collapsed="false" customWidth="true" hidden="false" outlineLevel="0" max="22" min="22" style="0" width="14"/>
    <col collapsed="false" customWidth="true" hidden="false" outlineLevel="0" max="24" min="23" style="0" width="10"/>
    <col collapsed="false" customWidth="true" hidden="false" outlineLevel="0" max="25" min="25" style="0" width="20"/>
  </cols>
  <sheetData>
    <row r="1" customFormat="false" ht="17.35" hidden="false" customHeight="false" outlineLevel="0" collapsed="false">
      <c r="A1" s="1" t="s">
        <v>400</v>
      </c>
    </row>
    <row r="2" customFormat="false" ht="15" hidden="false" customHeight="false" outlineLevel="0" collapsed="false">
      <c r="A2" s="2" t="s">
        <v>401</v>
      </c>
    </row>
    <row r="4" customFormat="false" ht="45" hidden="false" customHeight="true" outlineLevel="0" collapsed="false">
      <c r="A4" s="18" t="s">
        <v>402</v>
      </c>
      <c r="B4" s="18" t="s">
        <v>403</v>
      </c>
      <c r="C4" s="18" t="s">
        <v>404</v>
      </c>
      <c r="D4" s="18" t="s">
        <v>405</v>
      </c>
      <c r="E4" s="18" t="s">
        <v>406</v>
      </c>
      <c r="F4" s="18" t="s">
        <v>407</v>
      </c>
      <c r="G4" s="18" t="s">
        <v>408</v>
      </c>
      <c r="H4" s="18" t="s">
        <v>409</v>
      </c>
      <c r="I4" s="18" t="s">
        <v>382</v>
      </c>
      <c r="J4" s="18" t="s">
        <v>410</v>
      </c>
      <c r="K4" s="18" t="s">
        <v>411</v>
      </c>
      <c r="L4" s="18" t="s">
        <v>412</v>
      </c>
      <c r="M4" s="18" t="s">
        <v>413</v>
      </c>
      <c r="N4" s="18" t="s">
        <v>414</v>
      </c>
      <c r="O4" s="18" t="s">
        <v>415</v>
      </c>
      <c r="P4" s="18" t="s">
        <v>416</v>
      </c>
      <c r="Q4" s="18" t="s">
        <v>417</v>
      </c>
      <c r="R4" s="18" t="s">
        <v>418</v>
      </c>
      <c r="S4" s="18" t="s">
        <v>419</v>
      </c>
      <c r="T4" s="18" t="s">
        <v>420</v>
      </c>
      <c r="U4" s="18" t="s">
        <v>421</v>
      </c>
      <c r="V4" s="18" t="s">
        <v>422</v>
      </c>
      <c r="W4" s="18" t="s">
        <v>423</v>
      </c>
      <c r="X4" s="18" t="s">
        <v>424</v>
      </c>
      <c r="Y4" s="18" t="s">
        <v>117</v>
      </c>
    </row>
    <row r="5" customFormat="false" ht="15" hidden="false" customHeight="false" outlineLevel="0" collapsed="false">
      <c r="A5" s="24" t="n">
        <v>1</v>
      </c>
      <c r="B5" s="22" t="s">
        <v>221</v>
      </c>
      <c r="C5" s="24" t="str">
        <f aca="false">IF(B5="","",IFERROR(INDEX(NV_TEN,MATCH(B5,NV_MA,0)),"MÃ KHÔNG CÓ"))</f>
        <v>Hoàng Hòa</v>
      </c>
      <c r="D5" s="46" t="n">
        <v>46062</v>
      </c>
      <c r="E5" s="46" t="n">
        <v>46062</v>
      </c>
      <c r="F5" s="24" t="n">
        <f aca="false">IF(OR(D5="",E5=""),"",E5-D5+1)</f>
        <v>1</v>
      </c>
      <c r="G5" s="22" t="s">
        <v>425</v>
      </c>
      <c r="H5" s="22" t="s">
        <v>426</v>
      </c>
      <c r="I5" s="22" t="s">
        <v>388</v>
      </c>
      <c r="J5" s="24" t="str">
        <f aca="false">IF(I5="","",IFERROR(INDEX(TUYEN_MOTA,MATCH(I5,TUYEN_MA,0)),"TUYẾN KHÔNG CÓ"))</f>
        <v>Nhà máy → Cảng Đà Nẵng / Tiên Sa → Nhà máy</v>
      </c>
      <c r="K5" s="22" t="n">
        <v>110</v>
      </c>
      <c r="L5" s="22" t="n">
        <v>110</v>
      </c>
      <c r="M5" s="22" t="s">
        <v>427</v>
      </c>
      <c r="N5" s="22"/>
      <c r="O5" s="24" t="n">
        <f aca="false">IF(I5="","",IFERROR(INDEX(TUYEN_NGAY,MATCH(I5,TUYEN_MA,0)),0))</f>
        <v>1</v>
      </c>
      <c r="P5" s="24" t="n">
        <f aca="false">IF(OR(F5="",O5=""),"",MAX(0,F5-O5))</f>
        <v>0</v>
      </c>
      <c r="Q5" s="20" t="n">
        <f aca="false">IF(I5="","",IFERROR(INDEX(TUYEN_DG,MATCH(I5,TUYEN_MA,0)),0))</f>
        <v>1200000</v>
      </c>
      <c r="R5" s="20" t="n">
        <f aca="false">IF(P5="","",P5*HT_VUOTNGAY)</f>
        <v>0</v>
      </c>
      <c r="S5" s="20" t="n">
        <f aca="false">IF(I5="","",(N(K5)+N(L5))*HT_DAU_KM)</f>
        <v>0</v>
      </c>
      <c r="T5" s="22" t="n">
        <v>0</v>
      </c>
      <c r="U5" s="20" t="n">
        <f aca="false">IF(I5="","",N(T5)*IFERROR(INDEX(TUYEN_HTVC,MATCH(I5,TUYEN_MA,0)),0))</f>
        <v>0</v>
      </c>
      <c r="V5" s="37" t="n">
        <f aca="false">IF(I5="","",Q5+R5+S5+U5)</f>
        <v>1200000</v>
      </c>
      <c r="W5" s="22" t="s">
        <v>428</v>
      </c>
      <c r="X5" s="22"/>
      <c r="Y5" s="22"/>
    </row>
    <row r="6" customFormat="false" ht="15" hidden="false" customHeight="false" outlineLevel="0" collapsed="false">
      <c r="A6" s="24" t="n">
        <v>2</v>
      </c>
      <c r="B6" s="22" t="s">
        <v>221</v>
      </c>
      <c r="C6" s="24" t="str">
        <f aca="false">IF(B6="","",IFERROR(INDEX(NV_TEN,MATCH(B6,NV_MA,0)),"MÃ KHÔNG CÓ"))</f>
        <v>Hoàng Hòa</v>
      </c>
      <c r="D6" s="46" t="n">
        <v>46063</v>
      </c>
      <c r="E6" s="46" t="n">
        <v>46065</v>
      </c>
      <c r="F6" s="24" t="n">
        <f aca="false">IF(OR(D6="",E6=""),"",E6-D6+1)</f>
        <v>3</v>
      </c>
      <c r="G6" s="22" t="s">
        <v>425</v>
      </c>
      <c r="H6" s="22" t="s">
        <v>429</v>
      </c>
      <c r="I6" s="22" t="s">
        <v>391</v>
      </c>
      <c r="J6" s="24" t="str">
        <f aca="false">IF(I6="","",IFERROR(INDEX(TUYEN_MOTA,MATCH(I6,TUYEN_MA,0)),"TUYẾN KHÔNG CÓ"))</f>
        <v>Nhà máy → Kon Tum / Ngọc Hồi → Nhà máy</v>
      </c>
      <c r="K6" s="22" t="n">
        <v>350</v>
      </c>
      <c r="L6" s="22" t="n">
        <v>350</v>
      </c>
      <c r="M6" s="22" t="s">
        <v>430</v>
      </c>
      <c r="N6" s="22"/>
      <c r="O6" s="24" t="n">
        <f aca="false">IF(I6="","",IFERROR(INDEX(TUYEN_NGAY,MATCH(I6,TUYEN_MA,0)),0))</f>
        <v>3</v>
      </c>
      <c r="P6" s="24" t="n">
        <f aca="false">IF(OR(F6="",O6=""),"",MAX(0,F6-O6))</f>
        <v>0</v>
      </c>
      <c r="Q6" s="20" t="n">
        <f aca="false">IF(I6="","",IFERROR(INDEX(TUYEN_DG,MATCH(I6,TUYEN_MA,0)),0))</f>
        <v>3500000</v>
      </c>
      <c r="R6" s="20" t="n">
        <f aca="false">IF(P6="","",P6*HT_VUOTNGAY)</f>
        <v>0</v>
      </c>
      <c r="S6" s="20" t="n">
        <f aca="false">IF(I6="","",(N(K6)+N(L6))*HT_DAU_KM)</f>
        <v>0</v>
      </c>
      <c r="T6" s="22" t="n">
        <v>0</v>
      </c>
      <c r="U6" s="20" t="n">
        <f aca="false">IF(I6="","",N(T6)*IFERROR(INDEX(TUYEN_HTVC,MATCH(I6,TUYEN_MA,0)),0))</f>
        <v>0</v>
      </c>
      <c r="V6" s="37" t="n">
        <f aca="false">IF(I6="","",Q6+R6+S6+U6)</f>
        <v>3500000</v>
      </c>
      <c r="W6" s="22" t="s">
        <v>428</v>
      </c>
      <c r="X6" s="22"/>
      <c r="Y6" s="22" t="s">
        <v>431</v>
      </c>
    </row>
    <row r="7" customFormat="false" ht="15" hidden="false" customHeight="false" outlineLevel="0" collapsed="false">
      <c r="A7" s="24" t="n">
        <v>3</v>
      </c>
      <c r="B7" s="22" t="s">
        <v>221</v>
      </c>
      <c r="C7" s="24" t="str">
        <f aca="false">IF(B7="","",IFERROR(INDEX(NV_TEN,MATCH(B7,NV_MA,0)),"MÃ KHÔNG CÓ"))</f>
        <v>Hoàng Hòa</v>
      </c>
      <c r="D7" s="46" t="n">
        <v>46067</v>
      </c>
      <c r="E7" s="46" t="n">
        <v>46067</v>
      </c>
      <c r="F7" s="24" t="n">
        <f aca="false">IF(OR(D7="",E7=""),"",E7-D7+1)</f>
        <v>1</v>
      </c>
      <c r="G7" s="22" t="s">
        <v>425</v>
      </c>
      <c r="H7" s="22" t="s">
        <v>432</v>
      </c>
      <c r="I7" s="22" t="s">
        <v>388</v>
      </c>
      <c r="J7" s="24" t="str">
        <f aca="false">IF(I7="","",IFERROR(INDEX(TUYEN_MOTA,MATCH(I7,TUYEN_MA,0)),"TUYẾN KHÔNG CÓ"))</f>
        <v>Nhà máy → Cảng Đà Nẵng / Tiên Sa → Nhà máy</v>
      </c>
      <c r="K7" s="22" t="n">
        <v>110</v>
      </c>
      <c r="L7" s="22" t="n">
        <v>110</v>
      </c>
      <c r="M7" s="22" t="s">
        <v>433</v>
      </c>
      <c r="N7" s="22"/>
      <c r="O7" s="24" t="n">
        <f aca="false">IF(I7="","",IFERROR(INDEX(TUYEN_NGAY,MATCH(I7,TUYEN_MA,0)),0))</f>
        <v>1</v>
      </c>
      <c r="P7" s="24" t="n">
        <f aca="false">IF(OR(F7="",O7=""),"",MAX(0,F7-O7))</f>
        <v>0</v>
      </c>
      <c r="Q7" s="20" t="n">
        <f aca="false">IF(I7="","",IFERROR(INDEX(TUYEN_DG,MATCH(I7,TUYEN_MA,0)),0))</f>
        <v>1200000</v>
      </c>
      <c r="R7" s="20" t="n">
        <f aca="false">IF(P7="","",P7*HT_VUOTNGAY)</f>
        <v>0</v>
      </c>
      <c r="S7" s="20" t="n">
        <f aca="false">IF(I7="","",(N(K7)+N(L7))*HT_DAU_KM)</f>
        <v>0</v>
      </c>
      <c r="T7" s="22" t="n">
        <v>0</v>
      </c>
      <c r="U7" s="20" t="n">
        <f aca="false">IF(I7="","",N(T7)*IFERROR(INDEX(TUYEN_HTVC,MATCH(I7,TUYEN_MA,0)),0))</f>
        <v>0</v>
      </c>
      <c r="V7" s="37" t="n">
        <f aca="false">IF(I7="","",Q7+R7+S7+U7)</f>
        <v>1200000</v>
      </c>
      <c r="W7" s="22" t="s">
        <v>428</v>
      </c>
      <c r="X7" s="22"/>
      <c r="Y7" s="22"/>
    </row>
    <row r="8" customFormat="false" ht="15" hidden="false" customHeight="false" outlineLevel="0" collapsed="false">
      <c r="A8" s="24" t="n">
        <v>4</v>
      </c>
      <c r="B8" s="22" t="s">
        <v>221</v>
      </c>
      <c r="C8" s="24" t="str">
        <f aca="false">IF(B8="","",IFERROR(INDEX(NV_TEN,MATCH(B8,NV_MA,0)),"MÃ KHÔNG CÓ"))</f>
        <v>Hoàng Hòa</v>
      </c>
      <c r="D8" s="46" t="n">
        <v>46073</v>
      </c>
      <c r="E8" s="46" t="n">
        <v>46077</v>
      </c>
      <c r="F8" s="24" t="n">
        <f aca="false">IF(OR(D8="",E8=""),"",E8-D8+1)</f>
        <v>5</v>
      </c>
      <c r="G8" s="22" t="s">
        <v>425</v>
      </c>
      <c r="H8" s="22" t="s">
        <v>434</v>
      </c>
      <c r="I8" s="22" t="s">
        <v>395</v>
      </c>
      <c r="J8" s="24" t="str">
        <f aca="false">IF(I8="","",IFERROR(INDEX(TUYEN_MOTA,MATCH(I8,TUYEN_MA,0)),"TUYẾN KHÔNG CÓ"))</f>
        <v>Nhà máy → Kho 2 (Lào) → Nhà máy</v>
      </c>
      <c r="K8" s="22" t="n">
        <v>450</v>
      </c>
      <c r="L8" s="22" t="n">
        <v>450</v>
      </c>
      <c r="M8" s="22" t="s">
        <v>435</v>
      </c>
      <c r="N8" s="22"/>
      <c r="O8" s="24" t="n">
        <f aca="false">IF(I8="","",IFERROR(INDEX(TUYEN_NGAY,MATCH(I8,TUYEN_MA,0)),0))</f>
        <v>5</v>
      </c>
      <c r="P8" s="24" t="n">
        <f aca="false">IF(OR(F8="",O8=""),"",MAX(0,F8-O8))</f>
        <v>0</v>
      </c>
      <c r="Q8" s="20" t="n">
        <f aca="false">IF(I8="","",IFERROR(INDEX(TUYEN_DG,MATCH(I8,TUYEN_MA,0)),0))</f>
        <v>6500000</v>
      </c>
      <c r="R8" s="20" t="n">
        <f aca="false">IF(P8="","",P8*HT_VUOTNGAY)</f>
        <v>0</v>
      </c>
      <c r="S8" s="20" t="n">
        <f aca="false">IF(I8="","",(N(K8)+N(L8))*HT_DAU_KM)</f>
        <v>0</v>
      </c>
      <c r="T8" s="22" t="n">
        <v>0</v>
      </c>
      <c r="U8" s="20" t="n">
        <f aca="false">IF(I8="","",N(T8)*IFERROR(INDEX(TUYEN_HTVC,MATCH(I8,TUYEN_MA,0)),0))</f>
        <v>0</v>
      </c>
      <c r="V8" s="37" t="n">
        <f aca="false">IF(I8="","",Q8+R8+S8+U8)</f>
        <v>6500000</v>
      </c>
      <c r="W8" s="22" t="s">
        <v>428</v>
      </c>
      <c r="X8" s="22" t="s">
        <v>428</v>
      </c>
      <c r="Y8" s="22"/>
    </row>
    <row r="9" customFormat="false" ht="15" hidden="false" customHeight="false" outlineLevel="0" collapsed="false">
      <c r="A9" s="24" t="n">
        <v>5</v>
      </c>
      <c r="B9" s="22" t="s">
        <v>227</v>
      </c>
      <c r="C9" s="24" t="str">
        <f aca="false">IF(B9="","",IFERROR(INDEX(NV_TEN,MATCH(B9,NV_MA,0)),"MÃ KHÔNG CÓ"))</f>
        <v>Bùi Văn Nghĩa</v>
      </c>
      <c r="D9" s="46" t="n">
        <v>46059</v>
      </c>
      <c r="E9" s="46" t="n">
        <v>46063</v>
      </c>
      <c r="F9" s="24" t="n">
        <f aca="false">IF(OR(D9="",E9=""),"",E9-D9+1)</f>
        <v>5</v>
      </c>
      <c r="G9" s="22" t="s">
        <v>436</v>
      </c>
      <c r="H9" s="22" t="s">
        <v>437</v>
      </c>
      <c r="I9" s="22" t="s">
        <v>393</v>
      </c>
      <c r="J9" s="24" t="str">
        <f aca="false">IF(I9="","",IFERROR(INDEX(TUYEN_MOTA,MATCH(I9,TUYEN_MA,0)),"TUYẾN KHÔNG CÓ"))</f>
        <v>Nhà máy → Gia Lai đóng hàng → Chu Lai → Nhà máy</v>
      </c>
      <c r="K9" s="22" t="n">
        <v>400</v>
      </c>
      <c r="L9" s="22" t="n">
        <v>400</v>
      </c>
      <c r="M9" s="22" t="s">
        <v>438</v>
      </c>
      <c r="N9" s="22"/>
      <c r="O9" s="24" t="n">
        <f aca="false">IF(I9="","",IFERROR(INDEX(TUYEN_NGAY,MATCH(I9,TUYEN_MA,0)),0))</f>
        <v>3</v>
      </c>
      <c r="P9" s="24" t="n">
        <f aca="false">IF(OR(F9="",O9=""),"",MAX(0,F9-O9))</f>
        <v>2</v>
      </c>
      <c r="Q9" s="20" t="n">
        <f aca="false">IF(I9="","",IFERROR(INDEX(TUYEN_DG,MATCH(I9,TUYEN_MA,0)),0))</f>
        <v>3800000</v>
      </c>
      <c r="R9" s="20" t="n">
        <f aca="false">IF(P9="","",P9*HT_VUOTNGAY)</f>
        <v>600000</v>
      </c>
      <c r="S9" s="20" t="n">
        <f aca="false">IF(I9="","",(N(K9)+N(L9))*HT_DAU_KM)</f>
        <v>0</v>
      </c>
      <c r="T9" s="22" t="n">
        <v>0</v>
      </c>
      <c r="U9" s="20" t="n">
        <f aca="false">IF(I9="","",N(T9)*IFERROR(INDEX(TUYEN_HTVC,MATCH(I9,TUYEN_MA,0)),0))</f>
        <v>0</v>
      </c>
      <c r="V9" s="37" t="n">
        <f aca="false">IF(I9="","",Q9+R9+S9+U9)</f>
        <v>4400000</v>
      </c>
      <c r="W9" s="22" t="s">
        <v>428</v>
      </c>
      <c r="X9" s="22"/>
      <c r="Y9" s="22" t="s">
        <v>439</v>
      </c>
    </row>
    <row r="10" customFormat="false" ht="15" hidden="false" customHeight="false" outlineLevel="0" collapsed="false">
      <c r="A10" s="24" t="n">
        <v>6</v>
      </c>
      <c r="B10" s="22" t="s">
        <v>227</v>
      </c>
      <c r="C10" s="24" t="str">
        <f aca="false">IF(B10="","",IFERROR(INDEX(NV_TEN,MATCH(B10,NV_MA,0)),"MÃ KHÔNG CÓ"))</f>
        <v>Bùi Văn Nghĩa</v>
      </c>
      <c r="D10" s="46" t="n">
        <v>46065</v>
      </c>
      <c r="E10" s="46" t="n">
        <v>46068</v>
      </c>
      <c r="F10" s="24" t="n">
        <f aca="false">IF(OR(D10="",E10=""),"",E10-D10+1)</f>
        <v>4</v>
      </c>
      <c r="G10" s="22" t="s">
        <v>436</v>
      </c>
      <c r="H10" s="22" t="s">
        <v>440</v>
      </c>
      <c r="I10" s="22" t="s">
        <v>395</v>
      </c>
      <c r="J10" s="24" t="str">
        <f aca="false">IF(I10="","",IFERROR(INDEX(TUYEN_MOTA,MATCH(I10,TUYEN_MA,0)),"TUYẾN KHÔNG CÓ"))</f>
        <v>Nhà máy → Kho 2 (Lào) → Nhà máy</v>
      </c>
      <c r="K10" s="22" t="n">
        <v>450</v>
      </c>
      <c r="L10" s="22" t="n">
        <v>450</v>
      </c>
      <c r="M10" s="22" t="s">
        <v>435</v>
      </c>
      <c r="N10" s="22"/>
      <c r="O10" s="24" t="n">
        <f aca="false">IF(I10="","",IFERROR(INDEX(TUYEN_NGAY,MATCH(I10,TUYEN_MA,0)),0))</f>
        <v>5</v>
      </c>
      <c r="P10" s="24" t="n">
        <f aca="false">IF(OR(F10="",O10=""),"",MAX(0,F10-O10))</f>
        <v>0</v>
      </c>
      <c r="Q10" s="20" t="n">
        <f aca="false">IF(I10="","",IFERROR(INDEX(TUYEN_DG,MATCH(I10,TUYEN_MA,0)),0))</f>
        <v>6500000</v>
      </c>
      <c r="R10" s="20" t="n">
        <f aca="false">IF(P10="","",P10*HT_VUOTNGAY)</f>
        <v>0</v>
      </c>
      <c r="S10" s="20" t="n">
        <f aca="false">IF(I10="","",(N(K10)+N(L10))*HT_DAU_KM)</f>
        <v>0</v>
      </c>
      <c r="T10" s="22" t="n">
        <v>0</v>
      </c>
      <c r="U10" s="20" t="n">
        <f aca="false">IF(I10="","",N(T10)*IFERROR(INDEX(TUYEN_HTVC,MATCH(I10,TUYEN_MA,0)),0))</f>
        <v>0</v>
      </c>
      <c r="V10" s="37" t="n">
        <f aca="false">IF(I10="","",Q10+R10+S10+U10)</f>
        <v>6500000</v>
      </c>
      <c r="W10" s="22" t="s">
        <v>428</v>
      </c>
      <c r="X10" s="22" t="s">
        <v>428</v>
      </c>
      <c r="Y10" s="22"/>
    </row>
    <row r="11" customFormat="false" ht="15" hidden="false" customHeight="false" outlineLevel="0" collapsed="false">
      <c r="A11" s="24" t="n">
        <v>7</v>
      </c>
      <c r="B11" s="22" t="s">
        <v>227</v>
      </c>
      <c r="C11" s="24" t="str">
        <f aca="false">IF(B11="","",IFERROR(INDEX(NV_TEN,MATCH(B11,NV_MA,0)),"MÃ KHÔNG CÓ"))</f>
        <v>Bùi Văn Nghĩa</v>
      </c>
      <c r="D11" s="46" t="n">
        <v>46076</v>
      </c>
      <c r="E11" s="46" t="n">
        <v>46076</v>
      </c>
      <c r="F11" s="24" t="n">
        <f aca="false">IF(OR(D11="",E11=""),"",E11-D11+1)</f>
        <v>1</v>
      </c>
      <c r="G11" s="22" t="s">
        <v>436</v>
      </c>
      <c r="H11" s="22"/>
      <c r="I11" s="22" t="s">
        <v>388</v>
      </c>
      <c r="J11" s="24" t="str">
        <f aca="false">IF(I11="","",IFERROR(INDEX(TUYEN_MOTA,MATCH(I11,TUYEN_MA,0)),"TUYẾN KHÔNG CÓ"))</f>
        <v>Nhà máy → Cảng Đà Nẵng / Tiên Sa → Nhà máy</v>
      </c>
      <c r="K11" s="22" t="n">
        <v>110</v>
      </c>
      <c r="L11" s="22" t="n">
        <v>110</v>
      </c>
      <c r="M11" s="22" t="s">
        <v>441</v>
      </c>
      <c r="N11" s="22"/>
      <c r="O11" s="24" t="n">
        <f aca="false">IF(I11="","",IFERROR(INDEX(TUYEN_NGAY,MATCH(I11,TUYEN_MA,0)),0))</f>
        <v>1</v>
      </c>
      <c r="P11" s="24" t="n">
        <f aca="false">IF(OR(F11="",O11=""),"",MAX(0,F11-O11))</f>
        <v>0</v>
      </c>
      <c r="Q11" s="20" t="n">
        <f aca="false">IF(I11="","",IFERROR(INDEX(TUYEN_DG,MATCH(I11,TUYEN_MA,0)),0))</f>
        <v>1200000</v>
      </c>
      <c r="R11" s="20" t="n">
        <f aca="false">IF(P11="","",P11*HT_VUOTNGAY)</f>
        <v>0</v>
      </c>
      <c r="S11" s="20" t="n">
        <f aca="false">IF(I11="","",(N(K11)+N(L11))*HT_DAU_KM)</f>
        <v>0</v>
      </c>
      <c r="T11" s="22" t="n">
        <v>0</v>
      </c>
      <c r="U11" s="20" t="n">
        <f aca="false">IF(I11="","",N(T11)*IFERROR(INDEX(TUYEN_HTVC,MATCH(I11,TUYEN_MA,0)),0))</f>
        <v>0</v>
      </c>
      <c r="V11" s="37" t="n">
        <f aca="false">IF(I11="","",Q11+R11+S11+U11)</f>
        <v>1200000</v>
      </c>
      <c r="W11" s="22" t="s">
        <v>442</v>
      </c>
      <c r="X11" s="22"/>
      <c r="Y11" s="22" t="s">
        <v>443</v>
      </c>
    </row>
    <row r="12" customFormat="false" ht="15" hidden="false" customHeight="false" outlineLevel="0" collapsed="false">
      <c r="A12" s="24" t="n">
        <v>8</v>
      </c>
      <c r="B12" s="22" t="s">
        <v>227</v>
      </c>
      <c r="C12" s="24" t="str">
        <f aca="false">IF(B12="","",IFERROR(INDEX(NV_TEN,MATCH(B12,NV_MA,0)),"MÃ KHÔNG CÓ"))</f>
        <v>Bùi Văn Nghĩa</v>
      </c>
      <c r="D12" s="46" t="n">
        <v>46081</v>
      </c>
      <c r="E12" s="46" t="n">
        <v>46081</v>
      </c>
      <c r="F12" s="24" t="n">
        <f aca="false">IF(OR(D12="",E12=""),"",E12-D12+1)</f>
        <v>1</v>
      </c>
      <c r="G12" s="22" t="s">
        <v>436</v>
      </c>
      <c r="H12" s="22"/>
      <c r="I12" s="22" t="s">
        <v>388</v>
      </c>
      <c r="J12" s="24" t="str">
        <f aca="false">IF(I12="","",IFERROR(INDEX(TUYEN_MOTA,MATCH(I12,TUYEN_MA,0)),"TUYẾN KHÔNG CÓ"))</f>
        <v>Nhà máy → Cảng Đà Nẵng / Tiên Sa → Nhà máy</v>
      </c>
      <c r="K12" s="22" t="n">
        <v>110</v>
      </c>
      <c r="L12" s="22" t="n">
        <v>110</v>
      </c>
      <c r="M12" s="22" t="s">
        <v>444</v>
      </c>
      <c r="N12" s="22"/>
      <c r="O12" s="24" t="n">
        <f aca="false">IF(I12="","",IFERROR(INDEX(TUYEN_NGAY,MATCH(I12,TUYEN_MA,0)),0))</f>
        <v>1</v>
      </c>
      <c r="P12" s="24" t="n">
        <f aca="false">IF(OR(F12="",O12=""),"",MAX(0,F12-O12))</f>
        <v>0</v>
      </c>
      <c r="Q12" s="20" t="n">
        <f aca="false">IF(I12="","",IFERROR(INDEX(TUYEN_DG,MATCH(I12,TUYEN_MA,0)),0))</f>
        <v>1200000</v>
      </c>
      <c r="R12" s="20" t="n">
        <f aca="false">IF(P12="","",P12*HT_VUOTNGAY)</f>
        <v>0</v>
      </c>
      <c r="S12" s="20" t="n">
        <f aca="false">IF(I12="","",(N(K12)+N(L12))*HT_DAU_KM)</f>
        <v>0</v>
      </c>
      <c r="T12" s="22" t="n">
        <v>0</v>
      </c>
      <c r="U12" s="20" t="n">
        <f aca="false">IF(I12="","",N(T12)*IFERROR(INDEX(TUYEN_HTVC,MATCH(I12,TUYEN_MA,0)),0))</f>
        <v>0</v>
      </c>
      <c r="V12" s="37" t="n">
        <f aca="false">IF(I12="","",Q12+R12+S12+U12)</f>
        <v>1200000</v>
      </c>
      <c r="W12" s="22" t="s">
        <v>442</v>
      </c>
      <c r="X12" s="22"/>
      <c r="Y12" s="22"/>
    </row>
    <row r="13" customFormat="false" ht="15" hidden="false" customHeight="false" outlineLevel="0" collapsed="false">
      <c r="A13" s="24" t="n">
        <v>9</v>
      </c>
      <c r="B13" s="22" t="s">
        <v>229</v>
      </c>
      <c r="C13" s="24" t="str">
        <f aca="false">IF(B13="","",IFERROR(INDEX(NV_TEN,MATCH(B13,NV_MA,0)),"MÃ KHÔNG CÓ"))</f>
        <v>Nguyễn Hữu Mạnh Cường</v>
      </c>
      <c r="D13" s="46" t="n">
        <v>46054</v>
      </c>
      <c r="E13" s="46" t="n">
        <v>46054</v>
      </c>
      <c r="F13" s="24" t="n">
        <f aca="false">IF(OR(D13="",E13=""),"",E13-D13+1)</f>
        <v>1</v>
      </c>
      <c r="G13" s="22" t="s">
        <v>445</v>
      </c>
      <c r="H13" s="22" t="s">
        <v>446</v>
      </c>
      <c r="I13" s="22" t="s">
        <v>388</v>
      </c>
      <c r="J13" s="24" t="str">
        <f aca="false">IF(I13="","",IFERROR(INDEX(TUYEN_MOTA,MATCH(I13,TUYEN_MA,0)),"TUYẾN KHÔNG CÓ"))</f>
        <v>Nhà máy → Cảng Đà Nẵng / Tiên Sa → Nhà máy</v>
      </c>
      <c r="K13" s="22" t="n">
        <v>110</v>
      </c>
      <c r="L13" s="22" t="n">
        <v>110</v>
      </c>
      <c r="M13" s="22" t="s">
        <v>447</v>
      </c>
      <c r="N13" s="22"/>
      <c r="O13" s="24" t="n">
        <f aca="false">IF(I13="","",IFERROR(INDEX(TUYEN_NGAY,MATCH(I13,TUYEN_MA,0)),0))</f>
        <v>1</v>
      </c>
      <c r="P13" s="24" t="n">
        <f aca="false">IF(OR(F13="",O13=""),"",MAX(0,F13-O13))</f>
        <v>0</v>
      </c>
      <c r="Q13" s="20" t="n">
        <f aca="false">IF(I13="","",IFERROR(INDEX(TUYEN_DG,MATCH(I13,TUYEN_MA,0)),0))</f>
        <v>1200000</v>
      </c>
      <c r="R13" s="20" t="n">
        <f aca="false">IF(P13="","",P13*HT_VUOTNGAY)</f>
        <v>0</v>
      </c>
      <c r="S13" s="20" t="n">
        <f aca="false">IF(I13="","",(N(K13)+N(L13))*HT_DAU_KM)</f>
        <v>0</v>
      </c>
      <c r="T13" s="22" t="n">
        <v>0</v>
      </c>
      <c r="U13" s="20" t="n">
        <f aca="false">IF(I13="","",N(T13)*IFERROR(INDEX(TUYEN_HTVC,MATCH(I13,TUYEN_MA,0)),0))</f>
        <v>0</v>
      </c>
      <c r="V13" s="37" t="n">
        <f aca="false">IF(I13="","",Q13+R13+S13+U13)</f>
        <v>1200000</v>
      </c>
      <c r="W13" s="22" t="s">
        <v>428</v>
      </c>
      <c r="X13" s="22"/>
      <c r="Y13" s="22"/>
    </row>
    <row r="14" customFormat="false" ht="15" hidden="false" customHeight="false" outlineLevel="0" collapsed="false">
      <c r="A14" s="24" t="n">
        <v>10</v>
      </c>
      <c r="B14" s="22" t="s">
        <v>229</v>
      </c>
      <c r="C14" s="24" t="str">
        <f aca="false">IF(B14="","",IFERROR(INDEX(NV_TEN,MATCH(B14,NV_MA,0)),"MÃ KHÔNG CÓ"))</f>
        <v>Nguyễn Hữu Mạnh Cường</v>
      </c>
      <c r="D14" s="46" t="n">
        <v>46056</v>
      </c>
      <c r="E14" s="46" t="n">
        <v>46056</v>
      </c>
      <c r="F14" s="24" t="n">
        <f aca="false">IF(OR(D14="",E14=""),"",E14-D14+1)</f>
        <v>1</v>
      </c>
      <c r="G14" s="22" t="s">
        <v>445</v>
      </c>
      <c r="H14" s="22" t="s">
        <v>426</v>
      </c>
      <c r="I14" s="22" t="s">
        <v>388</v>
      </c>
      <c r="J14" s="24" t="str">
        <f aca="false">IF(I14="","",IFERROR(INDEX(TUYEN_MOTA,MATCH(I14,TUYEN_MA,0)),"TUYẾN KHÔNG CÓ"))</f>
        <v>Nhà máy → Cảng Đà Nẵng / Tiên Sa → Nhà máy</v>
      </c>
      <c r="K14" s="22" t="n">
        <v>110</v>
      </c>
      <c r="L14" s="22" t="n">
        <v>110</v>
      </c>
      <c r="M14" s="22" t="s">
        <v>448</v>
      </c>
      <c r="N14" s="22"/>
      <c r="O14" s="24" t="n">
        <f aca="false">IF(I14="","",IFERROR(INDEX(TUYEN_NGAY,MATCH(I14,TUYEN_MA,0)),0))</f>
        <v>1</v>
      </c>
      <c r="P14" s="24" t="n">
        <f aca="false">IF(OR(F14="",O14=""),"",MAX(0,F14-O14))</f>
        <v>0</v>
      </c>
      <c r="Q14" s="20" t="n">
        <f aca="false">IF(I14="","",IFERROR(INDEX(TUYEN_DG,MATCH(I14,TUYEN_MA,0)),0))</f>
        <v>1200000</v>
      </c>
      <c r="R14" s="20" t="n">
        <f aca="false">IF(P14="","",P14*HT_VUOTNGAY)</f>
        <v>0</v>
      </c>
      <c r="S14" s="20" t="n">
        <f aca="false">IF(I14="","",(N(K14)+N(L14))*HT_DAU_KM)</f>
        <v>0</v>
      </c>
      <c r="T14" s="22" t="n">
        <v>0</v>
      </c>
      <c r="U14" s="20" t="n">
        <f aca="false">IF(I14="","",N(T14)*IFERROR(INDEX(TUYEN_HTVC,MATCH(I14,TUYEN_MA,0)),0))</f>
        <v>0</v>
      </c>
      <c r="V14" s="37" t="n">
        <f aca="false">IF(I14="","",Q14+R14+S14+U14)</f>
        <v>1200000</v>
      </c>
      <c r="W14" s="22" t="s">
        <v>428</v>
      </c>
      <c r="X14" s="22"/>
      <c r="Y14" s="22"/>
    </row>
    <row r="15" customFormat="false" ht="15" hidden="false" customHeight="false" outlineLevel="0" collapsed="false">
      <c r="A15" s="24" t="n">
        <v>11</v>
      </c>
      <c r="B15" s="22" t="s">
        <v>229</v>
      </c>
      <c r="C15" s="24" t="str">
        <f aca="false">IF(B15="","",IFERROR(INDEX(NV_TEN,MATCH(B15,NV_MA,0)),"MÃ KHÔNG CÓ"))</f>
        <v>Nguyễn Hữu Mạnh Cường</v>
      </c>
      <c r="D15" s="46" t="n">
        <v>46058</v>
      </c>
      <c r="E15" s="46" t="n">
        <v>46061</v>
      </c>
      <c r="F15" s="24" t="n">
        <f aca="false">IF(OR(D15="",E15=""),"",E15-D15+1)</f>
        <v>4</v>
      </c>
      <c r="G15" s="22" t="s">
        <v>445</v>
      </c>
      <c r="H15" s="22" t="s">
        <v>449</v>
      </c>
      <c r="I15" s="22" t="s">
        <v>391</v>
      </c>
      <c r="J15" s="24" t="str">
        <f aca="false">IF(I15="","",IFERROR(INDEX(TUYEN_MOTA,MATCH(I15,TUYEN_MA,0)),"TUYẾN KHÔNG CÓ"))</f>
        <v>Nhà máy → Kon Tum / Ngọc Hồi → Nhà máy</v>
      </c>
      <c r="K15" s="22" t="n">
        <v>350</v>
      </c>
      <c r="L15" s="22" t="n">
        <v>350</v>
      </c>
      <c r="M15" s="22" t="s">
        <v>450</v>
      </c>
      <c r="N15" s="22" t="s">
        <v>451</v>
      </c>
      <c r="O15" s="24" t="n">
        <f aca="false">IF(I15="","",IFERROR(INDEX(TUYEN_NGAY,MATCH(I15,TUYEN_MA,0)),0))</f>
        <v>3</v>
      </c>
      <c r="P15" s="24" t="n">
        <f aca="false">IF(OR(F15="",O15=""),"",MAX(0,F15-O15))</f>
        <v>1</v>
      </c>
      <c r="Q15" s="20" t="n">
        <f aca="false">IF(I15="","",IFERROR(INDEX(TUYEN_DG,MATCH(I15,TUYEN_MA,0)),0))</f>
        <v>3500000</v>
      </c>
      <c r="R15" s="20" t="n">
        <f aca="false">IF(P15="","",P15*HT_VUOTNGAY)</f>
        <v>300000</v>
      </c>
      <c r="S15" s="20" t="n">
        <f aca="false">IF(I15="","",(N(K15)+N(L15))*HT_DAU_KM)</f>
        <v>0</v>
      </c>
      <c r="T15" s="22" t="n">
        <v>0</v>
      </c>
      <c r="U15" s="20" t="n">
        <f aca="false">IF(I15="","",N(T15)*IFERROR(INDEX(TUYEN_HTVC,MATCH(I15,TUYEN_MA,0)),0))</f>
        <v>0</v>
      </c>
      <c r="V15" s="37" t="n">
        <f aca="false">IF(I15="","",Q15+R15+S15+U15)</f>
        <v>3800000</v>
      </c>
      <c r="W15" s="22" t="s">
        <v>428</v>
      </c>
      <c r="X15" s="22"/>
      <c r="Y15" s="22" t="s">
        <v>452</v>
      </c>
    </row>
    <row r="16" customFormat="false" ht="15" hidden="false" customHeight="false" outlineLevel="0" collapsed="false">
      <c r="A16" s="24" t="n">
        <v>12</v>
      </c>
      <c r="B16" s="22" t="s">
        <v>229</v>
      </c>
      <c r="C16" s="24" t="str">
        <f aca="false">IF(B16="","",IFERROR(INDEX(NV_TEN,MATCH(B16,NV_MA,0)),"MÃ KHÔNG CÓ"))</f>
        <v>Nguyễn Hữu Mạnh Cường</v>
      </c>
      <c r="D16" s="46" t="n">
        <v>46064</v>
      </c>
      <c r="E16" s="46" t="n">
        <v>46064</v>
      </c>
      <c r="F16" s="24" t="n">
        <f aca="false">IF(OR(D16="",E16=""),"",E16-D16+1)</f>
        <v>1</v>
      </c>
      <c r="G16" s="22" t="s">
        <v>445</v>
      </c>
      <c r="H16" s="22" t="s">
        <v>453</v>
      </c>
      <c r="I16" s="22" t="s">
        <v>388</v>
      </c>
      <c r="J16" s="24" t="str">
        <f aca="false">IF(I16="","",IFERROR(INDEX(TUYEN_MOTA,MATCH(I16,TUYEN_MA,0)),"TUYẾN KHÔNG CÓ"))</f>
        <v>Nhà máy → Cảng Đà Nẵng / Tiên Sa → Nhà máy</v>
      </c>
      <c r="K16" s="22" t="n">
        <v>110</v>
      </c>
      <c r="L16" s="22" t="n">
        <v>110</v>
      </c>
      <c r="M16" s="22" t="s">
        <v>454</v>
      </c>
      <c r="N16" s="22"/>
      <c r="O16" s="24" t="n">
        <f aca="false">IF(I16="","",IFERROR(INDEX(TUYEN_NGAY,MATCH(I16,TUYEN_MA,0)),0))</f>
        <v>1</v>
      </c>
      <c r="P16" s="24" t="n">
        <f aca="false">IF(OR(F16="",O16=""),"",MAX(0,F16-O16))</f>
        <v>0</v>
      </c>
      <c r="Q16" s="20" t="n">
        <f aca="false">IF(I16="","",IFERROR(INDEX(TUYEN_DG,MATCH(I16,TUYEN_MA,0)),0))</f>
        <v>1200000</v>
      </c>
      <c r="R16" s="20" t="n">
        <f aca="false">IF(P16="","",P16*HT_VUOTNGAY)</f>
        <v>0</v>
      </c>
      <c r="S16" s="20" t="n">
        <f aca="false">IF(I16="","",(N(K16)+N(L16))*HT_DAU_KM)</f>
        <v>0</v>
      </c>
      <c r="T16" s="22" t="n">
        <v>0</v>
      </c>
      <c r="U16" s="20" t="n">
        <f aca="false">IF(I16="","",N(T16)*IFERROR(INDEX(TUYEN_HTVC,MATCH(I16,TUYEN_MA,0)),0))</f>
        <v>0</v>
      </c>
      <c r="V16" s="37" t="n">
        <f aca="false">IF(I16="","",Q16+R16+S16+U16)</f>
        <v>1200000</v>
      </c>
      <c r="W16" s="22" t="s">
        <v>428</v>
      </c>
      <c r="X16" s="22"/>
      <c r="Y16" s="22"/>
    </row>
    <row r="17" customFormat="false" ht="15" hidden="false" customHeight="false" outlineLevel="0" collapsed="false">
      <c r="A17" s="24" t="n">
        <v>13</v>
      </c>
      <c r="B17" s="22" t="s">
        <v>229</v>
      </c>
      <c r="C17" s="24" t="str">
        <f aca="false">IF(B17="","",IFERROR(INDEX(NV_TEN,MATCH(B17,NV_MA,0)),"MÃ KHÔNG CÓ"))</f>
        <v>Nguyễn Hữu Mạnh Cường</v>
      </c>
      <c r="D17" s="46" t="n">
        <v>46065</v>
      </c>
      <c r="E17" s="46" t="n">
        <v>46065</v>
      </c>
      <c r="F17" s="24" t="n">
        <f aca="false">IF(OR(D17="",E17=""),"",E17-D17+1)</f>
        <v>1</v>
      </c>
      <c r="G17" s="22" t="s">
        <v>445</v>
      </c>
      <c r="H17" s="22" t="s">
        <v>455</v>
      </c>
      <c r="I17" s="22" t="s">
        <v>388</v>
      </c>
      <c r="J17" s="24" t="str">
        <f aca="false">IF(I17="","",IFERROR(INDEX(TUYEN_MOTA,MATCH(I17,TUYEN_MA,0)),"TUYẾN KHÔNG CÓ"))</f>
        <v>Nhà máy → Cảng Đà Nẵng / Tiên Sa → Nhà máy</v>
      </c>
      <c r="K17" s="22" t="n">
        <v>110</v>
      </c>
      <c r="L17" s="22" t="n">
        <v>110</v>
      </c>
      <c r="M17" s="22" t="s">
        <v>456</v>
      </c>
      <c r="N17" s="22"/>
      <c r="O17" s="24" t="n">
        <f aca="false">IF(I17="","",IFERROR(INDEX(TUYEN_NGAY,MATCH(I17,TUYEN_MA,0)),0))</f>
        <v>1</v>
      </c>
      <c r="P17" s="24" t="n">
        <f aca="false">IF(OR(F17="",O17=""),"",MAX(0,F17-O17))</f>
        <v>0</v>
      </c>
      <c r="Q17" s="20" t="n">
        <f aca="false">IF(I17="","",IFERROR(INDEX(TUYEN_DG,MATCH(I17,TUYEN_MA,0)),0))</f>
        <v>1200000</v>
      </c>
      <c r="R17" s="20" t="n">
        <f aca="false">IF(P17="","",P17*HT_VUOTNGAY)</f>
        <v>0</v>
      </c>
      <c r="S17" s="20" t="n">
        <f aca="false">IF(I17="","",(N(K17)+N(L17))*HT_DAU_KM)</f>
        <v>0</v>
      </c>
      <c r="T17" s="22" t="n">
        <v>0</v>
      </c>
      <c r="U17" s="20" t="n">
        <f aca="false">IF(I17="","",N(T17)*IFERROR(INDEX(TUYEN_HTVC,MATCH(I17,TUYEN_MA,0)),0))</f>
        <v>0</v>
      </c>
      <c r="V17" s="37" t="n">
        <f aca="false">IF(I17="","",Q17+R17+S17+U17)</f>
        <v>1200000</v>
      </c>
      <c r="W17" s="22" t="s">
        <v>428</v>
      </c>
      <c r="X17" s="22"/>
      <c r="Y17" s="22"/>
    </row>
    <row r="18" customFormat="false" ht="15" hidden="false" customHeight="false" outlineLevel="0" collapsed="false">
      <c r="A18" s="24" t="n">
        <v>14</v>
      </c>
      <c r="B18" s="22" t="s">
        <v>229</v>
      </c>
      <c r="C18" s="24" t="str">
        <f aca="false">IF(B18="","",IFERROR(INDEX(NV_TEN,MATCH(B18,NV_MA,0)),"MÃ KHÔNG CÓ"))</f>
        <v>Nguyễn Hữu Mạnh Cường</v>
      </c>
      <c r="D18" s="46" t="n">
        <v>46068</v>
      </c>
      <c r="E18" s="46" t="n">
        <v>46068</v>
      </c>
      <c r="F18" s="24" t="n">
        <f aca="false">IF(OR(D18="",E18=""),"",E18-D18+1)</f>
        <v>1</v>
      </c>
      <c r="G18" s="22" t="s">
        <v>445</v>
      </c>
      <c r="H18" s="22" t="s">
        <v>457</v>
      </c>
      <c r="I18" s="22" t="s">
        <v>388</v>
      </c>
      <c r="J18" s="24" t="str">
        <f aca="false">IF(I18="","",IFERROR(INDEX(TUYEN_MOTA,MATCH(I18,TUYEN_MA,0)),"TUYẾN KHÔNG CÓ"))</f>
        <v>Nhà máy → Cảng Đà Nẵng / Tiên Sa → Nhà máy</v>
      </c>
      <c r="K18" s="22" t="n">
        <v>110</v>
      </c>
      <c r="L18" s="22" t="n">
        <v>110</v>
      </c>
      <c r="M18" s="22" t="s">
        <v>458</v>
      </c>
      <c r="N18" s="22"/>
      <c r="O18" s="24" t="n">
        <f aca="false">IF(I18="","",IFERROR(INDEX(TUYEN_NGAY,MATCH(I18,TUYEN_MA,0)),0))</f>
        <v>1</v>
      </c>
      <c r="P18" s="24" t="n">
        <f aca="false">IF(OR(F18="",O18=""),"",MAX(0,F18-O18))</f>
        <v>0</v>
      </c>
      <c r="Q18" s="20" t="n">
        <f aca="false">IF(I18="","",IFERROR(INDEX(TUYEN_DG,MATCH(I18,TUYEN_MA,0)),0))</f>
        <v>1200000</v>
      </c>
      <c r="R18" s="20" t="n">
        <f aca="false">IF(P18="","",P18*HT_VUOTNGAY)</f>
        <v>0</v>
      </c>
      <c r="S18" s="20" t="n">
        <f aca="false">IF(I18="","",(N(K18)+N(L18))*HT_DAU_KM)</f>
        <v>0</v>
      </c>
      <c r="T18" s="22" t="n">
        <v>0</v>
      </c>
      <c r="U18" s="20" t="n">
        <f aca="false">IF(I18="","",N(T18)*IFERROR(INDEX(TUYEN_HTVC,MATCH(I18,TUYEN_MA,0)),0))</f>
        <v>0</v>
      </c>
      <c r="V18" s="37" t="n">
        <f aca="false">IF(I18="","",Q18+R18+S18+U18)</f>
        <v>1200000</v>
      </c>
      <c r="W18" s="22" t="s">
        <v>428</v>
      </c>
      <c r="X18" s="22"/>
      <c r="Y18" s="22"/>
    </row>
    <row r="19" customFormat="false" ht="15" hidden="false" customHeight="false" outlineLevel="0" collapsed="false">
      <c r="A19" s="24" t="n">
        <v>15</v>
      </c>
      <c r="B19" s="22" t="s">
        <v>229</v>
      </c>
      <c r="C19" s="24" t="str">
        <f aca="false">IF(B19="","",IFERROR(INDEX(NV_TEN,MATCH(B19,NV_MA,0)),"MÃ KHÔNG CÓ"))</f>
        <v>Nguyễn Hữu Mạnh Cường</v>
      </c>
      <c r="D19" s="46" t="n">
        <v>46078</v>
      </c>
      <c r="E19" s="46" t="n">
        <v>46078</v>
      </c>
      <c r="F19" s="24" t="n">
        <f aca="false">IF(OR(D19="",E19=""),"",E19-D19+1)</f>
        <v>1</v>
      </c>
      <c r="G19" s="22" t="s">
        <v>445</v>
      </c>
      <c r="H19" s="22" t="s">
        <v>437</v>
      </c>
      <c r="I19" s="22" t="s">
        <v>388</v>
      </c>
      <c r="J19" s="24" t="str">
        <f aca="false">IF(I19="","",IFERROR(INDEX(TUYEN_MOTA,MATCH(I19,TUYEN_MA,0)),"TUYẾN KHÔNG CÓ"))</f>
        <v>Nhà máy → Cảng Đà Nẵng / Tiên Sa → Nhà máy</v>
      </c>
      <c r="K19" s="22" t="n">
        <v>110</v>
      </c>
      <c r="L19" s="22" t="n">
        <v>110</v>
      </c>
      <c r="M19" s="22" t="s">
        <v>459</v>
      </c>
      <c r="N19" s="22"/>
      <c r="O19" s="24" t="n">
        <f aca="false">IF(I19="","",IFERROR(INDEX(TUYEN_NGAY,MATCH(I19,TUYEN_MA,0)),0))</f>
        <v>1</v>
      </c>
      <c r="P19" s="24" t="n">
        <f aca="false">IF(OR(F19="",O19=""),"",MAX(0,F19-O19))</f>
        <v>0</v>
      </c>
      <c r="Q19" s="20" t="n">
        <f aca="false">IF(I19="","",IFERROR(INDEX(TUYEN_DG,MATCH(I19,TUYEN_MA,0)),0))</f>
        <v>1200000</v>
      </c>
      <c r="R19" s="20" t="n">
        <f aca="false">IF(P19="","",P19*HT_VUOTNGAY)</f>
        <v>0</v>
      </c>
      <c r="S19" s="20" t="n">
        <f aca="false">IF(I19="","",(N(K19)+N(L19))*HT_DAU_KM)</f>
        <v>0</v>
      </c>
      <c r="T19" s="22" t="n">
        <v>0</v>
      </c>
      <c r="U19" s="20" t="n">
        <f aca="false">IF(I19="","",N(T19)*IFERROR(INDEX(TUYEN_HTVC,MATCH(I19,TUYEN_MA,0)),0))</f>
        <v>0</v>
      </c>
      <c r="V19" s="37" t="n">
        <f aca="false">IF(I19="","",Q19+R19+S19+U19)</f>
        <v>1200000</v>
      </c>
      <c r="W19" s="22" t="s">
        <v>428</v>
      </c>
      <c r="X19" s="22"/>
      <c r="Y19" s="22"/>
    </row>
    <row r="20" customFormat="false" ht="15" hidden="false" customHeight="false" outlineLevel="0" collapsed="false">
      <c r="A20" s="24" t="n">
        <v>16</v>
      </c>
      <c r="B20" s="22" t="s">
        <v>229</v>
      </c>
      <c r="C20" s="24" t="str">
        <f aca="false">IF(B20="","",IFERROR(INDEX(NV_TEN,MATCH(B20,NV_MA,0)),"MÃ KHÔNG CÓ"))</f>
        <v>Nguyễn Hữu Mạnh Cường</v>
      </c>
      <c r="D20" s="46" t="n">
        <v>46080</v>
      </c>
      <c r="E20" s="46" t="n">
        <v>46080</v>
      </c>
      <c r="F20" s="24" t="n">
        <f aca="false">IF(OR(D20="",E20=""),"",E20-D20+1)</f>
        <v>1</v>
      </c>
      <c r="G20" s="22" t="s">
        <v>445</v>
      </c>
      <c r="H20" s="22" t="s">
        <v>460</v>
      </c>
      <c r="I20" s="22" t="s">
        <v>398</v>
      </c>
      <c r="J20" s="24" t="str">
        <f aca="false">IF(I20="","",IFERROR(INDEX(TUYEN_MOTA,MATCH(I20,TUYEN_MA,0)),"TUYẾN KHÔNG CÓ"))</f>
        <v>Nhà máy → Mỏ đá Tứ Hạ → Nhà máy</v>
      </c>
      <c r="K20" s="22" t="n">
        <v>30</v>
      </c>
      <c r="L20" s="22" t="n">
        <v>30</v>
      </c>
      <c r="M20" s="22" t="s">
        <v>461</v>
      </c>
      <c r="N20" s="22"/>
      <c r="O20" s="24" t="n">
        <f aca="false">IF(I20="","",IFERROR(INDEX(TUYEN_NGAY,MATCH(I20,TUYEN_MA,0)),0))</f>
        <v>1</v>
      </c>
      <c r="P20" s="24" t="n">
        <f aca="false">IF(OR(F20="",O20=""),"",MAX(0,F20-O20))</f>
        <v>0</v>
      </c>
      <c r="Q20" s="20" t="n">
        <f aca="false">IF(I20="","",IFERROR(INDEX(TUYEN_DG,MATCH(I20,TUYEN_MA,0)),0))</f>
        <v>500000</v>
      </c>
      <c r="R20" s="20" t="n">
        <f aca="false">IF(P20="","",P20*HT_VUOTNGAY)</f>
        <v>0</v>
      </c>
      <c r="S20" s="20" t="n">
        <f aca="false">IF(I20="","",(N(K20)+N(L20))*HT_DAU_KM)</f>
        <v>0</v>
      </c>
      <c r="T20" s="22" t="n">
        <v>0</v>
      </c>
      <c r="U20" s="20" t="n">
        <f aca="false">IF(I20="","",N(T20)*IFERROR(INDEX(TUYEN_HTVC,MATCH(I20,TUYEN_MA,0)),0))</f>
        <v>0</v>
      </c>
      <c r="V20" s="37" t="n">
        <f aca="false">IF(I20="","",Q20+R20+S20+U20)</f>
        <v>500000</v>
      </c>
      <c r="W20" s="22"/>
      <c r="X20" s="22"/>
      <c r="Y20" s="22"/>
    </row>
    <row r="21" customFormat="false" ht="15" hidden="false" customHeight="false" outlineLevel="0" collapsed="false">
      <c r="A21" s="24" t="str">
        <f aca="false">IF(B21="","",ROW()-4)</f>
        <v/>
      </c>
      <c r="B21" s="22"/>
      <c r="C21" s="24" t="str">
        <f aca="false">IF(B21="","",IFERROR(INDEX(NV_TEN,MATCH(B21,NV_MA,0)),"MÃ KHÔNG CÓ"))</f>
        <v/>
      </c>
      <c r="D21" s="46"/>
      <c r="E21" s="46"/>
      <c r="F21" s="24" t="str">
        <f aca="false">IF(OR(D21="",E21=""),"",E21-D21+1)</f>
        <v/>
      </c>
      <c r="G21" s="22"/>
      <c r="H21" s="22"/>
      <c r="I21" s="22"/>
      <c r="J21" s="24" t="str">
        <f aca="false">IF(I21="","",IFERROR(INDEX(TUYEN_MOTA,MATCH(I21,TUYEN_MA,0)),"TUYẾN KHÔNG CÓ"))</f>
        <v/>
      </c>
      <c r="K21" s="22"/>
      <c r="L21" s="22"/>
      <c r="M21" s="22"/>
      <c r="N21" s="22"/>
      <c r="O21" s="24" t="str">
        <f aca="false">IF(I21="","",IFERROR(INDEX(TUYEN_NGAY,MATCH(I21,TUYEN_MA,0)),0))</f>
        <v/>
      </c>
      <c r="P21" s="24" t="str">
        <f aca="false">IF(OR(F21="",O21=""),"",MAX(0,F21-O21))</f>
        <v/>
      </c>
      <c r="Q21" s="20" t="str">
        <f aca="false">IF(I21="","",IFERROR(INDEX(TUYEN_DG,MATCH(I21,TUYEN_MA,0)),0))</f>
        <v/>
      </c>
      <c r="R21" s="20" t="str">
        <f aca="false">IF(P21="","",P21*HT_VUOTNGAY)</f>
        <v/>
      </c>
      <c r="S21" s="20" t="str">
        <f aca="false">IF(I21="","",(N(K21)+N(L21))*HT_DAU_KM)</f>
        <v/>
      </c>
      <c r="T21" s="22"/>
      <c r="U21" s="20" t="str">
        <f aca="false">IF(I21="","",N(T21)*IFERROR(INDEX(TUYEN_HTVC,MATCH(I21,TUYEN_MA,0)),0))</f>
        <v/>
      </c>
      <c r="V21" s="37" t="str">
        <f aca="false">IF(I21="","",Q21+R21+S21+U21)</f>
        <v/>
      </c>
      <c r="W21" s="22"/>
      <c r="X21" s="22"/>
      <c r="Y21" s="22"/>
    </row>
    <row r="22" customFormat="false" ht="15" hidden="false" customHeight="false" outlineLevel="0" collapsed="false">
      <c r="A22" s="24" t="str">
        <f aca="false">IF(B22="","",ROW()-4)</f>
        <v/>
      </c>
      <c r="B22" s="22"/>
      <c r="C22" s="24" t="str">
        <f aca="false">IF(B22="","",IFERROR(INDEX(NV_TEN,MATCH(B22,NV_MA,0)),"MÃ KHÔNG CÓ"))</f>
        <v/>
      </c>
      <c r="D22" s="46"/>
      <c r="E22" s="46"/>
      <c r="F22" s="24" t="str">
        <f aca="false">IF(OR(D22="",E22=""),"",E22-D22+1)</f>
        <v/>
      </c>
      <c r="G22" s="22"/>
      <c r="H22" s="22"/>
      <c r="I22" s="22"/>
      <c r="J22" s="24" t="str">
        <f aca="false">IF(I22="","",IFERROR(INDEX(TUYEN_MOTA,MATCH(I22,TUYEN_MA,0)),"TUYẾN KHÔNG CÓ"))</f>
        <v/>
      </c>
      <c r="K22" s="22"/>
      <c r="L22" s="22"/>
      <c r="M22" s="22"/>
      <c r="N22" s="22"/>
      <c r="O22" s="24" t="str">
        <f aca="false">IF(I22="","",IFERROR(INDEX(TUYEN_NGAY,MATCH(I22,TUYEN_MA,0)),0))</f>
        <v/>
      </c>
      <c r="P22" s="24" t="str">
        <f aca="false">IF(OR(F22="",O22=""),"",MAX(0,F22-O22))</f>
        <v/>
      </c>
      <c r="Q22" s="20" t="str">
        <f aca="false">IF(I22="","",IFERROR(INDEX(TUYEN_DG,MATCH(I22,TUYEN_MA,0)),0))</f>
        <v/>
      </c>
      <c r="R22" s="20" t="str">
        <f aca="false">IF(P22="","",P22*HT_VUOTNGAY)</f>
        <v/>
      </c>
      <c r="S22" s="20" t="str">
        <f aca="false">IF(I22="","",(N(K22)+N(L22))*HT_DAU_KM)</f>
        <v/>
      </c>
      <c r="T22" s="22"/>
      <c r="U22" s="20" t="str">
        <f aca="false">IF(I22="","",N(T22)*IFERROR(INDEX(TUYEN_HTVC,MATCH(I22,TUYEN_MA,0)),0))</f>
        <v/>
      </c>
      <c r="V22" s="37" t="str">
        <f aca="false">IF(I22="","",Q22+R22+S22+U22)</f>
        <v/>
      </c>
      <c r="W22" s="22"/>
      <c r="X22" s="22"/>
      <c r="Y22" s="22"/>
    </row>
    <row r="23" customFormat="false" ht="15" hidden="false" customHeight="false" outlineLevel="0" collapsed="false">
      <c r="A23" s="24" t="str">
        <f aca="false">IF(B23="","",ROW()-4)</f>
        <v/>
      </c>
      <c r="B23" s="22"/>
      <c r="C23" s="24" t="str">
        <f aca="false">IF(B23="","",IFERROR(INDEX(NV_TEN,MATCH(B23,NV_MA,0)),"MÃ KHÔNG CÓ"))</f>
        <v/>
      </c>
      <c r="D23" s="46"/>
      <c r="E23" s="46"/>
      <c r="F23" s="24" t="str">
        <f aca="false">IF(OR(D23="",E23=""),"",E23-D23+1)</f>
        <v/>
      </c>
      <c r="G23" s="22"/>
      <c r="H23" s="22"/>
      <c r="I23" s="22"/>
      <c r="J23" s="24" t="str">
        <f aca="false">IF(I23="","",IFERROR(INDEX(TUYEN_MOTA,MATCH(I23,TUYEN_MA,0)),"TUYẾN KHÔNG CÓ"))</f>
        <v/>
      </c>
      <c r="K23" s="22"/>
      <c r="L23" s="22"/>
      <c r="M23" s="22"/>
      <c r="N23" s="22"/>
      <c r="O23" s="24" t="str">
        <f aca="false">IF(I23="","",IFERROR(INDEX(TUYEN_NGAY,MATCH(I23,TUYEN_MA,0)),0))</f>
        <v/>
      </c>
      <c r="P23" s="24" t="str">
        <f aca="false">IF(OR(F23="",O23=""),"",MAX(0,F23-O23))</f>
        <v/>
      </c>
      <c r="Q23" s="20" t="str">
        <f aca="false">IF(I23="","",IFERROR(INDEX(TUYEN_DG,MATCH(I23,TUYEN_MA,0)),0))</f>
        <v/>
      </c>
      <c r="R23" s="20" t="str">
        <f aca="false">IF(P23="","",P23*HT_VUOTNGAY)</f>
        <v/>
      </c>
      <c r="S23" s="20" t="str">
        <f aca="false">IF(I23="","",(N(K23)+N(L23))*HT_DAU_KM)</f>
        <v/>
      </c>
      <c r="T23" s="22"/>
      <c r="U23" s="20" t="str">
        <f aca="false">IF(I23="","",N(T23)*IFERROR(INDEX(TUYEN_HTVC,MATCH(I23,TUYEN_MA,0)),0))</f>
        <v/>
      </c>
      <c r="V23" s="37" t="str">
        <f aca="false">IF(I23="","",Q23+R23+S23+U23)</f>
        <v/>
      </c>
      <c r="W23" s="22"/>
      <c r="X23" s="22"/>
      <c r="Y23" s="22"/>
    </row>
    <row r="24" customFormat="false" ht="15" hidden="false" customHeight="false" outlineLevel="0" collapsed="false">
      <c r="A24" s="24" t="str">
        <f aca="false">IF(B24="","",ROW()-4)</f>
        <v/>
      </c>
      <c r="B24" s="22"/>
      <c r="C24" s="24" t="str">
        <f aca="false">IF(B24="","",IFERROR(INDEX(NV_TEN,MATCH(B24,NV_MA,0)),"MÃ KHÔNG CÓ"))</f>
        <v/>
      </c>
      <c r="D24" s="46"/>
      <c r="E24" s="46"/>
      <c r="F24" s="24" t="str">
        <f aca="false">IF(OR(D24="",E24=""),"",E24-D24+1)</f>
        <v/>
      </c>
      <c r="G24" s="22"/>
      <c r="H24" s="22"/>
      <c r="I24" s="22"/>
      <c r="J24" s="24" t="str">
        <f aca="false">IF(I24="","",IFERROR(INDEX(TUYEN_MOTA,MATCH(I24,TUYEN_MA,0)),"TUYẾN KHÔNG CÓ"))</f>
        <v/>
      </c>
      <c r="K24" s="22"/>
      <c r="L24" s="22"/>
      <c r="M24" s="22"/>
      <c r="N24" s="22"/>
      <c r="O24" s="24" t="str">
        <f aca="false">IF(I24="","",IFERROR(INDEX(TUYEN_NGAY,MATCH(I24,TUYEN_MA,0)),0))</f>
        <v/>
      </c>
      <c r="P24" s="24" t="str">
        <f aca="false">IF(OR(F24="",O24=""),"",MAX(0,F24-O24))</f>
        <v/>
      </c>
      <c r="Q24" s="20" t="str">
        <f aca="false">IF(I24="","",IFERROR(INDEX(TUYEN_DG,MATCH(I24,TUYEN_MA,0)),0))</f>
        <v/>
      </c>
      <c r="R24" s="20" t="str">
        <f aca="false">IF(P24="","",P24*HT_VUOTNGAY)</f>
        <v/>
      </c>
      <c r="S24" s="20" t="str">
        <f aca="false">IF(I24="","",(N(K24)+N(L24))*HT_DAU_KM)</f>
        <v/>
      </c>
      <c r="T24" s="22"/>
      <c r="U24" s="20" t="str">
        <f aca="false">IF(I24="","",N(T24)*IFERROR(INDEX(TUYEN_HTVC,MATCH(I24,TUYEN_MA,0)),0))</f>
        <v/>
      </c>
      <c r="V24" s="37" t="str">
        <f aca="false">IF(I24="","",Q24+R24+S24+U24)</f>
        <v/>
      </c>
      <c r="W24" s="22"/>
      <c r="X24" s="22"/>
      <c r="Y24" s="22"/>
    </row>
    <row r="25" customFormat="false" ht="15" hidden="false" customHeight="false" outlineLevel="0" collapsed="false">
      <c r="A25" s="24" t="str">
        <f aca="false">IF(B25="","",ROW()-4)</f>
        <v/>
      </c>
      <c r="B25" s="22"/>
      <c r="C25" s="24" t="str">
        <f aca="false">IF(B25="","",IFERROR(INDEX(NV_TEN,MATCH(B25,NV_MA,0)),"MÃ KHÔNG CÓ"))</f>
        <v/>
      </c>
      <c r="D25" s="46"/>
      <c r="E25" s="46"/>
      <c r="F25" s="24" t="str">
        <f aca="false">IF(OR(D25="",E25=""),"",E25-D25+1)</f>
        <v/>
      </c>
      <c r="G25" s="22"/>
      <c r="H25" s="22"/>
      <c r="I25" s="22"/>
      <c r="J25" s="24" t="str">
        <f aca="false">IF(I25="","",IFERROR(INDEX(TUYEN_MOTA,MATCH(I25,TUYEN_MA,0)),"TUYẾN KHÔNG CÓ"))</f>
        <v/>
      </c>
      <c r="K25" s="22"/>
      <c r="L25" s="22"/>
      <c r="M25" s="22"/>
      <c r="N25" s="22"/>
      <c r="O25" s="24" t="str">
        <f aca="false">IF(I25="","",IFERROR(INDEX(TUYEN_NGAY,MATCH(I25,TUYEN_MA,0)),0))</f>
        <v/>
      </c>
      <c r="P25" s="24" t="str">
        <f aca="false">IF(OR(F25="",O25=""),"",MAX(0,F25-O25))</f>
        <v/>
      </c>
      <c r="Q25" s="20" t="str">
        <f aca="false">IF(I25="","",IFERROR(INDEX(TUYEN_DG,MATCH(I25,TUYEN_MA,0)),0))</f>
        <v/>
      </c>
      <c r="R25" s="20" t="str">
        <f aca="false">IF(P25="","",P25*HT_VUOTNGAY)</f>
        <v/>
      </c>
      <c r="S25" s="20" t="str">
        <f aca="false">IF(I25="","",(N(K25)+N(L25))*HT_DAU_KM)</f>
        <v/>
      </c>
      <c r="T25" s="22"/>
      <c r="U25" s="20" t="str">
        <f aca="false">IF(I25="","",N(T25)*IFERROR(INDEX(TUYEN_HTVC,MATCH(I25,TUYEN_MA,0)),0))</f>
        <v/>
      </c>
      <c r="V25" s="37" t="str">
        <f aca="false">IF(I25="","",Q25+R25+S25+U25)</f>
        <v/>
      </c>
      <c r="W25" s="22"/>
      <c r="X25" s="22"/>
      <c r="Y25" s="22"/>
    </row>
    <row r="26" customFormat="false" ht="15" hidden="false" customHeight="false" outlineLevel="0" collapsed="false">
      <c r="A26" s="24" t="str">
        <f aca="false">IF(B26="","",ROW()-4)</f>
        <v/>
      </c>
      <c r="B26" s="22"/>
      <c r="C26" s="24" t="str">
        <f aca="false">IF(B26="","",IFERROR(INDEX(NV_TEN,MATCH(B26,NV_MA,0)),"MÃ KHÔNG CÓ"))</f>
        <v/>
      </c>
      <c r="D26" s="46"/>
      <c r="E26" s="46"/>
      <c r="F26" s="24" t="str">
        <f aca="false">IF(OR(D26="",E26=""),"",E26-D26+1)</f>
        <v/>
      </c>
      <c r="G26" s="22"/>
      <c r="H26" s="22"/>
      <c r="I26" s="22"/>
      <c r="J26" s="24" t="str">
        <f aca="false">IF(I26="","",IFERROR(INDEX(TUYEN_MOTA,MATCH(I26,TUYEN_MA,0)),"TUYẾN KHÔNG CÓ"))</f>
        <v/>
      </c>
      <c r="K26" s="22"/>
      <c r="L26" s="22"/>
      <c r="M26" s="22"/>
      <c r="N26" s="22"/>
      <c r="O26" s="24" t="str">
        <f aca="false">IF(I26="","",IFERROR(INDEX(TUYEN_NGAY,MATCH(I26,TUYEN_MA,0)),0))</f>
        <v/>
      </c>
      <c r="P26" s="24" t="str">
        <f aca="false">IF(OR(F26="",O26=""),"",MAX(0,F26-O26))</f>
        <v/>
      </c>
      <c r="Q26" s="20" t="str">
        <f aca="false">IF(I26="","",IFERROR(INDEX(TUYEN_DG,MATCH(I26,TUYEN_MA,0)),0))</f>
        <v/>
      </c>
      <c r="R26" s="20" t="str">
        <f aca="false">IF(P26="","",P26*HT_VUOTNGAY)</f>
        <v/>
      </c>
      <c r="S26" s="20" t="str">
        <f aca="false">IF(I26="","",(N(K26)+N(L26))*HT_DAU_KM)</f>
        <v/>
      </c>
      <c r="T26" s="22"/>
      <c r="U26" s="20" t="str">
        <f aca="false">IF(I26="","",N(T26)*IFERROR(INDEX(TUYEN_HTVC,MATCH(I26,TUYEN_MA,0)),0))</f>
        <v/>
      </c>
      <c r="V26" s="37" t="str">
        <f aca="false">IF(I26="","",Q26+R26+S26+U26)</f>
        <v/>
      </c>
      <c r="W26" s="22"/>
      <c r="X26" s="22"/>
      <c r="Y26" s="22"/>
    </row>
    <row r="27" customFormat="false" ht="15" hidden="false" customHeight="false" outlineLevel="0" collapsed="false">
      <c r="A27" s="24" t="str">
        <f aca="false">IF(B27="","",ROW()-4)</f>
        <v/>
      </c>
      <c r="B27" s="22"/>
      <c r="C27" s="24" t="str">
        <f aca="false">IF(B27="","",IFERROR(INDEX(NV_TEN,MATCH(B27,NV_MA,0)),"MÃ KHÔNG CÓ"))</f>
        <v/>
      </c>
      <c r="D27" s="46"/>
      <c r="E27" s="46"/>
      <c r="F27" s="24" t="str">
        <f aca="false">IF(OR(D27="",E27=""),"",E27-D27+1)</f>
        <v/>
      </c>
      <c r="G27" s="22"/>
      <c r="H27" s="22"/>
      <c r="I27" s="22"/>
      <c r="J27" s="24" t="str">
        <f aca="false">IF(I27="","",IFERROR(INDEX(TUYEN_MOTA,MATCH(I27,TUYEN_MA,0)),"TUYẾN KHÔNG CÓ"))</f>
        <v/>
      </c>
      <c r="K27" s="22"/>
      <c r="L27" s="22"/>
      <c r="M27" s="22"/>
      <c r="N27" s="22"/>
      <c r="O27" s="24" t="str">
        <f aca="false">IF(I27="","",IFERROR(INDEX(TUYEN_NGAY,MATCH(I27,TUYEN_MA,0)),0))</f>
        <v/>
      </c>
      <c r="P27" s="24" t="str">
        <f aca="false">IF(OR(F27="",O27=""),"",MAX(0,F27-O27))</f>
        <v/>
      </c>
      <c r="Q27" s="20" t="str">
        <f aca="false">IF(I27="","",IFERROR(INDEX(TUYEN_DG,MATCH(I27,TUYEN_MA,0)),0))</f>
        <v/>
      </c>
      <c r="R27" s="20" t="str">
        <f aca="false">IF(P27="","",P27*HT_VUOTNGAY)</f>
        <v/>
      </c>
      <c r="S27" s="20" t="str">
        <f aca="false">IF(I27="","",(N(K27)+N(L27))*HT_DAU_KM)</f>
        <v/>
      </c>
      <c r="T27" s="22"/>
      <c r="U27" s="20" t="str">
        <f aca="false">IF(I27="","",N(T27)*IFERROR(INDEX(TUYEN_HTVC,MATCH(I27,TUYEN_MA,0)),0))</f>
        <v/>
      </c>
      <c r="V27" s="37" t="str">
        <f aca="false">IF(I27="","",Q27+R27+S27+U27)</f>
        <v/>
      </c>
      <c r="W27" s="22"/>
      <c r="X27" s="22"/>
      <c r="Y27" s="22"/>
    </row>
    <row r="28" customFormat="false" ht="15" hidden="false" customHeight="false" outlineLevel="0" collapsed="false">
      <c r="A28" s="24" t="str">
        <f aca="false">IF(B28="","",ROW()-4)</f>
        <v/>
      </c>
      <c r="B28" s="22"/>
      <c r="C28" s="24" t="str">
        <f aca="false">IF(B28="","",IFERROR(INDEX(NV_TEN,MATCH(B28,NV_MA,0)),"MÃ KHÔNG CÓ"))</f>
        <v/>
      </c>
      <c r="D28" s="46"/>
      <c r="E28" s="46"/>
      <c r="F28" s="24" t="str">
        <f aca="false">IF(OR(D28="",E28=""),"",E28-D28+1)</f>
        <v/>
      </c>
      <c r="G28" s="22"/>
      <c r="H28" s="22"/>
      <c r="I28" s="22"/>
      <c r="J28" s="24" t="str">
        <f aca="false">IF(I28="","",IFERROR(INDEX(TUYEN_MOTA,MATCH(I28,TUYEN_MA,0)),"TUYẾN KHÔNG CÓ"))</f>
        <v/>
      </c>
      <c r="K28" s="22"/>
      <c r="L28" s="22"/>
      <c r="M28" s="22"/>
      <c r="N28" s="22"/>
      <c r="O28" s="24" t="str">
        <f aca="false">IF(I28="","",IFERROR(INDEX(TUYEN_NGAY,MATCH(I28,TUYEN_MA,0)),0))</f>
        <v/>
      </c>
      <c r="P28" s="24" t="str">
        <f aca="false">IF(OR(F28="",O28=""),"",MAX(0,F28-O28))</f>
        <v/>
      </c>
      <c r="Q28" s="20" t="str">
        <f aca="false">IF(I28="","",IFERROR(INDEX(TUYEN_DG,MATCH(I28,TUYEN_MA,0)),0))</f>
        <v/>
      </c>
      <c r="R28" s="20" t="str">
        <f aca="false">IF(P28="","",P28*HT_VUOTNGAY)</f>
        <v/>
      </c>
      <c r="S28" s="20" t="str">
        <f aca="false">IF(I28="","",(N(K28)+N(L28))*HT_DAU_KM)</f>
        <v/>
      </c>
      <c r="T28" s="22"/>
      <c r="U28" s="20" t="str">
        <f aca="false">IF(I28="","",N(T28)*IFERROR(INDEX(TUYEN_HTVC,MATCH(I28,TUYEN_MA,0)),0))</f>
        <v/>
      </c>
      <c r="V28" s="37" t="str">
        <f aca="false">IF(I28="","",Q28+R28+S28+U28)</f>
        <v/>
      </c>
      <c r="W28" s="22"/>
      <c r="X28" s="22"/>
      <c r="Y28" s="22"/>
    </row>
    <row r="29" customFormat="false" ht="15" hidden="false" customHeight="false" outlineLevel="0" collapsed="false">
      <c r="A29" s="24" t="str">
        <f aca="false">IF(B29="","",ROW()-4)</f>
        <v/>
      </c>
      <c r="B29" s="22"/>
      <c r="C29" s="24" t="str">
        <f aca="false">IF(B29="","",IFERROR(INDEX(NV_TEN,MATCH(B29,NV_MA,0)),"MÃ KHÔNG CÓ"))</f>
        <v/>
      </c>
      <c r="D29" s="46"/>
      <c r="E29" s="46"/>
      <c r="F29" s="24" t="str">
        <f aca="false">IF(OR(D29="",E29=""),"",E29-D29+1)</f>
        <v/>
      </c>
      <c r="G29" s="22"/>
      <c r="H29" s="22"/>
      <c r="I29" s="22"/>
      <c r="J29" s="24" t="str">
        <f aca="false">IF(I29="","",IFERROR(INDEX(TUYEN_MOTA,MATCH(I29,TUYEN_MA,0)),"TUYẾN KHÔNG CÓ"))</f>
        <v/>
      </c>
      <c r="K29" s="22"/>
      <c r="L29" s="22"/>
      <c r="M29" s="22"/>
      <c r="N29" s="22"/>
      <c r="O29" s="24" t="str">
        <f aca="false">IF(I29="","",IFERROR(INDEX(TUYEN_NGAY,MATCH(I29,TUYEN_MA,0)),0))</f>
        <v/>
      </c>
      <c r="P29" s="24" t="str">
        <f aca="false">IF(OR(F29="",O29=""),"",MAX(0,F29-O29))</f>
        <v/>
      </c>
      <c r="Q29" s="20" t="str">
        <f aca="false">IF(I29="","",IFERROR(INDEX(TUYEN_DG,MATCH(I29,TUYEN_MA,0)),0))</f>
        <v/>
      </c>
      <c r="R29" s="20" t="str">
        <f aca="false">IF(P29="","",P29*HT_VUOTNGAY)</f>
        <v/>
      </c>
      <c r="S29" s="20" t="str">
        <f aca="false">IF(I29="","",(N(K29)+N(L29))*HT_DAU_KM)</f>
        <v/>
      </c>
      <c r="T29" s="22"/>
      <c r="U29" s="20" t="str">
        <f aca="false">IF(I29="","",N(T29)*IFERROR(INDEX(TUYEN_HTVC,MATCH(I29,TUYEN_MA,0)),0))</f>
        <v/>
      </c>
      <c r="V29" s="37" t="str">
        <f aca="false">IF(I29="","",Q29+R29+S29+U29)</f>
        <v/>
      </c>
      <c r="W29" s="22"/>
      <c r="X29" s="22"/>
      <c r="Y29" s="22"/>
    </row>
    <row r="30" customFormat="false" ht="15" hidden="false" customHeight="false" outlineLevel="0" collapsed="false">
      <c r="A30" s="24" t="str">
        <f aca="false">IF(B30="","",ROW()-4)</f>
        <v/>
      </c>
      <c r="B30" s="22"/>
      <c r="C30" s="24" t="str">
        <f aca="false">IF(B30="","",IFERROR(INDEX(NV_TEN,MATCH(B30,NV_MA,0)),"MÃ KHÔNG CÓ"))</f>
        <v/>
      </c>
      <c r="D30" s="46"/>
      <c r="E30" s="46"/>
      <c r="F30" s="24" t="str">
        <f aca="false">IF(OR(D30="",E30=""),"",E30-D30+1)</f>
        <v/>
      </c>
      <c r="G30" s="22"/>
      <c r="H30" s="22"/>
      <c r="I30" s="22"/>
      <c r="J30" s="24" t="str">
        <f aca="false">IF(I30="","",IFERROR(INDEX(TUYEN_MOTA,MATCH(I30,TUYEN_MA,0)),"TUYẾN KHÔNG CÓ"))</f>
        <v/>
      </c>
      <c r="K30" s="22"/>
      <c r="L30" s="22"/>
      <c r="M30" s="22"/>
      <c r="N30" s="22"/>
      <c r="O30" s="24" t="str">
        <f aca="false">IF(I30="","",IFERROR(INDEX(TUYEN_NGAY,MATCH(I30,TUYEN_MA,0)),0))</f>
        <v/>
      </c>
      <c r="P30" s="24" t="str">
        <f aca="false">IF(OR(F30="",O30=""),"",MAX(0,F30-O30))</f>
        <v/>
      </c>
      <c r="Q30" s="20" t="str">
        <f aca="false">IF(I30="","",IFERROR(INDEX(TUYEN_DG,MATCH(I30,TUYEN_MA,0)),0))</f>
        <v/>
      </c>
      <c r="R30" s="20" t="str">
        <f aca="false">IF(P30="","",P30*HT_VUOTNGAY)</f>
        <v/>
      </c>
      <c r="S30" s="20" t="str">
        <f aca="false">IF(I30="","",(N(K30)+N(L30))*HT_DAU_KM)</f>
        <v/>
      </c>
      <c r="T30" s="22"/>
      <c r="U30" s="20" t="str">
        <f aca="false">IF(I30="","",N(T30)*IFERROR(INDEX(TUYEN_HTVC,MATCH(I30,TUYEN_MA,0)),0))</f>
        <v/>
      </c>
      <c r="V30" s="37" t="str">
        <f aca="false">IF(I30="","",Q30+R30+S30+U30)</f>
        <v/>
      </c>
      <c r="W30" s="22"/>
      <c r="X30" s="22"/>
      <c r="Y30" s="22"/>
    </row>
    <row r="31" customFormat="false" ht="15" hidden="false" customHeight="false" outlineLevel="0" collapsed="false">
      <c r="A31" s="24" t="str">
        <f aca="false">IF(B31="","",ROW()-4)</f>
        <v/>
      </c>
      <c r="B31" s="22"/>
      <c r="C31" s="24" t="str">
        <f aca="false">IF(B31="","",IFERROR(INDEX(NV_TEN,MATCH(B31,NV_MA,0)),"MÃ KHÔNG CÓ"))</f>
        <v/>
      </c>
      <c r="D31" s="46"/>
      <c r="E31" s="46"/>
      <c r="F31" s="24" t="str">
        <f aca="false">IF(OR(D31="",E31=""),"",E31-D31+1)</f>
        <v/>
      </c>
      <c r="G31" s="22"/>
      <c r="H31" s="22"/>
      <c r="I31" s="22"/>
      <c r="J31" s="24" t="str">
        <f aca="false">IF(I31="","",IFERROR(INDEX(TUYEN_MOTA,MATCH(I31,TUYEN_MA,0)),"TUYẾN KHÔNG CÓ"))</f>
        <v/>
      </c>
      <c r="K31" s="22"/>
      <c r="L31" s="22"/>
      <c r="M31" s="22"/>
      <c r="N31" s="22"/>
      <c r="O31" s="24" t="str">
        <f aca="false">IF(I31="","",IFERROR(INDEX(TUYEN_NGAY,MATCH(I31,TUYEN_MA,0)),0))</f>
        <v/>
      </c>
      <c r="P31" s="24" t="str">
        <f aca="false">IF(OR(F31="",O31=""),"",MAX(0,F31-O31))</f>
        <v/>
      </c>
      <c r="Q31" s="20" t="str">
        <f aca="false">IF(I31="","",IFERROR(INDEX(TUYEN_DG,MATCH(I31,TUYEN_MA,0)),0))</f>
        <v/>
      </c>
      <c r="R31" s="20" t="str">
        <f aca="false">IF(P31="","",P31*HT_VUOTNGAY)</f>
        <v/>
      </c>
      <c r="S31" s="20" t="str">
        <f aca="false">IF(I31="","",(N(K31)+N(L31))*HT_DAU_KM)</f>
        <v/>
      </c>
      <c r="T31" s="22"/>
      <c r="U31" s="20" t="str">
        <f aca="false">IF(I31="","",N(T31)*IFERROR(INDEX(TUYEN_HTVC,MATCH(I31,TUYEN_MA,0)),0))</f>
        <v/>
      </c>
      <c r="V31" s="37" t="str">
        <f aca="false">IF(I31="","",Q31+R31+S31+U31)</f>
        <v/>
      </c>
      <c r="W31" s="22"/>
      <c r="X31" s="22"/>
      <c r="Y31" s="22"/>
    </row>
    <row r="32" customFormat="false" ht="15" hidden="false" customHeight="false" outlineLevel="0" collapsed="false">
      <c r="A32" s="24" t="str">
        <f aca="false">IF(B32="","",ROW()-4)</f>
        <v/>
      </c>
      <c r="B32" s="22"/>
      <c r="C32" s="24" t="str">
        <f aca="false">IF(B32="","",IFERROR(INDEX(NV_TEN,MATCH(B32,NV_MA,0)),"MÃ KHÔNG CÓ"))</f>
        <v/>
      </c>
      <c r="D32" s="46"/>
      <c r="E32" s="46"/>
      <c r="F32" s="24" t="str">
        <f aca="false">IF(OR(D32="",E32=""),"",E32-D32+1)</f>
        <v/>
      </c>
      <c r="G32" s="22"/>
      <c r="H32" s="22"/>
      <c r="I32" s="22"/>
      <c r="J32" s="24" t="str">
        <f aca="false">IF(I32="","",IFERROR(INDEX(TUYEN_MOTA,MATCH(I32,TUYEN_MA,0)),"TUYẾN KHÔNG CÓ"))</f>
        <v/>
      </c>
      <c r="K32" s="22"/>
      <c r="L32" s="22"/>
      <c r="M32" s="22"/>
      <c r="N32" s="22"/>
      <c r="O32" s="24" t="str">
        <f aca="false">IF(I32="","",IFERROR(INDEX(TUYEN_NGAY,MATCH(I32,TUYEN_MA,0)),0))</f>
        <v/>
      </c>
      <c r="P32" s="24" t="str">
        <f aca="false">IF(OR(F32="",O32=""),"",MAX(0,F32-O32))</f>
        <v/>
      </c>
      <c r="Q32" s="20" t="str">
        <f aca="false">IF(I32="","",IFERROR(INDEX(TUYEN_DG,MATCH(I32,TUYEN_MA,0)),0))</f>
        <v/>
      </c>
      <c r="R32" s="20" t="str">
        <f aca="false">IF(P32="","",P32*HT_VUOTNGAY)</f>
        <v/>
      </c>
      <c r="S32" s="20" t="str">
        <f aca="false">IF(I32="","",(N(K32)+N(L32))*HT_DAU_KM)</f>
        <v/>
      </c>
      <c r="T32" s="22"/>
      <c r="U32" s="20" t="str">
        <f aca="false">IF(I32="","",N(T32)*IFERROR(INDEX(TUYEN_HTVC,MATCH(I32,TUYEN_MA,0)),0))</f>
        <v/>
      </c>
      <c r="V32" s="37" t="str">
        <f aca="false">IF(I32="","",Q32+R32+S32+U32)</f>
        <v/>
      </c>
      <c r="W32" s="22"/>
      <c r="X32" s="22"/>
      <c r="Y32" s="22"/>
    </row>
    <row r="33" customFormat="false" ht="15" hidden="false" customHeight="false" outlineLevel="0" collapsed="false">
      <c r="A33" s="24" t="str">
        <f aca="false">IF(B33="","",ROW()-4)</f>
        <v/>
      </c>
      <c r="B33" s="22"/>
      <c r="C33" s="24" t="str">
        <f aca="false">IF(B33="","",IFERROR(INDEX(NV_TEN,MATCH(B33,NV_MA,0)),"MÃ KHÔNG CÓ"))</f>
        <v/>
      </c>
      <c r="D33" s="46"/>
      <c r="E33" s="46"/>
      <c r="F33" s="24" t="str">
        <f aca="false">IF(OR(D33="",E33=""),"",E33-D33+1)</f>
        <v/>
      </c>
      <c r="G33" s="22"/>
      <c r="H33" s="22"/>
      <c r="I33" s="22"/>
      <c r="J33" s="24" t="str">
        <f aca="false">IF(I33="","",IFERROR(INDEX(TUYEN_MOTA,MATCH(I33,TUYEN_MA,0)),"TUYẾN KHÔNG CÓ"))</f>
        <v/>
      </c>
      <c r="K33" s="22"/>
      <c r="L33" s="22"/>
      <c r="M33" s="22"/>
      <c r="N33" s="22"/>
      <c r="O33" s="24" t="str">
        <f aca="false">IF(I33="","",IFERROR(INDEX(TUYEN_NGAY,MATCH(I33,TUYEN_MA,0)),0))</f>
        <v/>
      </c>
      <c r="P33" s="24" t="str">
        <f aca="false">IF(OR(F33="",O33=""),"",MAX(0,F33-O33))</f>
        <v/>
      </c>
      <c r="Q33" s="20" t="str">
        <f aca="false">IF(I33="","",IFERROR(INDEX(TUYEN_DG,MATCH(I33,TUYEN_MA,0)),0))</f>
        <v/>
      </c>
      <c r="R33" s="20" t="str">
        <f aca="false">IF(P33="","",P33*HT_VUOTNGAY)</f>
        <v/>
      </c>
      <c r="S33" s="20" t="str">
        <f aca="false">IF(I33="","",(N(K33)+N(L33))*HT_DAU_KM)</f>
        <v/>
      </c>
      <c r="T33" s="22"/>
      <c r="U33" s="20" t="str">
        <f aca="false">IF(I33="","",N(T33)*IFERROR(INDEX(TUYEN_HTVC,MATCH(I33,TUYEN_MA,0)),0))</f>
        <v/>
      </c>
      <c r="V33" s="37" t="str">
        <f aca="false">IF(I33="","",Q33+R33+S33+U33)</f>
        <v/>
      </c>
      <c r="W33" s="22"/>
      <c r="X33" s="22"/>
      <c r="Y33" s="22"/>
    </row>
    <row r="34" customFormat="false" ht="15" hidden="false" customHeight="false" outlineLevel="0" collapsed="false">
      <c r="A34" s="24" t="str">
        <f aca="false">IF(B34="","",ROW()-4)</f>
        <v/>
      </c>
      <c r="B34" s="22"/>
      <c r="C34" s="24" t="str">
        <f aca="false">IF(B34="","",IFERROR(INDEX(NV_TEN,MATCH(B34,NV_MA,0)),"MÃ KHÔNG CÓ"))</f>
        <v/>
      </c>
      <c r="D34" s="46"/>
      <c r="E34" s="46"/>
      <c r="F34" s="24" t="str">
        <f aca="false">IF(OR(D34="",E34=""),"",E34-D34+1)</f>
        <v/>
      </c>
      <c r="G34" s="22"/>
      <c r="H34" s="22"/>
      <c r="I34" s="22"/>
      <c r="J34" s="24" t="str">
        <f aca="false">IF(I34="","",IFERROR(INDEX(TUYEN_MOTA,MATCH(I34,TUYEN_MA,0)),"TUYẾN KHÔNG CÓ"))</f>
        <v/>
      </c>
      <c r="K34" s="22"/>
      <c r="L34" s="22"/>
      <c r="M34" s="22"/>
      <c r="N34" s="22"/>
      <c r="O34" s="24" t="str">
        <f aca="false">IF(I34="","",IFERROR(INDEX(TUYEN_NGAY,MATCH(I34,TUYEN_MA,0)),0))</f>
        <v/>
      </c>
      <c r="P34" s="24" t="str">
        <f aca="false">IF(OR(F34="",O34=""),"",MAX(0,F34-O34))</f>
        <v/>
      </c>
      <c r="Q34" s="20" t="str">
        <f aca="false">IF(I34="","",IFERROR(INDEX(TUYEN_DG,MATCH(I34,TUYEN_MA,0)),0))</f>
        <v/>
      </c>
      <c r="R34" s="20" t="str">
        <f aca="false">IF(P34="","",P34*HT_VUOTNGAY)</f>
        <v/>
      </c>
      <c r="S34" s="20" t="str">
        <f aca="false">IF(I34="","",(N(K34)+N(L34))*HT_DAU_KM)</f>
        <v/>
      </c>
      <c r="T34" s="22"/>
      <c r="U34" s="20" t="str">
        <f aca="false">IF(I34="","",N(T34)*IFERROR(INDEX(TUYEN_HTVC,MATCH(I34,TUYEN_MA,0)),0))</f>
        <v/>
      </c>
      <c r="V34" s="37" t="str">
        <f aca="false">IF(I34="","",Q34+R34+S34+U34)</f>
        <v/>
      </c>
      <c r="W34" s="22"/>
      <c r="X34" s="22"/>
      <c r="Y34" s="22"/>
    </row>
    <row r="35" customFormat="false" ht="15" hidden="false" customHeight="false" outlineLevel="0" collapsed="false">
      <c r="A35" s="24" t="str">
        <f aca="false">IF(B35="","",ROW()-4)</f>
        <v/>
      </c>
      <c r="B35" s="22"/>
      <c r="C35" s="24" t="str">
        <f aca="false">IF(B35="","",IFERROR(INDEX(NV_TEN,MATCH(B35,NV_MA,0)),"MÃ KHÔNG CÓ"))</f>
        <v/>
      </c>
      <c r="D35" s="46"/>
      <c r="E35" s="46"/>
      <c r="F35" s="24" t="str">
        <f aca="false">IF(OR(D35="",E35=""),"",E35-D35+1)</f>
        <v/>
      </c>
      <c r="G35" s="22"/>
      <c r="H35" s="22"/>
      <c r="I35" s="22"/>
      <c r="J35" s="24" t="str">
        <f aca="false">IF(I35="","",IFERROR(INDEX(TUYEN_MOTA,MATCH(I35,TUYEN_MA,0)),"TUYẾN KHÔNG CÓ"))</f>
        <v/>
      </c>
      <c r="K35" s="22"/>
      <c r="L35" s="22"/>
      <c r="M35" s="22"/>
      <c r="N35" s="22"/>
      <c r="O35" s="24" t="str">
        <f aca="false">IF(I35="","",IFERROR(INDEX(TUYEN_NGAY,MATCH(I35,TUYEN_MA,0)),0))</f>
        <v/>
      </c>
      <c r="P35" s="24" t="str">
        <f aca="false">IF(OR(F35="",O35=""),"",MAX(0,F35-O35))</f>
        <v/>
      </c>
      <c r="Q35" s="20" t="str">
        <f aca="false">IF(I35="","",IFERROR(INDEX(TUYEN_DG,MATCH(I35,TUYEN_MA,0)),0))</f>
        <v/>
      </c>
      <c r="R35" s="20" t="str">
        <f aca="false">IF(P35="","",P35*HT_VUOTNGAY)</f>
        <v/>
      </c>
      <c r="S35" s="20" t="str">
        <f aca="false">IF(I35="","",(N(K35)+N(L35))*HT_DAU_KM)</f>
        <v/>
      </c>
      <c r="T35" s="22"/>
      <c r="U35" s="20" t="str">
        <f aca="false">IF(I35="","",N(T35)*IFERROR(INDEX(TUYEN_HTVC,MATCH(I35,TUYEN_MA,0)),0))</f>
        <v/>
      </c>
      <c r="V35" s="37" t="str">
        <f aca="false">IF(I35="","",Q35+R35+S35+U35)</f>
        <v/>
      </c>
      <c r="W35" s="22"/>
      <c r="X35" s="22"/>
      <c r="Y35" s="22"/>
    </row>
    <row r="36" customFormat="false" ht="15" hidden="false" customHeight="false" outlineLevel="0" collapsed="false">
      <c r="A36" s="24" t="str">
        <f aca="false">IF(B36="","",ROW()-4)</f>
        <v/>
      </c>
      <c r="B36" s="22"/>
      <c r="C36" s="24" t="str">
        <f aca="false">IF(B36="","",IFERROR(INDEX(NV_TEN,MATCH(B36,NV_MA,0)),"MÃ KHÔNG CÓ"))</f>
        <v/>
      </c>
      <c r="D36" s="46"/>
      <c r="E36" s="46"/>
      <c r="F36" s="24" t="str">
        <f aca="false">IF(OR(D36="",E36=""),"",E36-D36+1)</f>
        <v/>
      </c>
      <c r="G36" s="22"/>
      <c r="H36" s="22"/>
      <c r="I36" s="22"/>
      <c r="J36" s="24" t="str">
        <f aca="false">IF(I36="","",IFERROR(INDEX(TUYEN_MOTA,MATCH(I36,TUYEN_MA,0)),"TUYẾN KHÔNG CÓ"))</f>
        <v/>
      </c>
      <c r="K36" s="22"/>
      <c r="L36" s="22"/>
      <c r="M36" s="22"/>
      <c r="N36" s="22"/>
      <c r="O36" s="24" t="str">
        <f aca="false">IF(I36="","",IFERROR(INDEX(TUYEN_NGAY,MATCH(I36,TUYEN_MA,0)),0))</f>
        <v/>
      </c>
      <c r="P36" s="24" t="str">
        <f aca="false">IF(OR(F36="",O36=""),"",MAX(0,F36-O36))</f>
        <v/>
      </c>
      <c r="Q36" s="20" t="str">
        <f aca="false">IF(I36="","",IFERROR(INDEX(TUYEN_DG,MATCH(I36,TUYEN_MA,0)),0))</f>
        <v/>
      </c>
      <c r="R36" s="20" t="str">
        <f aca="false">IF(P36="","",P36*HT_VUOTNGAY)</f>
        <v/>
      </c>
      <c r="S36" s="20" t="str">
        <f aca="false">IF(I36="","",(N(K36)+N(L36))*HT_DAU_KM)</f>
        <v/>
      </c>
      <c r="T36" s="22"/>
      <c r="U36" s="20" t="str">
        <f aca="false">IF(I36="","",N(T36)*IFERROR(INDEX(TUYEN_HTVC,MATCH(I36,TUYEN_MA,0)),0))</f>
        <v/>
      </c>
      <c r="V36" s="37" t="str">
        <f aca="false">IF(I36="","",Q36+R36+S36+U36)</f>
        <v/>
      </c>
      <c r="W36" s="22"/>
      <c r="X36" s="22"/>
      <c r="Y36" s="22"/>
    </row>
    <row r="37" customFormat="false" ht="15" hidden="false" customHeight="false" outlineLevel="0" collapsed="false">
      <c r="A37" s="24" t="str">
        <f aca="false">IF(B37="","",ROW()-4)</f>
        <v/>
      </c>
      <c r="B37" s="22"/>
      <c r="C37" s="24" t="str">
        <f aca="false">IF(B37="","",IFERROR(INDEX(NV_TEN,MATCH(B37,NV_MA,0)),"MÃ KHÔNG CÓ"))</f>
        <v/>
      </c>
      <c r="D37" s="46"/>
      <c r="E37" s="46"/>
      <c r="F37" s="24" t="str">
        <f aca="false">IF(OR(D37="",E37=""),"",E37-D37+1)</f>
        <v/>
      </c>
      <c r="G37" s="22"/>
      <c r="H37" s="22"/>
      <c r="I37" s="22"/>
      <c r="J37" s="24" t="str">
        <f aca="false">IF(I37="","",IFERROR(INDEX(TUYEN_MOTA,MATCH(I37,TUYEN_MA,0)),"TUYẾN KHÔNG CÓ"))</f>
        <v/>
      </c>
      <c r="K37" s="22"/>
      <c r="L37" s="22"/>
      <c r="M37" s="22"/>
      <c r="N37" s="22"/>
      <c r="O37" s="24" t="str">
        <f aca="false">IF(I37="","",IFERROR(INDEX(TUYEN_NGAY,MATCH(I37,TUYEN_MA,0)),0))</f>
        <v/>
      </c>
      <c r="P37" s="24" t="str">
        <f aca="false">IF(OR(F37="",O37=""),"",MAX(0,F37-O37))</f>
        <v/>
      </c>
      <c r="Q37" s="20" t="str">
        <f aca="false">IF(I37="","",IFERROR(INDEX(TUYEN_DG,MATCH(I37,TUYEN_MA,0)),0))</f>
        <v/>
      </c>
      <c r="R37" s="20" t="str">
        <f aca="false">IF(P37="","",P37*HT_VUOTNGAY)</f>
        <v/>
      </c>
      <c r="S37" s="20" t="str">
        <f aca="false">IF(I37="","",(N(K37)+N(L37))*HT_DAU_KM)</f>
        <v/>
      </c>
      <c r="T37" s="22"/>
      <c r="U37" s="20" t="str">
        <f aca="false">IF(I37="","",N(T37)*IFERROR(INDEX(TUYEN_HTVC,MATCH(I37,TUYEN_MA,0)),0))</f>
        <v/>
      </c>
      <c r="V37" s="37" t="str">
        <f aca="false">IF(I37="","",Q37+R37+S37+U37)</f>
        <v/>
      </c>
      <c r="W37" s="22"/>
      <c r="X37" s="22"/>
      <c r="Y37" s="22"/>
    </row>
    <row r="38" customFormat="false" ht="15" hidden="false" customHeight="false" outlineLevel="0" collapsed="false">
      <c r="A38" s="24" t="str">
        <f aca="false">IF(B38="","",ROW()-4)</f>
        <v/>
      </c>
      <c r="B38" s="22"/>
      <c r="C38" s="24" t="str">
        <f aca="false">IF(B38="","",IFERROR(INDEX(NV_TEN,MATCH(B38,NV_MA,0)),"MÃ KHÔNG CÓ"))</f>
        <v/>
      </c>
      <c r="D38" s="46"/>
      <c r="E38" s="46"/>
      <c r="F38" s="24" t="str">
        <f aca="false">IF(OR(D38="",E38=""),"",E38-D38+1)</f>
        <v/>
      </c>
      <c r="G38" s="22"/>
      <c r="H38" s="22"/>
      <c r="I38" s="22"/>
      <c r="J38" s="24" t="str">
        <f aca="false">IF(I38="","",IFERROR(INDEX(TUYEN_MOTA,MATCH(I38,TUYEN_MA,0)),"TUYẾN KHÔNG CÓ"))</f>
        <v/>
      </c>
      <c r="K38" s="22"/>
      <c r="L38" s="22"/>
      <c r="M38" s="22"/>
      <c r="N38" s="22"/>
      <c r="O38" s="24" t="str">
        <f aca="false">IF(I38="","",IFERROR(INDEX(TUYEN_NGAY,MATCH(I38,TUYEN_MA,0)),0))</f>
        <v/>
      </c>
      <c r="P38" s="24" t="str">
        <f aca="false">IF(OR(F38="",O38=""),"",MAX(0,F38-O38))</f>
        <v/>
      </c>
      <c r="Q38" s="20" t="str">
        <f aca="false">IF(I38="","",IFERROR(INDEX(TUYEN_DG,MATCH(I38,TUYEN_MA,0)),0))</f>
        <v/>
      </c>
      <c r="R38" s="20" t="str">
        <f aca="false">IF(P38="","",P38*HT_VUOTNGAY)</f>
        <v/>
      </c>
      <c r="S38" s="20" t="str">
        <f aca="false">IF(I38="","",(N(K38)+N(L38))*HT_DAU_KM)</f>
        <v/>
      </c>
      <c r="T38" s="22"/>
      <c r="U38" s="20" t="str">
        <f aca="false">IF(I38="","",N(T38)*IFERROR(INDEX(TUYEN_HTVC,MATCH(I38,TUYEN_MA,0)),0))</f>
        <v/>
      </c>
      <c r="V38" s="37" t="str">
        <f aca="false">IF(I38="","",Q38+R38+S38+U38)</f>
        <v/>
      </c>
      <c r="W38" s="22"/>
      <c r="X38" s="22"/>
      <c r="Y38" s="22"/>
    </row>
    <row r="39" customFormat="false" ht="15" hidden="false" customHeight="false" outlineLevel="0" collapsed="false">
      <c r="A39" s="24" t="str">
        <f aca="false">IF(B39="","",ROW()-4)</f>
        <v/>
      </c>
      <c r="B39" s="22"/>
      <c r="C39" s="24" t="str">
        <f aca="false">IF(B39="","",IFERROR(INDEX(NV_TEN,MATCH(B39,NV_MA,0)),"MÃ KHÔNG CÓ"))</f>
        <v/>
      </c>
      <c r="D39" s="46"/>
      <c r="E39" s="46"/>
      <c r="F39" s="24" t="str">
        <f aca="false">IF(OR(D39="",E39=""),"",E39-D39+1)</f>
        <v/>
      </c>
      <c r="G39" s="22"/>
      <c r="H39" s="22"/>
      <c r="I39" s="22"/>
      <c r="J39" s="24" t="str">
        <f aca="false">IF(I39="","",IFERROR(INDEX(TUYEN_MOTA,MATCH(I39,TUYEN_MA,0)),"TUYẾN KHÔNG CÓ"))</f>
        <v/>
      </c>
      <c r="K39" s="22"/>
      <c r="L39" s="22"/>
      <c r="M39" s="22"/>
      <c r="N39" s="22"/>
      <c r="O39" s="24" t="str">
        <f aca="false">IF(I39="","",IFERROR(INDEX(TUYEN_NGAY,MATCH(I39,TUYEN_MA,0)),0))</f>
        <v/>
      </c>
      <c r="P39" s="24" t="str">
        <f aca="false">IF(OR(F39="",O39=""),"",MAX(0,F39-O39))</f>
        <v/>
      </c>
      <c r="Q39" s="20" t="str">
        <f aca="false">IF(I39="","",IFERROR(INDEX(TUYEN_DG,MATCH(I39,TUYEN_MA,0)),0))</f>
        <v/>
      </c>
      <c r="R39" s="20" t="str">
        <f aca="false">IF(P39="","",P39*HT_VUOTNGAY)</f>
        <v/>
      </c>
      <c r="S39" s="20" t="str">
        <f aca="false">IF(I39="","",(N(K39)+N(L39))*HT_DAU_KM)</f>
        <v/>
      </c>
      <c r="T39" s="22"/>
      <c r="U39" s="20" t="str">
        <f aca="false">IF(I39="","",N(T39)*IFERROR(INDEX(TUYEN_HTVC,MATCH(I39,TUYEN_MA,0)),0))</f>
        <v/>
      </c>
      <c r="V39" s="37" t="str">
        <f aca="false">IF(I39="","",Q39+R39+S39+U39)</f>
        <v/>
      </c>
      <c r="W39" s="22"/>
      <c r="X39" s="22"/>
      <c r="Y39" s="22"/>
    </row>
    <row r="40" customFormat="false" ht="15" hidden="false" customHeight="false" outlineLevel="0" collapsed="false">
      <c r="A40" s="24" t="str">
        <f aca="false">IF(B40="","",ROW()-4)</f>
        <v/>
      </c>
      <c r="B40" s="22"/>
      <c r="C40" s="24" t="str">
        <f aca="false">IF(B40="","",IFERROR(INDEX(NV_TEN,MATCH(B40,NV_MA,0)),"MÃ KHÔNG CÓ"))</f>
        <v/>
      </c>
      <c r="D40" s="46"/>
      <c r="E40" s="46"/>
      <c r="F40" s="24" t="str">
        <f aca="false">IF(OR(D40="",E40=""),"",E40-D40+1)</f>
        <v/>
      </c>
      <c r="G40" s="22"/>
      <c r="H40" s="22"/>
      <c r="I40" s="22"/>
      <c r="J40" s="24" t="str">
        <f aca="false">IF(I40="","",IFERROR(INDEX(TUYEN_MOTA,MATCH(I40,TUYEN_MA,0)),"TUYẾN KHÔNG CÓ"))</f>
        <v/>
      </c>
      <c r="K40" s="22"/>
      <c r="L40" s="22"/>
      <c r="M40" s="22"/>
      <c r="N40" s="22"/>
      <c r="O40" s="24" t="str">
        <f aca="false">IF(I40="","",IFERROR(INDEX(TUYEN_NGAY,MATCH(I40,TUYEN_MA,0)),0))</f>
        <v/>
      </c>
      <c r="P40" s="24" t="str">
        <f aca="false">IF(OR(F40="",O40=""),"",MAX(0,F40-O40))</f>
        <v/>
      </c>
      <c r="Q40" s="20" t="str">
        <f aca="false">IF(I40="","",IFERROR(INDEX(TUYEN_DG,MATCH(I40,TUYEN_MA,0)),0))</f>
        <v/>
      </c>
      <c r="R40" s="20" t="str">
        <f aca="false">IF(P40="","",P40*HT_VUOTNGAY)</f>
        <v/>
      </c>
      <c r="S40" s="20" t="str">
        <f aca="false">IF(I40="","",(N(K40)+N(L40))*HT_DAU_KM)</f>
        <v/>
      </c>
      <c r="T40" s="22"/>
      <c r="U40" s="20" t="str">
        <f aca="false">IF(I40="","",N(T40)*IFERROR(INDEX(TUYEN_HTVC,MATCH(I40,TUYEN_MA,0)),0))</f>
        <v/>
      </c>
      <c r="V40" s="37" t="str">
        <f aca="false">IF(I40="","",Q40+R40+S40+U40)</f>
        <v/>
      </c>
      <c r="W40" s="22"/>
      <c r="X40" s="22"/>
      <c r="Y40" s="22"/>
    </row>
    <row r="41" customFormat="false" ht="15" hidden="false" customHeight="false" outlineLevel="0" collapsed="false">
      <c r="A41" s="24" t="str">
        <f aca="false">IF(B41="","",ROW()-4)</f>
        <v/>
      </c>
      <c r="B41" s="22"/>
      <c r="C41" s="24" t="str">
        <f aca="false">IF(B41="","",IFERROR(INDEX(NV_TEN,MATCH(B41,NV_MA,0)),"MÃ KHÔNG CÓ"))</f>
        <v/>
      </c>
      <c r="D41" s="46"/>
      <c r="E41" s="46"/>
      <c r="F41" s="24" t="str">
        <f aca="false">IF(OR(D41="",E41=""),"",E41-D41+1)</f>
        <v/>
      </c>
      <c r="G41" s="22"/>
      <c r="H41" s="22"/>
      <c r="I41" s="22"/>
      <c r="J41" s="24" t="str">
        <f aca="false">IF(I41="","",IFERROR(INDEX(TUYEN_MOTA,MATCH(I41,TUYEN_MA,0)),"TUYẾN KHÔNG CÓ"))</f>
        <v/>
      </c>
      <c r="K41" s="22"/>
      <c r="L41" s="22"/>
      <c r="M41" s="22"/>
      <c r="N41" s="22"/>
      <c r="O41" s="24" t="str">
        <f aca="false">IF(I41="","",IFERROR(INDEX(TUYEN_NGAY,MATCH(I41,TUYEN_MA,0)),0))</f>
        <v/>
      </c>
      <c r="P41" s="24" t="str">
        <f aca="false">IF(OR(F41="",O41=""),"",MAX(0,F41-O41))</f>
        <v/>
      </c>
      <c r="Q41" s="20" t="str">
        <f aca="false">IF(I41="","",IFERROR(INDEX(TUYEN_DG,MATCH(I41,TUYEN_MA,0)),0))</f>
        <v/>
      </c>
      <c r="R41" s="20" t="str">
        <f aca="false">IF(P41="","",P41*HT_VUOTNGAY)</f>
        <v/>
      </c>
      <c r="S41" s="20" t="str">
        <f aca="false">IF(I41="","",(N(K41)+N(L41))*HT_DAU_KM)</f>
        <v/>
      </c>
      <c r="T41" s="22"/>
      <c r="U41" s="20" t="str">
        <f aca="false">IF(I41="","",N(T41)*IFERROR(INDEX(TUYEN_HTVC,MATCH(I41,TUYEN_MA,0)),0))</f>
        <v/>
      </c>
      <c r="V41" s="37" t="str">
        <f aca="false">IF(I41="","",Q41+R41+S41+U41)</f>
        <v/>
      </c>
      <c r="W41" s="22"/>
      <c r="X41" s="22"/>
      <c r="Y41" s="22"/>
    </row>
    <row r="42" customFormat="false" ht="15" hidden="false" customHeight="false" outlineLevel="0" collapsed="false">
      <c r="A42" s="24" t="str">
        <f aca="false">IF(B42="","",ROW()-4)</f>
        <v/>
      </c>
      <c r="B42" s="22"/>
      <c r="C42" s="24" t="str">
        <f aca="false">IF(B42="","",IFERROR(INDEX(NV_TEN,MATCH(B42,NV_MA,0)),"MÃ KHÔNG CÓ"))</f>
        <v/>
      </c>
      <c r="D42" s="46"/>
      <c r="E42" s="46"/>
      <c r="F42" s="24" t="str">
        <f aca="false">IF(OR(D42="",E42=""),"",E42-D42+1)</f>
        <v/>
      </c>
      <c r="G42" s="22"/>
      <c r="H42" s="22"/>
      <c r="I42" s="22"/>
      <c r="J42" s="24" t="str">
        <f aca="false">IF(I42="","",IFERROR(INDEX(TUYEN_MOTA,MATCH(I42,TUYEN_MA,0)),"TUYẾN KHÔNG CÓ"))</f>
        <v/>
      </c>
      <c r="K42" s="22"/>
      <c r="L42" s="22"/>
      <c r="M42" s="22"/>
      <c r="N42" s="22"/>
      <c r="O42" s="24" t="str">
        <f aca="false">IF(I42="","",IFERROR(INDEX(TUYEN_NGAY,MATCH(I42,TUYEN_MA,0)),0))</f>
        <v/>
      </c>
      <c r="P42" s="24" t="str">
        <f aca="false">IF(OR(F42="",O42=""),"",MAX(0,F42-O42))</f>
        <v/>
      </c>
      <c r="Q42" s="20" t="str">
        <f aca="false">IF(I42="","",IFERROR(INDEX(TUYEN_DG,MATCH(I42,TUYEN_MA,0)),0))</f>
        <v/>
      </c>
      <c r="R42" s="20" t="str">
        <f aca="false">IF(P42="","",P42*HT_VUOTNGAY)</f>
        <v/>
      </c>
      <c r="S42" s="20" t="str">
        <f aca="false">IF(I42="","",(N(K42)+N(L42))*HT_DAU_KM)</f>
        <v/>
      </c>
      <c r="T42" s="22"/>
      <c r="U42" s="20" t="str">
        <f aca="false">IF(I42="","",N(T42)*IFERROR(INDEX(TUYEN_HTVC,MATCH(I42,TUYEN_MA,0)),0))</f>
        <v/>
      </c>
      <c r="V42" s="37" t="str">
        <f aca="false">IF(I42="","",Q42+R42+S42+U42)</f>
        <v/>
      </c>
      <c r="W42" s="22"/>
      <c r="X42" s="22"/>
      <c r="Y42" s="22"/>
    </row>
    <row r="43" customFormat="false" ht="15" hidden="false" customHeight="false" outlineLevel="0" collapsed="false">
      <c r="A43" s="24" t="str">
        <f aca="false">IF(B43="","",ROW()-4)</f>
        <v/>
      </c>
      <c r="B43" s="22"/>
      <c r="C43" s="24" t="str">
        <f aca="false">IF(B43="","",IFERROR(INDEX(NV_TEN,MATCH(B43,NV_MA,0)),"MÃ KHÔNG CÓ"))</f>
        <v/>
      </c>
      <c r="D43" s="46"/>
      <c r="E43" s="46"/>
      <c r="F43" s="24" t="str">
        <f aca="false">IF(OR(D43="",E43=""),"",E43-D43+1)</f>
        <v/>
      </c>
      <c r="G43" s="22"/>
      <c r="H43" s="22"/>
      <c r="I43" s="22"/>
      <c r="J43" s="24" t="str">
        <f aca="false">IF(I43="","",IFERROR(INDEX(TUYEN_MOTA,MATCH(I43,TUYEN_MA,0)),"TUYẾN KHÔNG CÓ"))</f>
        <v/>
      </c>
      <c r="K43" s="22"/>
      <c r="L43" s="22"/>
      <c r="M43" s="22"/>
      <c r="N43" s="22"/>
      <c r="O43" s="24" t="str">
        <f aca="false">IF(I43="","",IFERROR(INDEX(TUYEN_NGAY,MATCH(I43,TUYEN_MA,0)),0))</f>
        <v/>
      </c>
      <c r="P43" s="24" t="str">
        <f aca="false">IF(OR(F43="",O43=""),"",MAX(0,F43-O43))</f>
        <v/>
      </c>
      <c r="Q43" s="20" t="str">
        <f aca="false">IF(I43="","",IFERROR(INDEX(TUYEN_DG,MATCH(I43,TUYEN_MA,0)),0))</f>
        <v/>
      </c>
      <c r="R43" s="20" t="str">
        <f aca="false">IF(P43="","",P43*HT_VUOTNGAY)</f>
        <v/>
      </c>
      <c r="S43" s="20" t="str">
        <f aca="false">IF(I43="","",(N(K43)+N(L43))*HT_DAU_KM)</f>
        <v/>
      </c>
      <c r="T43" s="22"/>
      <c r="U43" s="20" t="str">
        <f aca="false">IF(I43="","",N(T43)*IFERROR(INDEX(TUYEN_HTVC,MATCH(I43,TUYEN_MA,0)),0))</f>
        <v/>
      </c>
      <c r="V43" s="37" t="str">
        <f aca="false">IF(I43="","",Q43+R43+S43+U43)</f>
        <v/>
      </c>
      <c r="W43" s="22"/>
      <c r="X43" s="22"/>
      <c r="Y43" s="22"/>
    </row>
    <row r="44" customFormat="false" ht="15" hidden="false" customHeight="false" outlineLevel="0" collapsed="false">
      <c r="A44" s="24" t="str">
        <f aca="false">IF(B44="","",ROW()-4)</f>
        <v/>
      </c>
      <c r="B44" s="22"/>
      <c r="C44" s="24" t="str">
        <f aca="false">IF(B44="","",IFERROR(INDEX(NV_TEN,MATCH(B44,NV_MA,0)),"MÃ KHÔNG CÓ"))</f>
        <v/>
      </c>
      <c r="D44" s="46"/>
      <c r="E44" s="46"/>
      <c r="F44" s="24" t="str">
        <f aca="false">IF(OR(D44="",E44=""),"",E44-D44+1)</f>
        <v/>
      </c>
      <c r="G44" s="22"/>
      <c r="H44" s="22"/>
      <c r="I44" s="22"/>
      <c r="J44" s="24" t="str">
        <f aca="false">IF(I44="","",IFERROR(INDEX(TUYEN_MOTA,MATCH(I44,TUYEN_MA,0)),"TUYẾN KHÔNG CÓ"))</f>
        <v/>
      </c>
      <c r="K44" s="22"/>
      <c r="L44" s="22"/>
      <c r="M44" s="22"/>
      <c r="N44" s="22"/>
      <c r="O44" s="24" t="str">
        <f aca="false">IF(I44="","",IFERROR(INDEX(TUYEN_NGAY,MATCH(I44,TUYEN_MA,0)),0))</f>
        <v/>
      </c>
      <c r="P44" s="24" t="str">
        <f aca="false">IF(OR(F44="",O44=""),"",MAX(0,F44-O44))</f>
        <v/>
      </c>
      <c r="Q44" s="20" t="str">
        <f aca="false">IF(I44="","",IFERROR(INDEX(TUYEN_DG,MATCH(I44,TUYEN_MA,0)),0))</f>
        <v/>
      </c>
      <c r="R44" s="20" t="str">
        <f aca="false">IF(P44="","",P44*HT_VUOTNGAY)</f>
        <v/>
      </c>
      <c r="S44" s="20" t="str">
        <f aca="false">IF(I44="","",(N(K44)+N(L44))*HT_DAU_KM)</f>
        <v/>
      </c>
      <c r="T44" s="22"/>
      <c r="U44" s="20" t="str">
        <f aca="false">IF(I44="","",N(T44)*IFERROR(INDEX(TUYEN_HTVC,MATCH(I44,TUYEN_MA,0)),0))</f>
        <v/>
      </c>
      <c r="V44" s="37" t="str">
        <f aca="false">IF(I44="","",Q44+R44+S44+U44)</f>
        <v/>
      </c>
      <c r="W44" s="22"/>
      <c r="X44" s="22"/>
      <c r="Y44" s="22"/>
    </row>
    <row r="45" customFormat="false" ht="15" hidden="false" customHeight="false" outlineLevel="0" collapsed="false">
      <c r="A45" s="24" t="str">
        <f aca="false">IF(B45="","",ROW()-4)</f>
        <v/>
      </c>
      <c r="B45" s="22"/>
      <c r="C45" s="24" t="str">
        <f aca="false">IF(B45="","",IFERROR(INDEX(NV_TEN,MATCH(B45,NV_MA,0)),"MÃ KHÔNG CÓ"))</f>
        <v/>
      </c>
      <c r="D45" s="46"/>
      <c r="E45" s="46"/>
      <c r="F45" s="24" t="str">
        <f aca="false">IF(OR(D45="",E45=""),"",E45-D45+1)</f>
        <v/>
      </c>
      <c r="G45" s="22"/>
      <c r="H45" s="22"/>
      <c r="I45" s="22"/>
      <c r="J45" s="24" t="str">
        <f aca="false">IF(I45="","",IFERROR(INDEX(TUYEN_MOTA,MATCH(I45,TUYEN_MA,0)),"TUYẾN KHÔNG CÓ"))</f>
        <v/>
      </c>
      <c r="K45" s="22"/>
      <c r="L45" s="22"/>
      <c r="M45" s="22"/>
      <c r="N45" s="22"/>
      <c r="O45" s="24" t="str">
        <f aca="false">IF(I45="","",IFERROR(INDEX(TUYEN_NGAY,MATCH(I45,TUYEN_MA,0)),0))</f>
        <v/>
      </c>
      <c r="P45" s="24" t="str">
        <f aca="false">IF(OR(F45="",O45=""),"",MAX(0,F45-O45))</f>
        <v/>
      </c>
      <c r="Q45" s="20" t="str">
        <f aca="false">IF(I45="","",IFERROR(INDEX(TUYEN_DG,MATCH(I45,TUYEN_MA,0)),0))</f>
        <v/>
      </c>
      <c r="R45" s="20" t="str">
        <f aca="false">IF(P45="","",P45*HT_VUOTNGAY)</f>
        <v/>
      </c>
      <c r="S45" s="20" t="str">
        <f aca="false">IF(I45="","",(N(K45)+N(L45))*HT_DAU_KM)</f>
        <v/>
      </c>
      <c r="T45" s="22"/>
      <c r="U45" s="20" t="str">
        <f aca="false">IF(I45="","",N(T45)*IFERROR(INDEX(TUYEN_HTVC,MATCH(I45,TUYEN_MA,0)),0))</f>
        <v/>
      </c>
      <c r="V45" s="37" t="str">
        <f aca="false">IF(I45="","",Q45+R45+S45+U45)</f>
        <v/>
      </c>
      <c r="W45" s="22"/>
      <c r="X45" s="22"/>
      <c r="Y45" s="22"/>
    </row>
    <row r="46" customFormat="false" ht="15" hidden="false" customHeight="false" outlineLevel="0" collapsed="false">
      <c r="A46" s="24" t="str">
        <f aca="false">IF(B46="","",ROW()-4)</f>
        <v/>
      </c>
      <c r="B46" s="22"/>
      <c r="C46" s="24" t="str">
        <f aca="false">IF(B46="","",IFERROR(INDEX(NV_TEN,MATCH(B46,NV_MA,0)),"MÃ KHÔNG CÓ"))</f>
        <v/>
      </c>
      <c r="D46" s="46"/>
      <c r="E46" s="46"/>
      <c r="F46" s="24" t="str">
        <f aca="false">IF(OR(D46="",E46=""),"",E46-D46+1)</f>
        <v/>
      </c>
      <c r="G46" s="22"/>
      <c r="H46" s="22"/>
      <c r="I46" s="22"/>
      <c r="J46" s="24" t="str">
        <f aca="false">IF(I46="","",IFERROR(INDEX(TUYEN_MOTA,MATCH(I46,TUYEN_MA,0)),"TUYẾN KHÔNG CÓ"))</f>
        <v/>
      </c>
      <c r="K46" s="22"/>
      <c r="L46" s="22"/>
      <c r="M46" s="22"/>
      <c r="N46" s="22"/>
      <c r="O46" s="24" t="str">
        <f aca="false">IF(I46="","",IFERROR(INDEX(TUYEN_NGAY,MATCH(I46,TUYEN_MA,0)),0))</f>
        <v/>
      </c>
      <c r="P46" s="24" t="str">
        <f aca="false">IF(OR(F46="",O46=""),"",MAX(0,F46-O46))</f>
        <v/>
      </c>
      <c r="Q46" s="20" t="str">
        <f aca="false">IF(I46="","",IFERROR(INDEX(TUYEN_DG,MATCH(I46,TUYEN_MA,0)),0))</f>
        <v/>
      </c>
      <c r="R46" s="20" t="str">
        <f aca="false">IF(P46="","",P46*HT_VUOTNGAY)</f>
        <v/>
      </c>
      <c r="S46" s="20" t="str">
        <f aca="false">IF(I46="","",(N(K46)+N(L46))*HT_DAU_KM)</f>
        <v/>
      </c>
      <c r="T46" s="22"/>
      <c r="U46" s="20" t="str">
        <f aca="false">IF(I46="","",N(T46)*IFERROR(INDEX(TUYEN_HTVC,MATCH(I46,TUYEN_MA,0)),0))</f>
        <v/>
      </c>
      <c r="V46" s="37" t="str">
        <f aca="false">IF(I46="","",Q46+R46+S46+U46)</f>
        <v/>
      </c>
      <c r="W46" s="22"/>
      <c r="X46" s="22"/>
      <c r="Y46" s="22"/>
    </row>
    <row r="47" customFormat="false" ht="15" hidden="false" customHeight="false" outlineLevel="0" collapsed="false">
      <c r="A47" s="24" t="str">
        <f aca="false">IF(B47="","",ROW()-4)</f>
        <v/>
      </c>
      <c r="B47" s="22"/>
      <c r="C47" s="24" t="str">
        <f aca="false">IF(B47="","",IFERROR(INDEX(NV_TEN,MATCH(B47,NV_MA,0)),"MÃ KHÔNG CÓ"))</f>
        <v/>
      </c>
      <c r="D47" s="46"/>
      <c r="E47" s="46"/>
      <c r="F47" s="24" t="str">
        <f aca="false">IF(OR(D47="",E47=""),"",E47-D47+1)</f>
        <v/>
      </c>
      <c r="G47" s="22"/>
      <c r="H47" s="22"/>
      <c r="I47" s="22"/>
      <c r="J47" s="24" t="str">
        <f aca="false">IF(I47="","",IFERROR(INDEX(TUYEN_MOTA,MATCH(I47,TUYEN_MA,0)),"TUYẾN KHÔNG CÓ"))</f>
        <v/>
      </c>
      <c r="K47" s="22"/>
      <c r="L47" s="22"/>
      <c r="M47" s="22"/>
      <c r="N47" s="22"/>
      <c r="O47" s="24" t="str">
        <f aca="false">IF(I47="","",IFERROR(INDEX(TUYEN_NGAY,MATCH(I47,TUYEN_MA,0)),0))</f>
        <v/>
      </c>
      <c r="P47" s="24" t="str">
        <f aca="false">IF(OR(F47="",O47=""),"",MAX(0,F47-O47))</f>
        <v/>
      </c>
      <c r="Q47" s="20" t="str">
        <f aca="false">IF(I47="","",IFERROR(INDEX(TUYEN_DG,MATCH(I47,TUYEN_MA,0)),0))</f>
        <v/>
      </c>
      <c r="R47" s="20" t="str">
        <f aca="false">IF(P47="","",P47*HT_VUOTNGAY)</f>
        <v/>
      </c>
      <c r="S47" s="20" t="str">
        <f aca="false">IF(I47="","",(N(K47)+N(L47))*HT_DAU_KM)</f>
        <v/>
      </c>
      <c r="T47" s="22"/>
      <c r="U47" s="20" t="str">
        <f aca="false">IF(I47="","",N(T47)*IFERROR(INDEX(TUYEN_HTVC,MATCH(I47,TUYEN_MA,0)),0))</f>
        <v/>
      </c>
      <c r="V47" s="37" t="str">
        <f aca="false">IF(I47="","",Q47+R47+S47+U47)</f>
        <v/>
      </c>
      <c r="W47" s="22"/>
      <c r="X47" s="22"/>
      <c r="Y47" s="22"/>
    </row>
    <row r="48" customFormat="false" ht="15" hidden="false" customHeight="false" outlineLevel="0" collapsed="false">
      <c r="A48" s="24" t="str">
        <f aca="false">IF(B48="","",ROW()-4)</f>
        <v/>
      </c>
      <c r="B48" s="22"/>
      <c r="C48" s="24" t="str">
        <f aca="false">IF(B48="","",IFERROR(INDEX(NV_TEN,MATCH(B48,NV_MA,0)),"MÃ KHÔNG CÓ"))</f>
        <v/>
      </c>
      <c r="D48" s="46"/>
      <c r="E48" s="46"/>
      <c r="F48" s="24" t="str">
        <f aca="false">IF(OR(D48="",E48=""),"",E48-D48+1)</f>
        <v/>
      </c>
      <c r="G48" s="22"/>
      <c r="H48" s="22"/>
      <c r="I48" s="22"/>
      <c r="J48" s="24" t="str">
        <f aca="false">IF(I48="","",IFERROR(INDEX(TUYEN_MOTA,MATCH(I48,TUYEN_MA,0)),"TUYẾN KHÔNG CÓ"))</f>
        <v/>
      </c>
      <c r="K48" s="22"/>
      <c r="L48" s="22"/>
      <c r="M48" s="22"/>
      <c r="N48" s="22"/>
      <c r="O48" s="24" t="str">
        <f aca="false">IF(I48="","",IFERROR(INDEX(TUYEN_NGAY,MATCH(I48,TUYEN_MA,0)),0))</f>
        <v/>
      </c>
      <c r="P48" s="24" t="str">
        <f aca="false">IF(OR(F48="",O48=""),"",MAX(0,F48-O48))</f>
        <v/>
      </c>
      <c r="Q48" s="20" t="str">
        <f aca="false">IF(I48="","",IFERROR(INDEX(TUYEN_DG,MATCH(I48,TUYEN_MA,0)),0))</f>
        <v/>
      </c>
      <c r="R48" s="20" t="str">
        <f aca="false">IF(P48="","",P48*HT_VUOTNGAY)</f>
        <v/>
      </c>
      <c r="S48" s="20" t="str">
        <f aca="false">IF(I48="","",(N(K48)+N(L48))*HT_DAU_KM)</f>
        <v/>
      </c>
      <c r="T48" s="22"/>
      <c r="U48" s="20" t="str">
        <f aca="false">IF(I48="","",N(T48)*IFERROR(INDEX(TUYEN_HTVC,MATCH(I48,TUYEN_MA,0)),0))</f>
        <v/>
      </c>
      <c r="V48" s="37" t="str">
        <f aca="false">IF(I48="","",Q48+R48+S48+U48)</f>
        <v/>
      </c>
      <c r="W48" s="22"/>
      <c r="X48" s="22"/>
      <c r="Y48" s="22"/>
    </row>
    <row r="49" customFormat="false" ht="15" hidden="false" customHeight="false" outlineLevel="0" collapsed="false">
      <c r="A49" s="24" t="str">
        <f aca="false">IF(B49="","",ROW()-4)</f>
        <v/>
      </c>
      <c r="B49" s="22"/>
      <c r="C49" s="24" t="str">
        <f aca="false">IF(B49="","",IFERROR(INDEX(NV_TEN,MATCH(B49,NV_MA,0)),"MÃ KHÔNG CÓ"))</f>
        <v/>
      </c>
      <c r="D49" s="46"/>
      <c r="E49" s="46"/>
      <c r="F49" s="24" t="str">
        <f aca="false">IF(OR(D49="",E49=""),"",E49-D49+1)</f>
        <v/>
      </c>
      <c r="G49" s="22"/>
      <c r="H49" s="22"/>
      <c r="I49" s="22"/>
      <c r="J49" s="24" t="str">
        <f aca="false">IF(I49="","",IFERROR(INDEX(TUYEN_MOTA,MATCH(I49,TUYEN_MA,0)),"TUYẾN KHÔNG CÓ"))</f>
        <v/>
      </c>
      <c r="K49" s="22"/>
      <c r="L49" s="22"/>
      <c r="M49" s="22"/>
      <c r="N49" s="22"/>
      <c r="O49" s="24" t="str">
        <f aca="false">IF(I49="","",IFERROR(INDEX(TUYEN_NGAY,MATCH(I49,TUYEN_MA,0)),0))</f>
        <v/>
      </c>
      <c r="P49" s="24" t="str">
        <f aca="false">IF(OR(F49="",O49=""),"",MAX(0,F49-O49))</f>
        <v/>
      </c>
      <c r="Q49" s="20" t="str">
        <f aca="false">IF(I49="","",IFERROR(INDEX(TUYEN_DG,MATCH(I49,TUYEN_MA,0)),0))</f>
        <v/>
      </c>
      <c r="R49" s="20" t="str">
        <f aca="false">IF(P49="","",P49*HT_VUOTNGAY)</f>
        <v/>
      </c>
      <c r="S49" s="20" t="str">
        <f aca="false">IF(I49="","",(N(K49)+N(L49))*HT_DAU_KM)</f>
        <v/>
      </c>
      <c r="T49" s="22"/>
      <c r="U49" s="20" t="str">
        <f aca="false">IF(I49="","",N(T49)*IFERROR(INDEX(TUYEN_HTVC,MATCH(I49,TUYEN_MA,0)),0))</f>
        <v/>
      </c>
      <c r="V49" s="37" t="str">
        <f aca="false">IF(I49="","",Q49+R49+S49+U49)</f>
        <v/>
      </c>
      <c r="W49" s="22"/>
      <c r="X49" s="22"/>
      <c r="Y49" s="22"/>
    </row>
    <row r="50" customFormat="false" ht="15" hidden="false" customHeight="false" outlineLevel="0" collapsed="false">
      <c r="A50" s="24" t="str">
        <f aca="false">IF(B50="","",ROW()-4)</f>
        <v/>
      </c>
      <c r="B50" s="22"/>
      <c r="C50" s="24" t="str">
        <f aca="false">IF(B50="","",IFERROR(INDEX(NV_TEN,MATCH(B50,NV_MA,0)),"MÃ KHÔNG CÓ"))</f>
        <v/>
      </c>
      <c r="D50" s="46"/>
      <c r="E50" s="46"/>
      <c r="F50" s="24" t="str">
        <f aca="false">IF(OR(D50="",E50=""),"",E50-D50+1)</f>
        <v/>
      </c>
      <c r="G50" s="22"/>
      <c r="H50" s="22"/>
      <c r="I50" s="22"/>
      <c r="J50" s="24" t="str">
        <f aca="false">IF(I50="","",IFERROR(INDEX(TUYEN_MOTA,MATCH(I50,TUYEN_MA,0)),"TUYẾN KHÔNG CÓ"))</f>
        <v/>
      </c>
      <c r="K50" s="22"/>
      <c r="L50" s="22"/>
      <c r="M50" s="22"/>
      <c r="N50" s="22"/>
      <c r="O50" s="24" t="str">
        <f aca="false">IF(I50="","",IFERROR(INDEX(TUYEN_NGAY,MATCH(I50,TUYEN_MA,0)),0))</f>
        <v/>
      </c>
      <c r="P50" s="24" t="str">
        <f aca="false">IF(OR(F50="",O50=""),"",MAX(0,F50-O50))</f>
        <v/>
      </c>
      <c r="Q50" s="20" t="str">
        <f aca="false">IF(I50="","",IFERROR(INDEX(TUYEN_DG,MATCH(I50,TUYEN_MA,0)),0))</f>
        <v/>
      </c>
      <c r="R50" s="20" t="str">
        <f aca="false">IF(P50="","",P50*HT_VUOTNGAY)</f>
        <v/>
      </c>
      <c r="S50" s="20" t="str">
        <f aca="false">IF(I50="","",(N(K50)+N(L50))*HT_DAU_KM)</f>
        <v/>
      </c>
      <c r="T50" s="22"/>
      <c r="U50" s="20" t="str">
        <f aca="false">IF(I50="","",N(T50)*IFERROR(INDEX(TUYEN_HTVC,MATCH(I50,TUYEN_MA,0)),0))</f>
        <v/>
      </c>
      <c r="V50" s="37" t="str">
        <f aca="false">IF(I50="","",Q50+R50+S50+U50)</f>
        <v/>
      </c>
      <c r="W50" s="22"/>
      <c r="X50" s="22"/>
      <c r="Y50" s="22"/>
    </row>
    <row r="51" customFormat="false" ht="15" hidden="false" customHeight="false" outlineLevel="0" collapsed="false">
      <c r="A51" s="24" t="str">
        <f aca="false">IF(B51="","",ROW()-4)</f>
        <v/>
      </c>
      <c r="B51" s="22"/>
      <c r="C51" s="24" t="str">
        <f aca="false">IF(B51="","",IFERROR(INDEX(NV_TEN,MATCH(B51,NV_MA,0)),"MÃ KHÔNG CÓ"))</f>
        <v/>
      </c>
      <c r="D51" s="46"/>
      <c r="E51" s="46"/>
      <c r="F51" s="24" t="str">
        <f aca="false">IF(OR(D51="",E51=""),"",E51-D51+1)</f>
        <v/>
      </c>
      <c r="G51" s="22"/>
      <c r="H51" s="22"/>
      <c r="I51" s="22"/>
      <c r="J51" s="24" t="str">
        <f aca="false">IF(I51="","",IFERROR(INDEX(TUYEN_MOTA,MATCH(I51,TUYEN_MA,0)),"TUYẾN KHÔNG CÓ"))</f>
        <v/>
      </c>
      <c r="K51" s="22"/>
      <c r="L51" s="22"/>
      <c r="M51" s="22"/>
      <c r="N51" s="22"/>
      <c r="O51" s="24" t="str">
        <f aca="false">IF(I51="","",IFERROR(INDEX(TUYEN_NGAY,MATCH(I51,TUYEN_MA,0)),0))</f>
        <v/>
      </c>
      <c r="P51" s="24" t="str">
        <f aca="false">IF(OR(F51="",O51=""),"",MAX(0,F51-O51))</f>
        <v/>
      </c>
      <c r="Q51" s="20" t="str">
        <f aca="false">IF(I51="","",IFERROR(INDEX(TUYEN_DG,MATCH(I51,TUYEN_MA,0)),0))</f>
        <v/>
      </c>
      <c r="R51" s="20" t="str">
        <f aca="false">IF(P51="","",P51*HT_VUOTNGAY)</f>
        <v/>
      </c>
      <c r="S51" s="20" t="str">
        <f aca="false">IF(I51="","",(N(K51)+N(L51))*HT_DAU_KM)</f>
        <v/>
      </c>
      <c r="T51" s="22"/>
      <c r="U51" s="20" t="str">
        <f aca="false">IF(I51="","",N(T51)*IFERROR(INDEX(TUYEN_HTVC,MATCH(I51,TUYEN_MA,0)),0))</f>
        <v/>
      </c>
      <c r="V51" s="37" t="str">
        <f aca="false">IF(I51="","",Q51+R51+S51+U51)</f>
        <v/>
      </c>
      <c r="W51" s="22"/>
      <c r="X51" s="22"/>
      <c r="Y51" s="22"/>
    </row>
    <row r="52" customFormat="false" ht="15" hidden="false" customHeight="false" outlineLevel="0" collapsed="false">
      <c r="A52" s="24" t="str">
        <f aca="false">IF(B52="","",ROW()-4)</f>
        <v/>
      </c>
      <c r="B52" s="22"/>
      <c r="C52" s="24" t="str">
        <f aca="false">IF(B52="","",IFERROR(INDEX(NV_TEN,MATCH(B52,NV_MA,0)),"MÃ KHÔNG CÓ"))</f>
        <v/>
      </c>
      <c r="D52" s="46"/>
      <c r="E52" s="46"/>
      <c r="F52" s="24" t="str">
        <f aca="false">IF(OR(D52="",E52=""),"",E52-D52+1)</f>
        <v/>
      </c>
      <c r="G52" s="22"/>
      <c r="H52" s="22"/>
      <c r="I52" s="22"/>
      <c r="J52" s="24" t="str">
        <f aca="false">IF(I52="","",IFERROR(INDEX(TUYEN_MOTA,MATCH(I52,TUYEN_MA,0)),"TUYẾN KHÔNG CÓ"))</f>
        <v/>
      </c>
      <c r="K52" s="22"/>
      <c r="L52" s="22"/>
      <c r="M52" s="22"/>
      <c r="N52" s="22"/>
      <c r="O52" s="24" t="str">
        <f aca="false">IF(I52="","",IFERROR(INDEX(TUYEN_NGAY,MATCH(I52,TUYEN_MA,0)),0))</f>
        <v/>
      </c>
      <c r="P52" s="24" t="str">
        <f aca="false">IF(OR(F52="",O52=""),"",MAX(0,F52-O52))</f>
        <v/>
      </c>
      <c r="Q52" s="20" t="str">
        <f aca="false">IF(I52="","",IFERROR(INDEX(TUYEN_DG,MATCH(I52,TUYEN_MA,0)),0))</f>
        <v/>
      </c>
      <c r="R52" s="20" t="str">
        <f aca="false">IF(P52="","",P52*HT_VUOTNGAY)</f>
        <v/>
      </c>
      <c r="S52" s="20" t="str">
        <f aca="false">IF(I52="","",(N(K52)+N(L52))*HT_DAU_KM)</f>
        <v/>
      </c>
      <c r="T52" s="22"/>
      <c r="U52" s="20" t="str">
        <f aca="false">IF(I52="","",N(T52)*IFERROR(INDEX(TUYEN_HTVC,MATCH(I52,TUYEN_MA,0)),0))</f>
        <v/>
      </c>
      <c r="V52" s="37" t="str">
        <f aca="false">IF(I52="","",Q52+R52+S52+U52)</f>
        <v/>
      </c>
      <c r="W52" s="22"/>
      <c r="X52" s="22"/>
      <c r="Y52" s="22"/>
    </row>
    <row r="53" customFormat="false" ht="15" hidden="false" customHeight="false" outlineLevel="0" collapsed="false">
      <c r="A53" s="24" t="str">
        <f aca="false">IF(B53="","",ROW()-4)</f>
        <v/>
      </c>
      <c r="B53" s="22"/>
      <c r="C53" s="24" t="str">
        <f aca="false">IF(B53="","",IFERROR(INDEX(NV_TEN,MATCH(B53,NV_MA,0)),"MÃ KHÔNG CÓ"))</f>
        <v/>
      </c>
      <c r="D53" s="46"/>
      <c r="E53" s="46"/>
      <c r="F53" s="24" t="str">
        <f aca="false">IF(OR(D53="",E53=""),"",E53-D53+1)</f>
        <v/>
      </c>
      <c r="G53" s="22"/>
      <c r="H53" s="22"/>
      <c r="I53" s="22"/>
      <c r="J53" s="24" t="str">
        <f aca="false">IF(I53="","",IFERROR(INDEX(TUYEN_MOTA,MATCH(I53,TUYEN_MA,0)),"TUYẾN KHÔNG CÓ"))</f>
        <v/>
      </c>
      <c r="K53" s="22"/>
      <c r="L53" s="22"/>
      <c r="M53" s="22"/>
      <c r="N53" s="22"/>
      <c r="O53" s="24" t="str">
        <f aca="false">IF(I53="","",IFERROR(INDEX(TUYEN_NGAY,MATCH(I53,TUYEN_MA,0)),0))</f>
        <v/>
      </c>
      <c r="P53" s="24" t="str">
        <f aca="false">IF(OR(F53="",O53=""),"",MAX(0,F53-O53))</f>
        <v/>
      </c>
      <c r="Q53" s="20" t="str">
        <f aca="false">IF(I53="","",IFERROR(INDEX(TUYEN_DG,MATCH(I53,TUYEN_MA,0)),0))</f>
        <v/>
      </c>
      <c r="R53" s="20" t="str">
        <f aca="false">IF(P53="","",P53*HT_VUOTNGAY)</f>
        <v/>
      </c>
      <c r="S53" s="20" t="str">
        <f aca="false">IF(I53="","",(N(K53)+N(L53))*HT_DAU_KM)</f>
        <v/>
      </c>
      <c r="T53" s="22"/>
      <c r="U53" s="20" t="str">
        <f aca="false">IF(I53="","",N(T53)*IFERROR(INDEX(TUYEN_HTVC,MATCH(I53,TUYEN_MA,0)),0))</f>
        <v/>
      </c>
      <c r="V53" s="37" t="str">
        <f aca="false">IF(I53="","",Q53+R53+S53+U53)</f>
        <v/>
      </c>
      <c r="W53" s="22"/>
      <c r="X53" s="22"/>
      <c r="Y53" s="22"/>
    </row>
    <row r="54" customFormat="false" ht="15" hidden="false" customHeight="false" outlineLevel="0" collapsed="false">
      <c r="A54" s="24" t="str">
        <f aca="false">IF(B54="","",ROW()-4)</f>
        <v/>
      </c>
      <c r="B54" s="22"/>
      <c r="C54" s="24" t="str">
        <f aca="false">IF(B54="","",IFERROR(INDEX(NV_TEN,MATCH(B54,NV_MA,0)),"MÃ KHÔNG CÓ"))</f>
        <v/>
      </c>
      <c r="D54" s="46"/>
      <c r="E54" s="46"/>
      <c r="F54" s="24" t="str">
        <f aca="false">IF(OR(D54="",E54=""),"",E54-D54+1)</f>
        <v/>
      </c>
      <c r="G54" s="22"/>
      <c r="H54" s="22"/>
      <c r="I54" s="22"/>
      <c r="J54" s="24" t="str">
        <f aca="false">IF(I54="","",IFERROR(INDEX(TUYEN_MOTA,MATCH(I54,TUYEN_MA,0)),"TUYẾN KHÔNG CÓ"))</f>
        <v/>
      </c>
      <c r="K54" s="22"/>
      <c r="L54" s="22"/>
      <c r="M54" s="22"/>
      <c r="N54" s="22"/>
      <c r="O54" s="24" t="str">
        <f aca="false">IF(I54="","",IFERROR(INDEX(TUYEN_NGAY,MATCH(I54,TUYEN_MA,0)),0))</f>
        <v/>
      </c>
      <c r="P54" s="24" t="str">
        <f aca="false">IF(OR(F54="",O54=""),"",MAX(0,F54-O54))</f>
        <v/>
      </c>
      <c r="Q54" s="20" t="str">
        <f aca="false">IF(I54="","",IFERROR(INDEX(TUYEN_DG,MATCH(I54,TUYEN_MA,0)),0))</f>
        <v/>
      </c>
      <c r="R54" s="20" t="str">
        <f aca="false">IF(P54="","",P54*HT_VUOTNGAY)</f>
        <v/>
      </c>
      <c r="S54" s="20" t="str">
        <f aca="false">IF(I54="","",(N(K54)+N(L54))*HT_DAU_KM)</f>
        <v/>
      </c>
      <c r="T54" s="22"/>
      <c r="U54" s="20" t="str">
        <f aca="false">IF(I54="","",N(T54)*IFERROR(INDEX(TUYEN_HTVC,MATCH(I54,TUYEN_MA,0)),0))</f>
        <v/>
      </c>
      <c r="V54" s="37" t="str">
        <f aca="false">IF(I54="","",Q54+R54+S54+U54)</f>
        <v/>
      </c>
      <c r="W54" s="22"/>
      <c r="X54" s="22"/>
      <c r="Y54" s="22"/>
    </row>
    <row r="55" customFormat="false" ht="15" hidden="false" customHeight="false" outlineLevel="0" collapsed="false">
      <c r="A55" s="24" t="str">
        <f aca="false">IF(B55="","",ROW()-4)</f>
        <v/>
      </c>
      <c r="B55" s="22"/>
      <c r="C55" s="24" t="str">
        <f aca="false">IF(B55="","",IFERROR(INDEX(NV_TEN,MATCH(B55,NV_MA,0)),"MÃ KHÔNG CÓ"))</f>
        <v/>
      </c>
      <c r="D55" s="46"/>
      <c r="E55" s="46"/>
      <c r="F55" s="24" t="str">
        <f aca="false">IF(OR(D55="",E55=""),"",E55-D55+1)</f>
        <v/>
      </c>
      <c r="G55" s="22"/>
      <c r="H55" s="22"/>
      <c r="I55" s="22"/>
      <c r="J55" s="24" t="str">
        <f aca="false">IF(I55="","",IFERROR(INDEX(TUYEN_MOTA,MATCH(I55,TUYEN_MA,0)),"TUYẾN KHÔNG CÓ"))</f>
        <v/>
      </c>
      <c r="K55" s="22"/>
      <c r="L55" s="22"/>
      <c r="M55" s="22"/>
      <c r="N55" s="22"/>
      <c r="O55" s="24" t="str">
        <f aca="false">IF(I55="","",IFERROR(INDEX(TUYEN_NGAY,MATCH(I55,TUYEN_MA,0)),0))</f>
        <v/>
      </c>
      <c r="P55" s="24" t="str">
        <f aca="false">IF(OR(F55="",O55=""),"",MAX(0,F55-O55))</f>
        <v/>
      </c>
      <c r="Q55" s="20" t="str">
        <f aca="false">IF(I55="","",IFERROR(INDEX(TUYEN_DG,MATCH(I55,TUYEN_MA,0)),0))</f>
        <v/>
      </c>
      <c r="R55" s="20" t="str">
        <f aca="false">IF(P55="","",P55*HT_VUOTNGAY)</f>
        <v/>
      </c>
      <c r="S55" s="20" t="str">
        <f aca="false">IF(I55="","",(N(K55)+N(L55))*HT_DAU_KM)</f>
        <v/>
      </c>
      <c r="T55" s="22"/>
      <c r="U55" s="20" t="str">
        <f aca="false">IF(I55="","",N(T55)*IFERROR(INDEX(TUYEN_HTVC,MATCH(I55,TUYEN_MA,0)),0))</f>
        <v/>
      </c>
      <c r="V55" s="37" t="str">
        <f aca="false">IF(I55="","",Q55+R55+S55+U55)</f>
        <v/>
      </c>
      <c r="W55" s="22"/>
      <c r="X55" s="22"/>
      <c r="Y55" s="22"/>
    </row>
    <row r="56" customFormat="false" ht="15" hidden="false" customHeight="false" outlineLevel="0" collapsed="false">
      <c r="A56" s="24" t="str">
        <f aca="false">IF(B56="","",ROW()-4)</f>
        <v/>
      </c>
      <c r="B56" s="22"/>
      <c r="C56" s="24" t="str">
        <f aca="false">IF(B56="","",IFERROR(INDEX(NV_TEN,MATCH(B56,NV_MA,0)),"MÃ KHÔNG CÓ"))</f>
        <v/>
      </c>
      <c r="D56" s="46"/>
      <c r="E56" s="46"/>
      <c r="F56" s="24" t="str">
        <f aca="false">IF(OR(D56="",E56=""),"",E56-D56+1)</f>
        <v/>
      </c>
      <c r="G56" s="22"/>
      <c r="H56" s="22"/>
      <c r="I56" s="22"/>
      <c r="J56" s="24" t="str">
        <f aca="false">IF(I56="","",IFERROR(INDEX(TUYEN_MOTA,MATCH(I56,TUYEN_MA,0)),"TUYẾN KHÔNG CÓ"))</f>
        <v/>
      </c>
      <c r="K56" s="22"/>
      <c r="L56" s="22"/>
      <c r="M56" s="22"/>
      <c r="N56" s="22"/>
      <c r="O56" s="24" t="str">
        <f aca="false">IF(I56="","",IFERROR(INDEX(TUYEN_NGAY,MATCH(I56,TUYEN_MA,0)),0))</f>
        <v/>
      </c>
      <c r="P56" s="24" t="str">
        <f aca="false">IF(OR(F56="",O56=""),"",MAX(0,F56-O56))</f>
        <v/>
      </c>
      <c r="Q56" s="20" t="str">
        <f aca="false">IF(I56="","",IFERROR(INDEX(TUYEN_DG,MATCH(I56,TUYEN_MA,0)),0))</f>
        <v/>
      </c>
      <c r="R56" s="20" t="str">
        <f aca="false">IF(P56="","",P56*HT_VUOTNGAY)</f>
        <v/>
      </c>
      <c r="S56" s="20" t="str">
        <f aca="false">IF(I56="","",(N(K56)+N(L56))*HT_DAU_KM)</f>
        <v/>
      </c>
      <c r="T56" s="22"/>
      <c r="U56" s="20" t="str">
        <f aca="false">IF(I56="","",N(T56)*IFERROR(INDEX(TUYEN_HTVC,MATCH(I56,TUYEN_MA,0)),0))</f>
        <v/>
      </c>
      <c r="V56" s="37" t="str">
        <f aca="false">IF(I56="","",Q56+R56+S56+U56)</f>
        <v/>
      </c>
      <c r="W56" s="22"/>
      <c r="X56" s="22"/>
      <c r="Y56" s="22"/>
    </row>
    <row r="57" customFormat="false" ht="15" hidden="false" customHeight="false" outlineLevel="0" collapsed="false">
      <c r="A57" s="24" t="str">
        <f aca="false">IF(B57="","",ROW()-4)</f>
        <v/>
      </c>
      <c r="B57" s="22"/>
      <c r="C57" s="24" t="str">
        <f aca="false">IF(B57="","",IFERROR(INDEX(NV_TEN,MATCH(B57,NV_MA,0)),"MÃ KHÔNG CÓ"))</f>
        <v/>
      </c>
      <c r="D57" s="46"/>
      <c r="E57" s="46"/>
      <c r="F57" s="24" t="str">
        <f aca="false">IF(OR(D57="",E57=""),"",E57-D57+1)</f>
        <v/>
      </c>
      <c r="G57" s="22"/>
      <c r="H57" s="22"/>
      <c r="I57" s="22"/>
      <c r="J57" s="24" t="str">
        <f aca="false">IF(I57="","",IFERROR(INDEX(TUYEN_MOTA,MATCH(I57,TUYEN_MA,0)),"TUYẾN KHÔNG CÓ"))</f>
        <v/>
      </c>
      <c r="K57" s="22"/>
      <c r="L57" s="22"/>
      <c r="M57" s="22"/>
      <c r="N57" s="22"/>
      <c r="O57" s="24" t="str">
        <f aca="false">IF(I57="","",IFERROR(INDEX(TUYEN_NGAY,MATCH(I57,TUYEN_MA,0)),0))</f>
        <v/>
      </c>
      <c r="P57" s="24" t="str">
        <f aca="false">IF(OR(F57="",O57=""),"",MAX(0,F57-O57))</f>
        <v/>
      </c>
      <c r="Q57" s="20" t="str">
        <f aca="false">IF(I57="","",IFERROR(INDEX(TUYEN_DG,MATCH(I57,TUYEN_MA,0)),0))</f>
        <v/>
      </c>
      <c r="R57" s="20" t="str">
        <f aca="false">IF(P57="","",P57*HT_VUOTNGAY)</f>
        <v/>
      </c>
      <c r="S57" s="20" t="str">
        <f aca="false">IF(I57="","",(N(K57)+N(L57))*HT_DAU_KM)</f>
        <v/>
      </c>
      <c r="T57" s="22"/>
      <c r="U57" s="20" t="str">
        <f aca="false">IF(I57="","",N(T57)*IFERROR(INDEX(TUYEN_HTVC,MATCH(I57,TUYEN_MA,0)),0))</f>
        <v/>
      </c>
      <c r="V57" s="37" t="str">
        <f aca="false">IF(I57="","",Q57+R57+S57+U57)</f>
        <v/>
      </c>
      <c r="W57" s="22"/>
      <c r="X57" s="22"/>
      <c r="Y57" s="22"/>
    </row>
    <row r="58" customFormat="false" ht="15" hidden="false" customHeight="false" outlineLevel="0" collapsed="false">
      <c r="A58" s="24" t="str">
        <f aca="false">IF(B58="","",ROW()-4)</f>
        <v/>
      </c>
      <c r="B58" s="22"/>
      <c r="C58" s="24" t="str">
        <f aca="false">IF(B58="","",IFERROR(INDEX(NV_TEN,MATCH(B58,NV_MA,0)),"MÃ KHÔNG CÓ"))</f>
        <v/>
      </c>
      <c r="D58" s="46"/>
      <c r="E58" s="46"/>
      <c r="F58" s="24" t="str">
        <f aca="false">IF(OR(D58="",E58=""),"",E58-D58+1)</f>
        <v/>
      </c>
      <c r="G58" s="22"/>
      <c r="H58" s="22"/>
      <c r="I58" s="22"/>
      <c r="J58" s="24" t="str">
        <f aca="false">IF(I58="","",IFERROR(INDEX(TUYEN_MOTA,MATCH(I58,TUYEN_MA,0)),"TUYẾN KHÔNG CÓ"))</f>
        <v/>
      </c>
      <c r="K58" s="22"/>
      <c r="L58" s="22"/>
      <c r="M58" s="22"/>
      <c r="N58" s="22"/>
      <c r="O58" s="24" t="str">
        <f aca="false">IF(I58="","",IFERROR(INDEX(TUYEN_NGAY,MATCH(I58,TUYEN_MA,0)),0))</f>
        <v/>
      </c>
      <c r="P58" s="24" t="str">
        <f aca="false">IF(OR(F58="",O58=""),"",MAX(0,F58-O58))</f>
        <v/>
      </c>
      <c r="Q58" s="20" t="str">
        <f aca="false">IF(I58="","",IFERROR(INDEX(TUYEN_DG,MATCH(I58,TUYEN_MA,0)),0))</f>
        <v/>
      </c>
      <c r="R58" s="20" t="str">
        <f aca="false">IF(P58="","",P58*HT_VUOTNGAY)</f>
        <v/>
      </c>
      <c r="S58" s="20" t="str">
        <f aca="false">IF(I58="","",(N(K58)+N(L58))*HT_DAU_KM)</f>
        <v/>
      </c>
      <c r="T58" s="22"/>
      <c r="U58" s="20" t="str">
        <f aca="false">IF(I58="","",N(T58)*IFERROR(INDEX(TUYEN_HTVC,MATCH(I58,TUYEN_MA,0)),0))</f>
        <v/>
      </c>
      <c r="V58" s="37" t="str">
        <f aca="false">IF(I58="","",Q58+R58+S58+U58)</f>
        <v/>
      </c>
      <c r="W58" s="22"/>
      <c r="X58" s="22"/>
      <c r="Y58" s="22"/>
    </row>
    <row r="59" customFormat="false" ht="15" hidden="false" customHeight="false" outlineLevel="0" collapsed="false">
      <c r="A59" s="24" t="str">
        <f aca="false">IF(B59="","",ROW()-4)</f>
        <v/>
      </c>
      <c r="B59" s="22"/>
      <c r="C59" s="24" t="str">
        <f aca="false">IF(B59="","",IFERROR(INDEX(NV_TEN,MATCH(B59,NV_MA,0)),"MÃ KHÔNG CÓ"))</f>
        <v/>
      </c>
      <c r="D59" s="46"/>
      <c r="E59" s="46"/>
      <c r="F59" s="24" t="str">
        <f aca="false">IF(OR(D59="",E59=""),"",E59-D59+1)</f>
        <v/>
      </c>
      <c r="G59" s="22"/>
      <c r="H59" s="22"/>
      <c r="I59" s="22"/>
      <c r="J59" s="24" t="str">
        <f aca="false">IF(I59="","",IFERROR(INDEX(TUYEN_MOTA,MATCH(I59,TUYEN_MA,0)),"TUYẾN KHÔNG CÓ"))</f>
        <v/>
      </c>
      <c r="K59" s="22"/>
      <c r="L59" s="22"/>
      <c r="M59" s="22"/>
      <c r="N59" s="22"/>
      <c r="O59" s="24" t="str">
        <f aca="false">IF(I59="","",IFERROR(INDEX(TUYEN_NGAY,MATCH(I59,TUYEN_MA,0)),0))</f>
        <v/>
      </c>
      <c r="P59" s="24" t="str">
        <f aca="false">IF(OR(F59="",O59=""),"",MAX(0,F59-O59))</f>
        <v/>
      </c>
      <c r="Q59" s="20" t="str">
        <f aca="false">IF(I59="","",IFERROR(INDEX(TUYEN_DG,MATCH(I59,TUYEN_MA,0)),0))</f>
        <v/>
      </c>
      <c r="R59" s="20" t="str">
        <f aca="false">IF(P59="","",P59*HT_VUOTNGAY)</f>
        <v/>
      </c>
      <c r="S59" s="20" t="str">
        <f aca="false">IF(I59="","",(N(K59)+N(L59))*HT_DAU_KM)</f>
        <v/>
      </c>
      <c r="T59" s="22"/>
      <c r="U59" s="20" t="str">
        <f aca="false">IF(I59="","",N(T59)*IFERROR(INDEX(TUYEN_HTVC,MATCH(I59,TUYEN_MA,0)),0))</f>
        <v/>
      </c>
      <c r="V59" s="37" t="str">
        <f aca="false">IF(I59="","",Q59+R59+S59+U59)</f>
        <v/>
      </c>
      <c r="W59" s="22"/>
      <c r="X59" s="22"/>
      <c r="Y59" s="22"/>
    </row>
    <row r="60" customFormat="false" ht="15" hidden="false" customHeight="false" outlineLevel="0" collapsed="false">
      <c r="A60" s="24" t="str">
        <f aca="false">IF(B60="","",ROW()-4)</f>
        <v/>
      </c>
      <c r="B60" s="22"/>
      <c r="C60" s="24" t="str">
        <f aca="false">IF(B60="","",IFERROR(INDEX(NV_TEN,MATCH(B60,NV_MA,0)),"MÃ KHÔNG CÓ"))</f>
        <v/>
      </c>
      <c r="D60" s="46"/>
      <c r="E60" s="46"/>
      <c r="F60" s="24" t="str">
        <f aca="false">IF(OR(D60="",E60=""),"",E60-D60+1)</f>
        <v/>
      </c>
      <c r="G60" s="22"/>
      <c r="H60" s="22"/>
      <c r="I60" s="22"/>
      <c r="J60" s="24" t="str">
        <f aca="false">IF(I60="","",IFERROR(INDEX(TUYEN_MOTA,MATCH(I60,TUYEN_MA,0)),"TUYẾN KHÔNG CÓ"))</f>
        <v/>
      </c>
      <c r="K60" s="22"/>
      <c r="L60" s="22"/>
      <c r="M60" s="22"/>
      <c r="N60" s="22"/>
      <c r="O60" s="24" t="str">
        <f aca="false">IF(I60="","",IFERROR(INDEX(TUYEN_NGAY,MATCH(I60,TUYEN_MA,0)),0))</f>
        <v/>
      </c>
      <c r="P60" s="24" t="str">
        <f aca="false">IF(OR(F60="",O60=""),"",MAX(0,F60-O60))</f>
        <v/>
      </c>
      <c r="Q60" s="20" t="str">
        <f aca="false">IF(I60="","",IFERROR(INDEX(TUYEN_DG,MATCH(I60,TUYEN_MA,0)),0))</f>
        <v/>
      </c>
      <c r="R60" s="20" t="str">
        <f aca="false">IF(P60="","",P60*HT_VUOTNGAY)</f>
        <v/>
      </c>
      <c r="S60" s="20" t="str">
        <f aca="false">IF(I60="","",(N(K60)+N(L60))*HT_DAU_KM)</f>
        <v/>
      </c>
      <c r="T60" s="22"/>
      <c r="U60" s="20" t="str">
        <f aca="false">IF(I60="","",N(T60)*IFERROR(INDEX(TUYEN_HTVC,MATCH(I60,TUYEN_MA,0)),0))</f>
        <v/>
      </c>
      <c r="V60" s="37" t="str">
        <f aca="false">IF(I60="","",Q60+R60+S60+U60)</f>
        <v/>
      </c>
      <c r="W60" s="22"/>
      <c r="X60" s="22"/>
      <c r="Y60" s="22"/>
    </row>
    <row r="61" customFormat="false" ht="15" hidden="false" customHeight="false" outlineLevel="0" collapsed="false">
      <c r="A61" s="24" t="str">
        <f aca="false">IF(B61="","",ROW()-4)</f>
        <v/>
      </c>
      <c r="B61" s="22"/>
      <c r="C61" s="24" t="str">
        <f aca="false">IF(B61="","",IFERROR(INDEX(NV_TEN,MATCH(B61,NV_MA,0)),"MÃ KHÔNG CÓ"))</f>
        <v/>
      </c>
      <c r="D61" s="46"/>
      <c r="E61" s="46"/>
      <c r="F61" s="24" t="str">
        <f aca="false">IF(OR(D61="",E61=""),"",E61-D61+1)</f>
        <v/>
      </c>
      <c r="G61" s="22"/>
      <c r="H61" s="22"/>
      <c r="I61" s="22"/>
      <c r="J61" s="24" t="str">
        <f aca="false">IF(I61="","",IFERROR(INDEX(TUYEN_MOTA,MATCH(I61,TUYEN_MA,0)),"TUYẾN KHÔNG CÓ"))</f>
        <v/>
      </c>
      <c r="K61" s="22"/>
      <c r="L61" s="22"/>
      <c r="M61" s="22"/>
      <c r="N61" s="22"/>
      <c r="O61" s="24" t="str">
        <f aca="false">IF(I61="","",IFERROR(INDEX(TUYEN_NGAY,MATCH(I61,TUYEN_MA,0)),0))</f>
        <v/>
      </c>
      <c r="P61" s="24" t="str">
        <f aca="false">IF(OR(F61="",O61=""),"",MAX(0,F61-O61))</f>
        <v/>
      </c>
      <c r="Q61" s="20" t="str">
        <f aca="false">IF(I61="","",IFERROR(INDEX(TUYEN_DG,MATCH(I61,TUYEN_MA,0)),0))</f>
        <v/>
      </c>
      <c r="R61" s="20" t="str">
        <f aca="false">IF(P61="","",P61*HT_VUOTNGAY)</f>
        <v/>
      </c>
      <c r="S61" s="20" t="str">
        <f aca="false">IF(I61="","",(N(K61)+N(L61))*HT_DAU_KM)</f>
        <v/>
      </c>
      <c r="T61" s="22"/>
      <c r="U61" s="20" t="str">
        <f aca="false">IF(I61="","",N(T61)*IFERROR(INDEX(TUYEN_HTVC,MATCH(I61,TUYEN_MA,0)),0))</f>
        <v/>
      </c>
      <c r="V61" s="37" t="str">
        <f aca="false">IF(I61="","",Q61+R61+S61+U61)</f>
        <v/>
      </c>
      <c r="W61" s="22"/>
      <c r="X61" s="22"/>
      <c r="Y61" s="22"/>
    </row>
    <row r="62" customFormat="false" ht="15" hidden="false" customHeight="false" outlineLevel="0" collapsed="false">
      <c r="A62" s="24" t="str">
        <f aca="false">IF(B62="","",ROW()-4)</f>
        <v/>
      </c>
      <c r="B62" s="22"/>
      <c r="C62" s="24" t="str">
        <f aca="false">IF(B62="","",IFERROR(INDEX(NV_TEN,MATCH(B62,NV_MA,0)),"MÃ KHÔNG CÓ"))</f>
        <v/>
      </c>
      <c r="D62" s="46"/>
      <c r="E62" s="46"/>
      <c r="F62" s="24" t="str">
        <f aca="false">IF(OR(D62="",E62=""),"",E62-D62+1)</f>
        <v/>
      </c>
      <c r="G62" s="22"/>
      <c r="H62" s="22"/>
      <c r="I62" s="22"/>
      <c r="J62" s="24" t="str">
        <f aca="false">IF(I62="","",IFERROR(INDEX(TUYEN_MOTA,MATCH(I62,TUYEN_MA,0)),"TUYẾN KHÔNG CÓ"))</f>
        <v/>
      </c>
      <c r="K62" s="22"/>
      <c r="L62" s="22"/>
      <c r="M62" s="22"/>
      <c r="N62" s="22"/>
      <c r="O62" s="24" t="str">
        <f aca="false">IF(I62="","",IFERROR(INDEX(TUYEN_NGAY,MATCH(I62,TUYEN_MA,0)),0))</f>
        <v/>
      </c>
      <c r="P62" s="24" t="str">
        <f aca="false">IF(OR(F62="",O62=""),"",MAX(0,F62-O62))</f>
        <v/>
      </c>
      <c r="Q62" s="20" t="str">
        <f aca="false">IF(I62="","",IFERROR(INDEX(TUYEN_DG,MATCH(I62,TUYEN_MA,0)),0))</f>
        <v/>
      </c>
      <c r="R62" s="20" t="str">
        <f aca="false">IF(P62="","",P62*HT_VUOTNGAY)</f>
        <v/>
      </c>
      <c r="S62" s="20" t="str">
        <f aca="false">IF(I62="","",(N(K62)+N(L62))*HT_DAU_KM)</f>
        <v/>
      </c>
      <c r="T62" s="22"/>
      <c r="U62" s="20" t="str">
        <f aca="false">IF(I62="","",N(T62)*IFERROR(INDEX(TUYEN_HTVC,MATCH(I62,TUYEN_MA,0)),0))</f>
        <v/>
      </c>
      <c r="V62" s="37" t="str">
        <f aca="false">IF(I62="","",Q62+R62+S62+U62)</f>
        <v/>
      </c>
      <c r="W62" s="22"/>
      <c r="X62" s="22"/>
      <c r="Y62" s="22"/>
    </row>
    <row r="63" customFormat="false" ht="15" hidden="false" customHeight="false" outlineLevel="0" collapsed="false">
      <c r="A63" s="24" t="str">
        <f aca="false">IF(B63="","",ROW()-4)</f>
        <v/>
      </c>
      <c r="B63" s="22"/>
      <c r="C63" s="24" t="str">
        <f aca="false">IF(B63="","",IFERROR(INDEX(NV_TEN,MATCH(B63,NV_MA,0)),"MÃ KHÔNG CÓ"))</f>
        <v/>
      </c>
      <c r="D63" s="46"/>
      <c r="E63" s="46"/>
      <c r="F63" s="24" t="str">
        <f aca="false">IF(OR(D63="",E63=""),"",E63-D63+1)</f>
        <v/>
      </c>
      <c r="G63" s="22"/>
      <c r="H63" s="22"/>
      <c r="I63" s="22"/>
      <c r="J63" s="24" t="str">
        <f aca="false">IF(I63="","",IFERROR(INDEX(TUYEN_MOTA,MATCH(I63,TUYEN_MA,0)),"TUYẾN KHÔNG CÓ"))</f>
        <v/>
      </c>
      <c r="K63" s="22"/>
      <c r="L63" s="22"/>
      <c r="M63" s="22"/>
      <c r="N63" s="22"/>
      <c r="O63" s="24" t="str">
        <f aca="false">IF(I63="","",IFERROR(INDEX(TUYEN_NGAY,MATCH(I63,TUYEN_MA,0)),0))</f>
        <v/>
      </c>
      <c r="P63" s="24" t="str">
        <f aca="false">IF(OR(F63="",O63=""),"",MAX(0,F63-O63))</f>
        <v/>
      </c>
      <c r="Q63" s="20" t="str">
        <f aca="false">IF(I63="","",IFERROR(INDEX(TUYEN_DG,MATCH(I63,TUYEN_MA,0)),0))</f>
        <v/>
      </c>
      <c r="R63" s="20" t="str">
        <f aca="false">IF(P63="","",P63*HT_VUOTNGAY)</f>
        <v/>
      </c>
      <c r="S63" s="20" t="str">
        <f aca="false">IF(I63="","",(N(K63)+N(L63))*HT_DAU_KM)</f>
        <v/>
      </c>
      <c r="T63" s="22"/>
      <c r="U63" s="20" t="str">
        <f aca="false">IF(I63="","",N(T63)*IFERROR(INDEX(TUYEN_HTVC,MATCH(I63,TUYEN_MA,0)),0))</f>
        <v/>
      </c>
      <c r="V63" s="37" t="str">
        <f aca="false">IF(I63="","",Q63+R63+S63+U63)</f>
        <v/>
      </c>
      <c r="W63" s="22"/>
      <c r="X63" s="22"/>
      <c r="Y63" s="22"/>
    </row>
    <row r="64" customFormat="false" ht="15" hidden="false" customHeight="false" outlineLevel="0" collapsed="false">
      <c r="A64" s="24" t="str">
        <f aca="false">IF(B64="","",ROW()-4)</f>
        <v/>
      </c>
      <c r="B64" s="22"/>
      <c r="C64" s="24" t="str">
        <f aca="false">IF(B64="","",IFERROR(INDEX(NV_TEN,MATCH(B64,NV_MA,0)),"MÃ KHÔNG CÓ"))</f>
        <v/>
      </c>
      <c r="D64" s="46"/>
      <c r="E64" s="46"/>
      <c r="F64" s="24" t="str">
        <f aca="false">IF(OR(D64="",E64=""),"",E64-D64+1)</f>
        <v/>
      </c>
      <c r="G64" s="22"/>
      <c r="H64" s="22"/>
      <c r="I64" s="22"/>
      <c r="J64" s="24" t="str">
        <f aca="false">IF(I64="","",IFERROR(INDEX(TUYEN_MOTA,MATCH(I64,TUYEN_MA,0)),"TUYẾN KHÔNG CÓ"))</f>
        <v/>
      </c>
      <c r="K64" s="22"/>
      <c r="L64" s="22"/>
      <c r="M64" s="22"/>
      <c r="N64" s="22"/>
      <c r="O64" s="24" t="str">
        <f aca="false">IF(I64="","",IFERROR(INDEX(TUYEN_NGAY,MATCH(I64,TUYEN_MA,0)),0))</f>
        <v/>
      </c>
      <c r="P64" s="24" t="str">
        <f aca="false">IF(OR(F64="",O64=""),"",MAX(0,F64-O64))</f>
        <v/>
      </c>
      <c r="Q64" s="20" t="str">
        <f aca="false">IF(I64="","",IFERROR(INDEX(TUYEN_DG,MATCH(I64,TUYEN_MA,0)),0))</f>
        <v/>
      </c>
      <c r="R64" s="20" t="str">
        <f aca="false">IF(P64="","",P64*HT_VUOTNGAY)</f>
        <v/>
      </c>
      <c r="S64" s="20" t="str">
        <f aca="false">IF(I64="","",(N(K64)+N(L64))*HT_DAU_KM)</f>
        <v/>
      </c>
      <c r="T64" s="22"/>
      <c r="U64" s="20" t="str">
        <f aca="false">IF(I64="","",N(T64)*IFERROR(INDEX(TUYEN_HTVC,MATCH(I64,TUYEN_MA,0)),0))</f>
        <v/>
      </c>
      <c r="V64" s="37" t="str">
        <f aca="false">IF(I64="","",Q64+R64+S64+U64)</f>
        <v/>
      </c>
      <c r="W64" s="22"/>
      <c r="X64" s="22"/>
      <c r="Y64" s="22"/>
    </row>
    <row r="65" customFormat="false" ht="15" hidden="false" customHeight="false" outlineLevel="0" collapsed="false">
      <c r="A65" s="24" t="str">
        <f aca="false">IF(B65="","",ROW()-4)</f>
        <v/>
      </c>
      <c r="B65" s="22"/>
      <c r="C65" s="24" t="str">
        <f aca="false">IF(B65="","",IFERROR(INDEX(NV_TEN,MATCH(B65,NV_MA,0)),"MÃ KHÔNG CÓ"))</f>
        <v/>
      </c>
      <c r="D65" s="46"/>
      <c r="E65" s="46"/>
      <c r="F65" s="24" t="str">
        <f aca="false">IF(OR(D65="",E65=""),"",E65-D65+1)</f>
        <v/>
      </c>
      <c r="G65" s="22"/>
      <c r="H65" s="22"/>
      <c r="I65" s="22"/>
      <c r="J65" s="24" t="str">
        <f aca="false">IF(I65="","",IFERROR(INDEX(TUYEN_MOTA,MATCH(I65,TUYEN_MA,0)),"TUYẾN KHÔNG CÓ"))</f>
        <v/>
      </c>
      <c r="K65" s="22"/>
      <c r="L65" s="22"/>
      <c r="M65" s="22"/>
      <c r="N65" s="22"/>
      <c r="O65" s="24" t="str">
        <f aca="false">IF(I65="","",IFERROR(INDEX(TUYEN_NGAY,MATCH(I65,TUYEN_MA,0)),0))</f>
        <v/>
      </c>
      <c r="P65" s="24" t="str">
        <f aca="false">IF(OR(F65="",O65=""),"",MAX(0,F65-O65))</f>
        <v/>
      </c>
      <c r="Q65" s="20" t="str">
        <f aca="false">IF(I65="","",IFERROR(INDEX(TUYEN_DG,MATCH(I65,TUYEN_MA,0)),0))</f>
        <v/>
      </c>
      <c r="R65" s="20" t="str">
        <f aca="false">IF(P65="","",P65*HT_VUOTNGAY)</f>
        <v/>
      </c>
      <c r="S65" s="20" t="str">
        <f aca="false">IF(I65="","",(N(K65)+N(L65))*HT_DAU_KM)</f>
        <v/>
      </c>
      <c r="T65" s="22"/>
      <c r="U65" s="20" t="str">
        <f aca="false">IF(I65="","",N(T65)*IFERROR(INDEX(TUYEN_HTVC,MATCH(I65,TUYEN_MA,0)),0))</f>
        <v/>
      </c>
      <c r="V65" s="37" t="str">
        <f aca="false">IF(I65="","",Q65+R65+S65+U65)</f>
        <v/>
      </c>
      <c r="W65" s="22"/>
      <c r="X65" s="22"/>
      <c r="Y65" s="22"/>
    </row>
    <row r="66" customFormat="false" ht="15" hidden="false" customHeight="false" outlineLevel="0" collapsed="false">
      <c r="A66" s="24" t="str">
        <f aca="false">IF(B66="","",ROW()-4)</f>
        <v/>
      </c>
      <c r="B66" s="22"/>
      <c r="C66" s="24" t="str">
        <f aca="false">IF(B66="","",IFERROR(INDEX(NV_TEN,MATCH(B66,NV_MA,0)),"MÃ KHÔNG CÓ"))</f>
        <v/>
      </c>
      <c r="D66" s="46"/>
      <c r="E66" s="46"/>
      <c r="F66" s="24" t="str">
        <f aca="false">IF(OR(D66="",E66=""),"",E66-D66+1)</f>
        <v/>
      </c>
      <c r="G66" s="22"/>
      <c r="H66" s="22"/>
      <c r="I66" s="22"/>
      <c r="J66" s="24" t="str">
        <f aca="false">IF(I66="","",IFERROR(INDEX(TUYEN_MOTA,MATCH(I66,TUYEN_MA,0)),"TUYẾN KHÔNG CÓ"))</f>
        <v/>
      </c>
      <c r="K66" s="22"/>
      <c r="L66" s="22"/>
      <c r="M66" s="22"/>
      <c r="N66" s="22"/>
      <c r="O66" s="24" t="str">
        <f aca="false">IF(I66="","",IFERROR(INDEX(TUYEN_NGAY,MATCH(I66,TUYEN_MA,0)),0))</f>
        <v/>
      </c>
      <c r="P66" s="24" t="str">
        <f aca="false">IF(OR(F66="",O66=""),"",MAX(0,F66-O66))</f>
        <v/>
      </c>
      <c r="Q66" s="20" t="str">
        <f aca="false">IF(I66="","",IFERROR(INDEX(TUYEN_DG,MATCH(I66,TUYEN_MA,0)),0))</f>
        <v/>
      </c>
      <c r="R66" s="20" t="str">
        <f aca="false">IF(P66="","",P66*HT_VUOTNGAY)</f>
        <v/>
      </c>
      <c r="S66" s="20" t="str">
        <f aca="false">IF(I66="","",(N(K66)+N(L66))*HT_DAU_KM)</f>
        <v/>
      </c>
      <c r="T66" s="22"/>
      <c r="U66" s="20" t="str">
        <f aca="false">IF(I66="","",N(T66)*IFERROR(INDEX(TUYEN_HTVC,MATCH(I66,TUYEN_MA,0)),0))</f>
        <v/>
      </c>
      <c r="V66" s="37" t="str">
        <f aca="false">IF(I66="","",Q66+R66+S66+U66)</f>
        <v/>
      </c>
      <c r="W66" s="22"/>
      <c r="X66" s="22"/>
      <c r="Y66" s="22"/>
    </row>
    <row r="67" customFormat="false" ht="15" hidden="false" customHeight="false" outlineLevel="0" collapsed="false">
      <c r="A67" s="24" t="str">
        <f aca="false">IF(B67="","",ROW()-4)</f>
        <v/>
      </c>
      <c r="B67" s="22"/>
      <c r="C67" s="24" t="str">
        <f aca="false">IF(B67="","",IFERROR(INDEX(NV_TEN,MATCH(B67,NV_MA,0)),"MÃ KHÔNG CÓ"))</f>
        <v/>
      </c>
      <c r="D67" s="46"/>
      <c r="E67" s="46"/>
      <c r="F67" s="24" t="str">
        <f aca="false">IF(OR(D67="",E67=""),"",E67-D67+1)</f>
        <v/>
      </c>
      <c r="G67" s="22"/>
      <c r="H67" s="22"/>
      <c r="I67" s="22"/>
      <c r="J67" s="24" t="str">
        <f aca="false">IF(I67="","",IFERROR(INDEX(TUYEN_MOTA,MATCH(I67,TUYEN_MA,0)),"TUYẾN KHÔNG CÓ"))</f>
        <v/>
      </c>
      <c r="K67" s="22"/>
      <c r="L67" s="22"/>
      <c r="M67" s="22"/>
      <c r="N67" s="22"/>
      <c r="O67" s="24" t="str">
        <f aca="false">IF(I67="","",IFERROR(INDEX(TUYEN_NGAY,MATCH(I67,TUYEN_MA,0)),0))</f>
        <v/>
      </c>
      <c r="P67" s="24" t="str">
        <f aca="false">IF(OR(F67="",O67=""),"",MAX(0,F67-O67))</f>
        <v/>
      </c>
      <c r="Q67" s="20" t="str">
        <f aca="false">IF(I67="","",IFERROR(INDEX(TUYEN_DG,MATCH(I67,TUYEN_MA,0)),0))</f>
        <v/>
      </c>
      <c r="R67" s="20" t="str">
        <f aca="false">IF(P67="","",P67*HT_VUOTNGAY)</f>
        <v/>
      </c>
      <c r="S67" s="20" t="str">
        <f aca="false">IF(I67="","",(N(K67)+N(L67))*HT_DAU_KM)</f>
        <v/>
      </c>
      <c r="T67" s="22"/>
      <c r="U67" s="20" t="str">
        <f aca="false">IF(I67="","",N(T67)*IFERROR(INDEX(TUYEN_HTVC,MATCH(I67,TUYEN_MA,0)),0))</f>
        <v/>
      </c>
      <c r="V67" s="37" t="str">
        <f aca="false">IF(I67="","",Q67+R67+S67+U67)</f>
        <v/>
      </c>
      <c r="W67" s="22"/>
      <c r="X67" s="22"/>
      <c r="Y67" s="22"/>
    </row>
    <row r="68" customFormat="false" ht="15" hidden="false" customHeight="false" outlineLevel="0" collapsed="false">
      <c r="A68" s="24" t="str">
        <f aca="false">IF(B68="","",ROW()-4)</f>
        <v/>
      </c>
      <c r="B68" s="22"/>
      <c r="C68" s="24" t="str">
        <f aca="false">IF(B68="","",IFERROR(INDEX(NV_TEN,MATCH(B68,NV_MA,0)),"MÃ KHÔNG CÓ"))</f>
        <v/>
      </c>
      <c r="D68" s="46"/>
      <c r="E68" s="46"/>
      <c r="F68" s="24" t="str">
        <f aca="false">IF(OR(D68="",E68=""),"",E68-D68+1)</f>
        <v/>
      </c>
      <c r="G68" s="22"/>
      <c r="H68" s="22"/>
      <c r="I68" s="22"/>
      <c r="J68" s="24" t="str">
        <f aca="false">IF(I68="","",IFERROR(INDEX(TUYEN_MOTA,MATCH(I68,TUYEN_MA,0)),"TUYẾN KHÔNG CÓ"))</f>
        <v/>
      </c>
      <c r="K68" s="22"/>
      <c r="L68" s="22"/>
      <c r="M68" s="22"/>
      <c r="N68" s="22"/>
      <c r="O68" s="24" t="str">
        <f aca="false">IF(I68="","",IFERROR(INDEX(TUYEN_NGAY,MATCH(I68,TUYEN_MA,0)),0))</f>
        <v/>
      </c>
      <c r="P68" s="24" t="str">
        <f aca="false">IF(OR(F68="",O68=""),"",MAX(0,F68-O68))</f>
        <v/>
      </c>
      <c r="Q68" s="20" t="str">
        <f aca="false">IF(I68="","",IFERROR(INDEX(TUYEN_DG,MATCH(I68,TUYEN_MA,0)),0))</f>
        <v/>
      </c>
      <c r="R68" s="20" t="str">
        <f aca="false">IF(P68="","",P68*HT_VUOTNGAY)</f>
        <v/>
      </c>
      <c r="S68" s="20" t="str">
        <f aca="false">IF(I68="","",(N(K68)+N(L68))*HT_DAU_KM)</f>
        <v/>
      </c>
      <c r="T68" s="22"/>
      <c r="U68" s="20" t="str">
        <f aca="false">IF(I68="","",N(T68)*IFERROR(INDEX(TUYEN_HTVC,MATCH(I68,TUYEN_MA,0)),0))</f>
        <v/>
      </c>
      <c r="V68" s="37" t="str">
        <f aca="false">IF(I68="","",Q68+R68+S68+U68)</f>
        <v/>
      </c>
      <c r="W68" s="22"/>
      <c r="X68" s="22"/>
      <c r="Y68" s="22"/>
    </row>
    <row r="69" customFormat="false" ht="15" hidden="false" customHeight="false" outlineLevel="0" collapsed="false">
      <c r="A69" s="24" t="str">
        <f aca="false">IF(B69="","",ROW()-4)</f>
        <v/>
      </c>
      <c r="B69" s="22"/>
      <c r="C69" s="24" t="str">
        <f aca="false">IF(B69="","",IFERROR(INDEX(NV_TEN,MATCH(B69,NV_MA,0)),"MÃ KHÔNG CÓ"))</f>
        <v/>
      </c>
      <c r="D69" s="46"/>
      <c r="E69" s="46"/>
      <c r="F69" s="24" t="str">
        <f aca="false">IF(OR(D69="",E69=""),"",E69-D69+1)</f>
        <v/>
      </c>
      <c r="G69" s="22"/>
      <c r="H69" s="22"/>
      <c r="I69" s="22"/>
      <c r="J69" s="24" t="str">
        <f aca="false">IF(I69="","",IFERROR(INDEX(TUYEN_MOTA,MATCH(I69,TUYEN_MA,0)),"TUYẾN KHÔNG CÓ"))</f>
        <v/>
      </c>
      <c r="K69" s="22"/>
      <c r="L69" s="22"/>
      <c r="M69" s="22"/>
      <c r="N69" s="22"/>
      <c r="O69" s="24" t="str">
        <f aca="false">IF(I69="","",IFERROR(INDEX(TUYEN_NGAY,MATCH(I69,TUYEN_MA,0)),0))</f>
        <v/>
      </c>
      <c r="P69" s="24" t="str">
        <f aca="false">IF(OR(F69="",O69=""),"",MAX(0,F69-O69))</f>
        <v/>
      </c>
      <c r="Q69" s="20" t="str">
        <f aca="false">IF(I69="","",IFERROR(INDEX(TUYEN_DG,MATCH(I69,TUYEN_MA,0)),0))</f>
        <v/>
      </c>
      <c r="R69" s="20" t="str">
        <f aca="false">IF(P69="","",P69*HT_VUOTNGAY)</f>
        <v/>
      </c>
      <c r="S69" s="20" t="str">
        <f aca="false">IF(I69="","",(N(K69)+N(L69))*HT_DAU_KM)</f>
        <v/>
      </c>
      <c r="T69" s="22"/>
      <c r="U69" s="20" t="str">
        <f aca="false">IF(I69="","",N(T69)*IFERROR(INDEX(TUYEN_HTVC,MATCH(I69,TUYEN_MA,0)),0))</f>
        <v/>
      </c>
      <c r="V69" s="37" t="str">
        <f aca="false">IF(I69="","",Q69+R69+S69+U69)</f>
        <v/>
      </c>
      <c r="W69" s="22"/>
      <c r="X69" s="22"/>
      <c r="Y69" s="22"/>
    </row>
    <row r="70" customFormat="false" ht="15" hidden="false" customHeight="false" outlineLevel="0" collapsed="false">
      <c r="A70" s="24" t="str">
        <f aca="false">IF(B70="","",ROW()-4)</f>
        <v/>
      </c>
      <c r="B70" s="22"/>
      <c r="C70" s="24" t="str">
        <f aca="false">IF(B70="","",IFERROR(INDEX(NV_TEN,MATCH(B70,NV_MA,0)),"MÃ KHÔNG CÓ"))</f>
        <v/>
      </c>
      <c r="D70" s="46"/>
      <c r="E70" s="46"/>
      <c r="F70" s="24" t="str">
        <f aca="false">IF(OR(D70="",E70=""),"",E70-D70+1)</f>
        <v/>
      </c>
      <c r="G70" s="22"/>
      <c r="H70" s="22"/>
      <c r="I70" s="22"/>
      <c r="J70" s="24" t="str">
        <f aca="false">IF(I70="","",IFERROR(INDEX(TUYEN_MOTA,MATCH(I70,TUYEN_MA,0)),"TUYẾN KHÔNG CÓ"))</f>
        <v/>
      </c>
      <c r="K70" s="22"/>
      <c r="L70" s="22"/>
      <c r="M70" s="22"/>
      <c r="N70" s="22"/>
      <c r="O70" s="24" t="str">
        <f aca="false">IF(I70="","",IFERROR(INDEX(TUYEN_NGAY,MATCH(I70,TUYEN_MA,0)),0))</f>
        <v/>
      </c>
      <c r="P70" s="24" t="str">
        <f aca="false">IF(OR(F70="",O70=""),"",MAX(0,F70-O70))</f>
        <v/>
      </c>
      <c r="Q70" s="20" t="str">
        <f aca="false">IF(I70="","",IFERROR(INDEX(TUYEN_DG,MATCH(I70,TUYEN_MA,0)),0))</f>
        <v/>
      </c>
      <c r="R70" s="20" t="str">
        <f aca="false">IF(P70="","",P70*HT_VUOTNGAY)</f>
        <v/>
      </c>
      <c r="S70" s="20" t="str">
        <f aca="false">IF(I70="","",(N(K70)+N(L70))*HT_DAU_KM)</f>
        <v/>
      </c>
      <c r="T70" s="22"/>
      <c r="U70" s="20" t="str">
        <f aca="false">IF(I70="","",N(T70)*IFERROR(INDEX(TUYEN_HTVC,MATCH(I70,TUYEN_MA,0)),0))</f>
        <v/>
      </c>
      <c r="V70" s="37" t="str">
        <f aca="false">IF(I70="","",Q70+R70+S70+U70)</f>
        <v/>
      </c>
      <c r="W70" s="22"/>
      <c r="X70" s="22"/>
      <c r="Y70" s="22"/>
    </row>
    <row r="71" customFormat="false" ht="15" hidden="false" customHeight="false" outlineLevel="0" collapsed="false">
      <c r="A71" s="24" t="str">
        <f aca="false">IF(B71="","",ROW()-4)</f>
        <v/>
      </c>
      <c r="B71" s="22"/>
      <c r="C71" s="24" t="str">
        <f aca="false">IF(B71="","",IFERROR(INDEX(NV_TEN,MATCH(B71,NV_MA,0)),"MÃ KHÔNG CÓ"))</f>
        <v/>
      </c>
      <c r="D71" s="46"/>
      <c r="E71" s="46"/>
      <c r="F71" s="24" t="str">
        <f aca="false">IF(OR(D71="",E71=""),"",E71-D71+1)</f>
        <v/>
      </c>
      <c r="G71" s="22"/>
      <c r="H71" s="22"/>
      <c r="I71" s="22"/>
      <c r="J71" s="24" t="str">
        <f aca="false">IF(I71="","",IFERROR(INDEX(TUYEN_MOTA,MATCH(I71,TUYEN_MA,0)),"TUYẾN KHÔNG CÓ"))</f>
        <v/>
      </c>
      <c r="K71" s="22"/>
      <c r="L71" s="22"/>
      <c r="M71" s="22"/>
      <c r="N71" s="22"/>
      <c r="O71" s="24" t="str">
        <f aca="false">IF(I71="","",IFERROR(INDEX(TUYEN_NGAY,MATCH(I71,TUYEN_MA,0)),0))</f>
        <v/>
      </c>
      <c r="P71" s="24" t="str">
        <f aca="false">IF(OR(F71="",O71=""),"",MAX(0,F71-O71))</f>
        <v/>
      </c>
      <c r="Q71" s="20" t="str">
        <f aca="false">IF(I71="","",IFERROR(INDEX(TUYEN_DG,MATCH(I71,TUYEN_MA,0)),0))</f>
        <v/>
      </c>
      <c r="R71" s="20" t="str">
        <f aca="false">IF(P71="","",P71*HT_VUOTNGAY)</f>
        <v/>
      </c>
      <c r="S71" s="20" t="str">
        <f aca="false">IF(I71="","",(N(K71)+N(L71))*HT_DAU_KM)</f>
        <v/>
      </c>
      <c r="T71" s="22"/>
      <c r="U71" s="20" t="str">
        <f aca="false">IF(I71="","",N(T71)*IFERROR(INDEX(TUYEN_HTVC,MATCH(I71,TUYEN_MA,0)),0))</f>
        <v/>
      </c>
      <c r="V71" s="37" t="str">
        <f aca="false">IF(I71="","",Q71+R71+S71+U71)</f>
        <v/>
      </c>
      <c r="W71" s="22"/>
      <c r="X71" s="22"/>
      <c r="Y71" s="22"/>
    </row>
    <row r="72" customFormat="false" ht="15" hidden="false" customHeight="false" outlineLevel="0" collapsed="false">
      <c r="A72" s="24" t="str">
        <f aca="false">IF(B72="","",ROW()-4)</f>
        <v/>
      </c>
      <c r="B72" s="22"/>
      <c r="C72" s="24" t="str">
        <f aca="false">IF(B72="","",IFERROR(INDEX(NV_TEN,MATCH(B72,NV_MA,0)),"MÃ KHÔNG CÓ"))</f>
        <v/>
      </c>
      <c r="D72" s="46"/>
      <c r="E72" s="46"/>
      <c r="F72" s="24" t="str">
        <f aca="false">IF(OR(D72="",E72=""),"",E72-D72+1)</f>
        <v/>
      </c>
      <c r="G72" s="22"/>
      <c r="H72" s="22"/>
      <c r="I72" s="22"/>
      <c r="J72" s="24" t="str">
        <f aca="false">IF(I72="","",IFERROR(INDEX(TUYEN_MOTA,MATCH(I72,TUYEN_MA,0)),"TUYẾN KHÔNG CÓ"))</f>
        <v/>
      </c>
      <c r="K72" s="22"/>
      <c r="L72" s="22"/>
      <c r="M72" s="22"/>
      <c r="N72" s="22"/>
      <c r="O72" s="24" t="str">
        <f aca="false">IF(I72="","",IFERROR(INDEX(TUYEN_NGAY,MATCH(I72,TUYEN_MA,0)),0))</f>
        <v/>
      </c>
      <c r="P72" s="24" t="str">
        <f aca="false">IF(OR(F72="",O72=""),"",MAX(0,F72-O72))</f>
        <v/>
      </c>
      <c r="Q72" s="20" t="str">
        <f aca="false">IF(I72="","",IFERROR(INDEX(TUYEN_DG,MATCH(I72,TUYEN_MA,0)),0))</f>
        <v/>
      </c>
      <c r="R72" s="20" t="str">
        <f aca="false">IF(P72="","",P72*HT_VUOTNGAY)</f>
        <v/>
      </c>
      <c r="S72" s="20" t="str">
        <f aca="false">IF(I72="","",(N(K72)+N(L72))*HT_DAU_KM)</f>
        <v/>
      </c>
      <c r="T72" s="22"/>
      <c r="U72" s="20" t="str">
        <f aca="false">IF(I72="","",N(T72)*IFERROR(INDEX(TUYEN_HTVC,MATCH(I72,TUYEN_MA,0)),0))</f>
        <v/>
      </c>
      <c r="V72" s="37" t="str">
        <f aca="false">IF(I72="","",Q72+R72+S72+U72)</f>
        <v/>
      </c>
      <c r="W72" s="22"/>
      <c r="X72" s="22"/>
      <c r="Y72" s="22"/>
    </row>
    <row r="73" customFormat="false" ht="15" hidden="false" customHeight="false" outlineLevel="0" collapsed="false">
      <c r="A73" s="24" t="str">
        <f aca="false">IF(B73="","",ROW()-4)</f>
        <v/>
      </c>
      <c r="B73" s="22"/>
      <c r="C73" s="24" t="str">
        <f aca="false">IF(B73="","",IFERROR(INDEX(NV_TEN,MATCH(B73,NV_MA,0)),"MÃ KHÔNG CÓ"))</f>
        <v/>
      </c>
      <c r="D73" s="46"/>
      <c r="E73" s="46"/>
      <c r="F73" s="24" t="str">
        <f aca="false">IF(OR(D73="",E73=""),"",E73-D73+1)</f>
        <v/>
      </c>
      <c r="G73" s="22"/>
      <c r="H73" s="22"/>
      <c r="I73" s="22"/>
      <c r="J73" s="24" t="str">
        <f aca="false">IF(I73="","",IFERROR(INDEX(TUYEN_MOTA,MATCH(I73,TUYEN_MA,0)),"TUYẾN KHÔNG CÓ"))</f>
        <v/>
      </c>
      <c r="K73" s="22"/>
      <c r="L73" s="22"/>
      <c r="M73" s="22"/>
      <c r="N73" s="22"/>
      <c r="O73" s="24" t="str">
        <f aca="false">IF(I73="","",IFERROR(INDEX(TUYEN_NGAY,MATCH(I73,TUYEN_MA,0)),0))</f>
        <v/>
      </c>
      <c r="P73" s="24" t="str">
        <f aca="false">IF(OR(F73="",O73=""),"",MAX(0,F73-O73))</f>
        <v/>
      </c>
      <c r="Q73" s="20" t="str">
        <f aca="false">IF(I73="","",IFERROR(INDEX(TUYEN_DG,MATCH(I73,TUYEN_MA,0)),0))</f>
        <v/>
      </c>
      <c r="R73" s="20" t="str">
        <f aca="false">IF(P73="","",P73*HT_VUOTNGAY)</f>
        <v/>
      </c>
      <c r="S73" s="20" t="str">
        <f aca="false">IF(I73="","",(N(K73)+N(L73))*HT_DAU_KM)</f>
        <v/>
      </c>
      <c r="T73" s="22"/>
      <c r="U73" s="20" t="str">
        <f aca="false">IF(I73="","",N(T73)*IFERROR(INDEX(TUYEN_HTVC,MATCH(I73,TUYEN_MA,0)),0))</f>
        <v/>
      </c>
      <c r="V73" s="37" t="str">
        <f aca="false">IF(I73="","",Q73+R73+S73+U73)</f>
        <v/>
      </c>
      <c r="W73" s="22"/>
      <c r="X73" s="22"/>
      <c r="Y73" s="22"/>
    </row>
    <row r="74" customFormat="false" ht="15" hidden="false" customHeight="false" outlineLevel="0" collapsed="false">
      <c r="A74" s="24" t="str">
        <f aca="false">IF(B74="","",ROW()-4)</f>
        <v/>
      </c>
      <c r="B74" s="22"/>
      <c r="C74" s="24" t="str">
        <f aca="false">IF(B74="","",IFERROR(INDEX(NV_TEN,MATCH(B74,NV_MA,0)),"MÃ KHÔNG CÓ"))</f>
        <v/>
      </c>
      <c r="D74" s="46"/>
      <c r="E74" s="46"/>
      <c r="F74" s="24" t="str">
        <f aca="false">IF(OR(D74="",E74=""),"",E74-D74+1)</f>
        <v/>
      </c>
      <c r="G74" s="22"/>
      <c r="H74" s="22"/>
      <c r="I74" s="22"/>
      <c r="J74" s="24" t="str">
        <f aca="false">IF(I74="","",IFERROR(INDEX(TUYEN_MOTA,MATCH(I74,TUYEN_MA,0)),"TUYẾN KHÔNG CÓ"))</f>
        <v/>
      </c>
      <c r="K74" s="22"/>
      <c r="L74" s="22"/>
      <c r="M74" s="22"/>
      <c r="N74" s="22"/>
      <c r="O74" s="24" t="str">
        <f aca="false">IF(I74="","",IFERROR(INDEX(TUYEN_NGAY,MATCH(I74,TUYEN_MA,0)),0))</f>
        <v/>
      </c>
      <c r="P74" s="24" t="str">
        <f aca="false">IF(OR(F74="",O74=""),"",MAX(0,F74-O74))</f>
        <v/>
      </c>
      <c r="Q74" s="20" t="str">
        <f aca="false">IF(I74="","",IFERROR(INDEX(TUYEN_DG,MATCH(I74,TUYEN_MA,0)),0))</f>
        <v/>
      </c>
      <c r="R74" s="20" t="str">
        <f aca="false">IF(P74="","",P74*HT_VUOTNGAY)</f>
        <v/>
      </c>
      <c r="S74" s="20" t="str">
        <f aca="false">IF(I74="","",(N(K74)+N(L74))*HT_DAU_KM)</f>
        <v/>
      </c>
      <c r="T74" s="22"/>
      <c r="U74" s="20" t="str">
        <f aca="false">IF(I74="","",N(T74)*IFERROR(INDEX(TUYEN_HTVC,MATCH(I74,TUYEN_MA,0)),0))</f>
        <v/>
      </c>
      <c r="V74" s="37" t="str">
        <f aca="false">IF(I74="","",Q74+R74+S74+U74)</f>
        <v/>
      </c>
      <c r="W74" s="22"/>
      <c r="X74" s="22"/>
      <c r="Y74" s="22"/>
    </row>
    <row r="75" customFormat="false" ht="15" hidden="false" customHeight="false" outlineLevel="0" collapsed="false">
      <c r="A75" s="24" t="str">
        <f aca="false">IF(B75="","",ROW()-4)</f>
        <v/>
      </c>
      <c r="B75" s="22"/>
      <c r="C75" s="24" t="str">
        <f aca="false">IF(B75="","",IFERROR(INDEX(NV_TEN,MATCH(B75,NV_MA,0)),"MÃ KHÔNG CÓ"))</f>
        <v/>
      </c>
      <c r="D75" s="46"/>
      <c r="E75" s="46"/>
      <c r="F75" s="24" t="str">
        <f aca="false">IF(OR(D75="",E75=""),"",E75-D75+1)</f>
        <v/>
      </c>
      <c r="G75" s="22"/>
      <c r="H75" s="22"/>
      <c r="I75" s="22"/>
      <c r="J75" s="24" t="str">
        <f aca="false">IF(I75="","",IFERROR(INDEX(TUYEN_MOTA,MATCH(I75,TUYEN_MA,0)),"TUYẾN KHÔNG CÓ"))</f>
        <v/>
      </c>
      <c r="K75" s="22"/>
      <c r="L75" s="22"/>
      <c r="M75" s="22"/>
      <c r="N75" s="22"/>
      <c r="O75" s="24" t="str">
        <f aca="false">IF(I75="","",IFERROR(INDEX(TUYEN_NGAY,MATCH(I75,TUYEN_MA,0)),0))</f>
        <v/>
      </c>
      <c r="P75" s="24" t="str">
        <f aca="false">IF(OR(F75="",O75=""),"",MAX(0,F75-O75))</f>
        <v/>
      </c>
      <c r="Q75" s="20" t="str">
        <f aca="false">IF(I75="","",IFERROR(INDEX(TUYEN_DG,MATCH(I75,TUYEN_MA,0)),0))</f>
        <v/>
      </c>
      <c r="R75" s="20" t="str">
        <f aca="false">IF(P75="","",P75*HT_VUOTNGAY)</f>
        <v/>
      </c>
      <c r="S75" s="20" t="str">
        <f aca="false">IF(I75="","",(N(K75)+N(L75))*HT_DAU_KM)</f>
        <v/>
      </c>
      <c r="T75" s="22"/>
      <c r="U75" s="20" t="str">
        <f aca="false">IF(I75="","",N(T75)*IFERROR(INDEX(TUYEN_HTVC,MATCH(I75,TUYEN_MA,0)),0))</f>
        <v/>
      </c>
      <c r="V75" s="37" t="str">
        <f aca="false">IF(I75="","",Q75+R75+S75+U75)</f>
        <v/>
      </c>
      <c r="W75" s="22"/>
      <c r="X75" s="22"/>
      <c r="Y75" s="22"/>
    </row>
    <row r="76" customFormat="false" ht="15" hidden="false" customHeight="false" outlineLevel="0" collapsed="false">
      <c r="A76" s="24" t="str">
        <f aca="false">IF(B76="","",ROW()-4)</f>
        <v/>
      </c>
      <c r="B76" s="22"/>
      <c r="C76" s="24" t="str">
        <f aca="false">IF(B76="","",IFERROR(INDEX(NV_TEN,MATCH(B76,NV_MA,0)),"MÃ KHÔNG CÓ"))</f>
        <v/>
      </c>
      <c r="D76" s="46"/>
      <c r="E76" s="46"/>
      <c r="F76" s="24" t="str">
        <f aca="false">IF(OR(D76="",E76=""),"",E76-D76+1)</f>
        <v/>
      </c>
      <c r="G76" s="22"/>
      <c r="H76" s="22"/>
      <c r="I76" s="22"/>
      <c r="J76" s="24" t="str">
        <f aca="false">IF(I76="","",IFERROR(INDEX(TUYEN_MOTA,MATCH(I76,TUYEN_MA,0)),"TUYẾN KHÔNG CÓ"))</f>
        <v/>
      </c>
      <c r="K76" s="22"/>
      <c r="L76" s="22"/>
      <c r="M76" s="22"/>
      <c r="N76" s="22"/>
      <c r="O76" s="24" t="str">
        <f aca="false">IF(I76="","",IFERROR(INDEX(TUYEN_NGAY,MATCH(I76,TUYEN_MA,0)),0))</f>
        <v/>
      </c>
      <c r="P76" s="24" t="str">
        <f aca="false">IF(OR(F76="",O76=""),"",MAX(0,F76-O76))</f>
        <v/>
      </c>
      <c r="Q76" s="20" t="str">
        <f aca="false">IF(I76="","",IFERROR(INDEX(TUYEN_DG,MATCH(I76,TUYEN_MA,0)),0))</f>
        <v/>
      </c>
      <c r="R76" s="20" t="str">
        <f aca="false">IF(P76="","",P76*HT_VUOTNGAY)</f>
        <v/>
      </c>
      <c r="S76" s="20" t="str">
        <f aca="false">IF(I76="","",(N(K76)+N(L76))*HT_DAU_KM)</f>
        <v/>
      </c>
      <c r="T76" s="22"/>
      <c r="U76" s="20" t="str">
        <f aca="false">IF(I76="","",N(T76)*IFERROR(INDEX(TUYEN_HTVC,MATCH(I76,TUYEN_MA,0)),0))</f>
        <v/>
      </c>
      <c r="V76" s="37" t="str">
        <f aca="false">IF(I76="","",Q76+R76+S76+U76)</f>
        <v/>
      </c>
      <c r="W76" s="22"/>
      <c r="X76" s="22"/>
      <c r="Y76" s="22"/>
    </row>
    <row r="77" customFormat="false" ht="15" hidden="false" customHeight="false" outlineLevel="0" collapsed="false">
      <c r="A77" s="24" t="str">
        <f aca="false">IF(B77="","",ROW()-4)</f>
        <v/>
      </c>
      <c r="B77" s="22"/>
      <c r="C77" s="24" t="str">
        <f aca="false">IF(B77="","",IFERROR(INDEX(NV_TEN,MATCH(B77,NV_MA,0)),"MÃ KHÔNG CÓ"))</f>
        <v/>
      </c>
      <c r="D77" s="46"/>
      <c r="E77" s="46"/>
      <c r="F77" s="24" t="str">
        <f aca="false">IF(OR(D77="",E77=""),"",E77-D77+1)</f>
        <v/>
      </c>
      <c r="G77" s="22"/>
      <c r="H77" s="22"/>
      <c r="I77" s="22"/>
      <c r="J77" s="24" t="str">
        <f aca="false">IF(I77="","",IFERROR(INDEX(TUYEN_MOTA,MATCH(I77,TUYEN_MA,0)),"TUYẾN KHÔNG CÓ"))</f>
        <v/>
      </c>
      <c r="K77" s="22"/>
      <c r="L77" s="22"/>
      <c r="M77" s="22"/>
      <c r="N77" s="22"/>
      <c r="O77" s="24" t="str">
        <f aca="false">IF(I77="","",IFERROR(INDEX(TUYEN_NGAY,MATCH(I77,TUYEN_MA,0)),0))</f>
        <v/>
      </c>
      <c r="P77" s="24" t="str">
        <f aca="false">IF(OR(F77="",O77=""),"",MAX(0,F77-O77))</f>
        <v/>
      </c>
      <c r="Q77" s="20" t="str">
        <f aca="false">IF(I77="","",IFERROR(INDEX(TUYEN_DG,MATCH(I77,TUYEN_MA,0)),0))</f>
        <v/>
      </c>
      <c r="R77" s="20" t="str">
        <f aca="false">IF(P77="","",P77*HT_VUOTNGAY)</f>
        <v/>
      </c>
      <c r="S77" s="20" t="str">
        <f aca="false">IF(I77="","",(N(K77)+N(L77))*HT_DAU_KM)</f>
        <v/>
      </c>
      <c r="T77" s="22"/>
      <c r="U77" s="20" t="str">
        <f aca="false">IF(I77="","",N(T77)*IFERROR(INDEX(TUYEN_HTVC,MATCH(I77,TUYEN_MA,0)),0))</f>
        <v/>
      </c>
      <c r="V77" s="37" t="str">
        <f aca="false">IF(I77="","",Q77+R77+S77+U77)</f>
        <v/>
      </c>
      <c r="W77" s="22"/>
      <c r="X77" s="22"/>
      <c r="Y77" s="22"/>
    </row>
    <row r="78" customFormat="false" ht="15" hidden="false" customHeight="false" outlineLevel="0" collapsed="false">
      <c r="A78" s="24" t="str">
        <f aca="false">IF(B78="","",ROW()-4)</f>
        <v/>
      </c>
      <c r="B78" s="22"/>
      <c r="C78" s="24" t="str">
        <f aca="false">IF(B78="","",IFERROR(INDEX(NV_TEN,MATCH(B78,NV_MA,0)),"MÃ KHÔNG CÓ"))</f>
        <v/>
      </c>
      <c r="D78" s="46"/>
      <c r="E78" s="46"/>
      <c r="F78" s="24" t="str">
        <f aca="false">IF(OR(D78="",E78=""),"",E78-D78+1)</f>
        <v/>
      </c>
      <c r="G78" s="22"/>
      <c r="H78" s="22"/>
      <c r="I78" s="22"/>
      <c r="J78" s="24" t="str">
        <f aca="false">IF(I78="","",IFERROR(INDEX(TUYEN_MOTA,MATCH(I78,TUYEN_MA,0)),"TUYẾN KHÔNG CÓ"))</f>
        <v/>
      </c>
      <c r="K78" s="22"/>
      <c r="L78" s="22"/>
      <c r="M78" s="22"/>
      <c r="N78" s="22"/>
      <c r="O78" s="24" t="str">
        <f aca="false">IF(I78="","",IFERROR(INDEX(TUYEN_NGAY,MATCH(I78,TUYEN_MA,0)),0))</f>
        <v/>
      </c>
      <c r="P78" s="24" t="str">
        <f aca="false">IF(OR(F78="",O78=""),"",MAX(0,F78-O78))</f>
        <v/>
      </c>
      <c r="Q78" s="20" t="str">
        <f aca="false">IF(I78="","",IFERROR(INDEX(TUYEN_DG,MATCH(I78,TUYEN_MA,0)),0))</f>
        <v/>
      </c>
      <c r="R78" s="20" t="str">
        <f aca="false">IF(P78="","",P78*HT_VUOTNGAY)</f>
        <v/>
      </c>
      <c r="S78" s="20" t="str">
        <f aca="false">IF(I78="","",(N(K78)+N(L78))*HT_DAU_KM)</f>
        <v/>
      </c>
      <c r="T78" s="22"/>
      <c r="U78" s="20" t="str">
        <f aca="false">IF(I78="","",N(T78)*IFERROR(INDEX(TUYEN_HTVC,MATCH(I78,TUYEN_MA,0)),0))</f>
        <v/>
      </c>
      <c r="V78" s="37" t="str">
        <f aca="false">IF(I78="","",Q78+R78+S78+U78)</f>
        <v/>
      </c>
      <c r="W78" s="22"/>
      <c r="X78" s="22"/>
      <c r="Y78" s="22"/>
    </row>
    <row r="79" customFormat="false" ht="15" hidden="false" customHeight="false" outlineLevel="0" collapsed="false">
      <c r="A79" s="24" t="str">
        <f aca="false">IF(B79="","",ROW()-4)</f>
        <v/>
      </c>
      <c r="B79" s="22"/>
      <c r="C79" s="24" t="str">
        <f aca="false">IF(B79="","",IFERROR(INDEX(NV_TEN,MATCH(B79,NV_MA,0)),"MÃ KHÔNG CÓ"))</f>
        <v/>
      </c>
      <c r="D79" s="46"/>
      <c r="E79" s="46"/>
      <c r="F79" s="24" t="str">
        <f aca="false">IF(OR(D79="",E79=""),"",E79-D79+1)</f>
        <v/>
      </c>
      <c r="G79" s="22"/>
      <c r="H79" s="22"/>
      <c r="I79" s="22"/>
      <c r="J79" s="24" t="str">
        <f aca="false">IF(I79="","",IFERROR(INDEX(TUYEN_MOTA,MATCH(I79,TUYEN_MA,0)),"TUYẾN KHÔNG CÓ"))</f>
        <v/>
      </c>
      <c r="K79" s="22"/>
      <c r="L79" s="22"/>
      <c r="M79" s="22"/>
      <c r="N79" s="22"/>
      <c r="O79" s="24" t="str">
        <f aca="false">IF(I79="","",IFERROR(INDEX(TUYEN_NGAY,MATCH(I79,TUYEN_MA,0)),0))</f>
        <v/>
      </c>
      <c r="P79" s="24" t="str">
        <f aca="false">IF(OR(F79="",O79=""),"",MAX(0,F79-O79))</f>
        <v/>
      </c>
      <c r="Q79" s="20" t="str">
        <f aca="false">IF(I79="","",IFERROR(INDEX(TUYEN_DG,MATCH(I79,TUYEN_MA,0)),0))</f>
        <v/>
      </c>
      <c r="R79" s="20" t="str">
        <f aca="false">IF(P79="","",P79*HT_VUOTNGAY)</f>
        <v/>
      </c>
      <c r="S79" s="20" t="str">
        <f aca="false">IF(I79="","",(N(K79)+N(L79))*HT_DAU_KM)</f>
        <v/>
      </c>
      <c r="T79" s="22"/>
      <c r="U79" s="20" t="str">
        <f aca="false">IF(I79="","",N(T79)*IFERROR(INDEX(TUYEN_HTVC,MATCH(I79,TUYEN_MA,0)),0))</f>
        <v/>
      </c>
      <c r="V79" s="37" t="str">
        <f aca="false">IF(I79="","",Q79+R79+S79+U79)</f>
        <v/>
      </c>
      <c r="W79" s="22"/>
      <c r="X79" s="22"/>
      <c r="Y79" s="22"/>
    </row>
    <row r="80" customFormat="false" ht="15" hidden="false" customHeight="false" outlineLevel="0" collapsed="false">
      <c r="A80" s="24" t="str">
        <f aca="false">IF(B80="","",ROW()-4)</f>
        <v/>
      </c>
      <c r="B80" s="22"/>
      <c r="C80" s="24" t="str">
        <f aca="false">IF(B80="","",IFERROR(INDEX(NV_TEN,MATCH(B80,NV_MA,0)),"MÃ KHÔNG CÓ"))</f>
        <v/>
      </c>
      <c r="D80" s="46"/>
      <c r="E80" s="46"/>
      <c r="F80" s="24" t="str">
        <f aca="false">IF(OR(D80="",E80=""),"",E80-D80+1)</f>
        <v/>
      </c>
      <c r="G80" s="22"/>
      <c r="H80" s="22"/>
      <c r="I80" s="22"/>
      <c r="J80" s="24" t="str">
        <f aca="false">IF(I80="","",IFERROR(INDEX(TUYEN_MOTA,MATCH(I80,TUYEN_MA,0)),"TUYẾN KHÔNG CÓ"))</f>
        <v/>
      </c>
      <c r="K80" s="22"/>
      <c r="L80" s="22"/>
      <c r="M80" s="22"/>
      <c r="N80" s="22"/>
      <c r="O80" s="24" t="str">
        <f aca="false">IF(I80="","",IFERROR(INDEX(TUYEN_NGAY,MATCH(I80,TUYEN_MA,0)),0))</f>
        <v/>
      </c>
      <c r="P80" s="24" t="str">
        <f aca="false">IF(OR(F80="",O80=""),"",MAX(0,F80-O80))</f>
        <v/>
      </c>
      <c r="Q80" s="20" t="str">
        <f aca="false">IF(I80="","",IFERROR(INDEX(TUYEN_DG,MATCH(I80,TUYEN_MA,0)),0))</f>
        <v/>
      </c>
      <c r="R80" s="20" t="str">
        <f aca="false">IF(P80="","",P80*HT_VUOTNGAY)</f>
        <v/>
      </c>
      <c r="S80" s="20" t="str">
        <f aca="false">IF(I80="","",(N(K80)+N(L80))*HT_DAU_KM)</f>
        <v/>
      </c>
      <c r="T80" s="22"/>
      <c r="U80" s="20" t="str">
        <f aca="false">IF(I80="","",N(T80)*IFERROR(INDEX(TUYEN_HTVC,MATCH(I80,TUYEN_MA,0)),0))</f>
        <v/>
      </c>
      <c r="V80" s="37" t="str">
        <f aca="false">IF(I80="","",Q80+R80+S80+U80)</f>
        <v/>
      </c>
      <c r="W80" s="22"/>
      <c r="X80" s="22"/>
      <c r="Y80" s="22"/>
    </row>
    <row r="81" customFormat="false" ht="15" hidden="false" customHeight="false" outlineLevel="0" collapsed="false">
      <c r="A81" s="24" t="str">
        <f aca="false">IF(B81="","",ROW()-4)</f>
        <v/>
      </c>
      <c r="B81" s="22"/>
      <c r="C81" s="24" t="str">
        <f aca="false">IF(B81="","",IFERROR(INDEX(NV_TEN,MATCH(B81,NV_MA,0)),"MÃ KHÔNG CÓ"))</f>
        <v/>
      </c>
      <c r="D81" s="46"/>
      <c r="E81" s="46"/>
      <c r="F81" s="24" t="str">
        <f aca="false">IF(OR(D81="",E81=""),"",E81-D81+1)</f>
        <v/>
      </c>
      <c r="G81" s="22"/>
      <c r="H81" s="22"/>
      <c r="I81" s="22"/>
      <c r="J81" s="24" t="str">
        <f aca="false">IF(I81="","",IFERROR(INDEX(TUYEN_MOTA,MATCH(I81,TUYEN_MA,0)),"TUYẾN KHÔNG CÓ"))</f>
        <v/>
      </c>
      <c r="K81" s="22"/>
      <c r="L81" s="22"/>
      <c r="M81" s="22"/>
      <c r="N81" s="22"/>
      <c r="O81" s="24" t="str">
        <f aca="false">IF(I81="","",IFERROR(INDEX(TUYEN_NGAY,MATCH(I81,TUYEN_MA,0)),0))</f>
        <v/>
      </c>
      <c r="P81" s="24" t="str">
        <f aca="false">IF(OR(F81="",O81=""),"",MAX(0,F81-O81))</f>
        <v/>
      </c>
      <c r="Q81" s="20" t="str">
        <f aca="false">IF(I81="","",IFERROR(INDEX(TUYEN_DG,MATCH(I81,TUYEN_MA,0)),0))</f>
        <v/>
      </c>
      <c r="R81" s="20" t="str">
        <f aca="false">IF(P81="","",P81*HT_VUOTNGAY)</f>
        <v/>
      </c>
      <c r="S81" s="20" t="str">
        <f aca="false">IF(I81="","",(N(K81)+N(L81))*HT_DAU_KM)</f>
        <v/>
      </c>
      <c r="T81" s="22"/>
      <c r="U81" s="20" t="str">
        <f aca="false">IF(I81="","",N(T81)*IFERROR(INDEX(TUYEN_HTVC,MATCH(I81,TUYEN_MA,0)),0))</f>
        <v/>
      </c>
      <c r="V81" s="37" t="str">
        <f aca="false">IF(I81="","",Q81+R81+S81+U81)</f>
        <v/>
      </c>
      <c r="W81" s="22"/>
      <c r="X81" s="22"/>
      <c r="Y81" s="22"/>
    </row>
    <row r="82" customFormat="false" ht="15" hidden="false" customHeight="false" outlineLevel="0" collapsed="false">
      <c r="A82" s="24" t="str">
        <f aca="false">IF(B82="","",ROW()-4)</f>
        <v/>
      </c>
      <c r="B82" s="22"/>
      <c r="C82" s="24" t="str">
        <f aca="false">IF(B82="","",IFERROR(INDEX(NV_TEN,MATCH(B82,NV_MA,0)),"MÃ KHÔNG CÓ"))</f>
        <v/>
      </c>
      <c r="D82" s="46"/>
      <c r="E82" s="46"/>
      <c r="F82" s="24" t="str">
        <f aca="false">IF(OR(D82="",E82=""),"",E82-D82+1)</f>
        <v/>
      </c>
      <c r="G82" s="22"/>
      <c r="H82" s="22"/>
      <c r="I82" s="22"/>
      <c r="J82" s="24" t="str">
        <f aca="false">IF(I82="","",IFERROR(INDEX(TUYEN_MOTA,MATCH(I82,TUYEN_MA,0)),"TUYẾN KHÔNG CÓ"))</f>
        <v/>
      </c>
      <c r="K82" s="22"/>
      <c r="L82" s="22"/>
      <c r="M82" s="22"/>
      <c r="N82" s="22"/>
      <c r="O82" s="24" t="str">
        <f aca="false">IF(I82="","",IFERROR(INDEX(TUYEN_NGAY,MATCH(I82,TUYEN_MA,0)),0))</f>
        <v/>
      </c>
      <c r="P82" s="24" t="str">
        <f aca="false">IF(OR(F82="",O82=""),"",MAX(0,F82-O82))</f>
        <v/>
      </c>
      <c r="Q82" s="20" t="str">
        <f aca="false">IF(I82="","",IFERROR(INDEX(TUYEN_DG,MATCH(I82,TUYEN_MA,0)),0))</f>
        <v/>
      </c>
      <c r="R82" s="20" t="str">
        <f aca="false">IF(P82="","",P82*HT_VUOTNGAY)</f>
        <v/>
      </c>
      <c r="S82" s="20" t="str">
        <f aca="false">IF(I82="","",(N(K82)+N(L82))*HT_DAU_KM)</f>
        <v/>
      </c>
      <c r="T82" s="22"/>
      <c r="U82" s="20" t="str">
        <f aca="false">IF(I82="","",N(T82)*IFERROR(INDEX(TUYEN_HTVC,MATCH(I82,TUYEN_MA,0)),0))</f>
        <v/>
      </c>
      <c r="V82" s="37" t="str">
        <f aca="false">IF(I82="","",Q82+R82+S82+U82)</f>
        <v/>
      </c>
      <c r="W82" s="22"/>
      <c r="X82" s="22"/>
      <c r="Y82" s="22"/>
    </row>
    <row r="83" customFormat="false" ht="15" hidden="false" customHeight="false" outlineLevel="0" collapsed="false">
      <c r="A83" s="24" t="str">
        <f aca="false">IF(B83="","",ROW()-4)</f>
        <v/>
      </c>
      <c r="B83" s="22"/>
      <c r="C83" s="24" t="str">
        <f aca="false">IF(B83="","",IFERROR(INDEX(NV_TEN,MATCH(B83,NV_MA,0)),"MÃ KHÔNG CÓ"))</f>
        <v/>
      </c>
      <c r="D83" s="46"/>
      <c r="E83" s="46"/>
      <c r="F83" s="24" t="str">
        <f aca="false">IF(OR(D83="",E83=""),"",E83-D83+1)</f>
        <v/>
      </c>
      <c r="G83" s="22"/>
      <c r="H83" s="22"/>
      <c r="I83" s="22"/>
      <c r="J83" s="24" t="str">
        <f aca="false">IF(I83="","",IFERROR(INDEX(TUYEN_MOTA,MATCH(I83,TUYEN_MA,0)),"TUYẾN KHÔNG CÓ"))</f>
        <v/>
      </c>
      <c r="K83" s="22"/>
      <c r="L83" s="22"/>
      <c r="M83" s="22"/>
      <c r="N83" s="22"/>
      <c r="O83" s="24" t="str">
        <f aca="false">IF(I83="","",IFERROR(INDEX(TUYEN_NGAY,MATCH(I83,TUYEN_MA,0)),0))</f>
        <v/>
      </c>
      <c r="P83" s="24" t="str">
        <f aca="false">IF(OR(F83="",O83=""),"",MAX(0,F83-O83))</f>
        <v/>
      </c>
      <c r="Q83" s="20" t="str">
        <f aca="false">IF(I83="","",IFERROR(INDEX(TUYEN_DG,MATCH(I83,TUYEN_MA,0)),0))</f>
        <v/>
      </c>
      <c r="R83" s="20" t="str">
        <f aca="false">IF(P83="","",P83*HT_VUOTNGAY)</f>
        <v/>
      </c>
      <c r="S83" s="20" t="str">
        <f aca="false">IF(I83="","",(N(K83)+N(L83))*HT_DAU_KM)</f>
        <v/>
      </c>
      <c r="T83" s="22"/>
      <c r="U83" s="20" t="str">
        <f aca="false">IF(I83="","",N(T83)*IFERROR(INDEX(TUYEN_HTVC,MATCH(I83,TUYEN_MA,0)),0))</f>
        <v/>
      </c>
      <c r="V83" s="37" t="str">
        <f aca="false">IF(I83="","",Q83+R83+S83+U83)</f>
        <v/>
      </c>
      <c r="W83" s="22"/>
      <c r="X83" s="22"/>
      <c r="Y83" s="22"/>
    </row>
    <row r="84" customFormat="false" ht="15" hidden="false" customHeight="false" outlineLevel="0" collapsed="false">
      <c r="A84" s="24" t="str">
        <f aca="false">IF(B84="","",ROW()-4)</f>
        <v/>
      </c>
      <c r="B84" s="22"/>
      <c r="C84" s="24" t="str">
        <f aca="false">IF(B84="","",IFERROR(INDEX(NV_TEN,MATCH(B84,NV_MA,0)),"MÃ KHÔNG CÓ"))</f>
        <v/>
      </c>
      <c r="D84" s="46"/>
      <c r="E84" s="46"/>
      <c r="F84" s="24" t="str">
        <f aca="false">IF(OR(D84="",E84=""),"",E84-D84+1)</f>
        <v/>
      </c>
      <c r="G84" s="22"/>
      <c r="H84" s="22"/>
      <c r="I84" s="22"/>
      <c r="J84" s="24" t="str">
        <f aca="false">IF(I84="","",IFERROR(INDEX(TUYEN_MOTA,MATCH(I84,TUYEN_MA,0)),"TUYẾN KHÔNG CÓ"))</f>
        <v/>
      </c>
      <c r="K84" s="22"/>
      <c r="L84" s="22"/>
      <c r="M84" s="22"/>
      <c r="N84" s="22"/>
      <c r="O84" s="24" t="str">
        <f aca="false">IF(I84="","",IFERROR(INDEX(TUYEN_NGAY,MATCH(I84,TUYEN_MA,0)),0))</f>
        <v/>
      </c>
      <c r="P84" s="24" t="str">
        <f aca="false">IF(OR(F84="",O84=""),"",MAX(0,F84-O84))</f>
        <v/>
      </c>
      <c r="Q84" s="20" t="str">
        <f aca="false">IF(I84="","",IFERROR(INDEX(TUYEN_DG,MATCH(I84,TUYEN_MA,0)),0))</f>
        <v/>
      </c>
      <c r="R84" s="20" t="str">
        <f aca="false">IF(P84="","",P84*HT_VUOTNGAY)</f>
        <v/>
      </c>
      <c r="S84" s="20" t="str">
        <f aca="false">IF(I84="","",(N(K84)+N(L84))*HT_DAU_KM)</f>
        <v/>
      </c>
      <c r="T84" s="22"/>
      <c r="U84" s="20" t="str">
        <f aca="false">IF(I84="","",N(T84)*IFERROR(INDEX(TUYEN_HTVC,MATCH(I84,TUYEN_MA,0)),0))</f>
        <v/>
      </c>
      <c r="V84" s="37" t="str">
        <f aca="false">IF(I84="","",Q84+R84+S84+U84)</f>
        <v/>
      </c>
      <c r="W84" s="22"/>
      <c r="X84" s="22"/>
      <c r="Y84" s="22"/>
    </row>
    <row r="85" customFormat="false" ht="15" hidden="false" customHeight="false" outlineLevel="0" collapsed="false">
      <c r="A85" s="24" t="str">
        <f aca="false">IF(B85="","",ROW()-4)</f>
        <v/>
      </c>
      <c r="B85" s="22"/>
      <c r="C85" s="24" t="str">
        <f aca="false">IF(B85="","",IFERROR(INDEX(NV_TEN,MATCH(B85,NV_MA,0)),"MÃ KHÔNG CÓ"))</f>
        <v/>
      </c>
      <c r="D85" s="46"/>
      <c r="E85" s="46"/>
      <c r="F85" s="24" t="str">
        <f aca="false">IF(OR(D85="",E85=""),"",E85-D85+1)</f>
        <v/>
      </c>
      <c r="G85" s="22"/>
      <c r="H85" s="22"/>
      <c r="I85" s="22"/>
      <c r="J85" s="24" t="str">
        <f aca="false">IF(I85="","",IFERROR(INDEX(TUYEN_MOTA,MATCH(I85,TUYEN_MA,0)),"TUYẾN KHÔNG CÓ"))</f>
        <v/>
      </c>
      <c r="K85" s="22"/>
      <c r="L85" s="22"/>
      <c r="M85" s="22"/>
      <c r="N85" s="22"/>
      <c r="O85" s="24" t="str">
        <f aca="false">IF(I85="","",IFERROR(INDEX(TUYEN_NGAY,MATCH(I85,TUYEN_MA,0)),0))</f>
        <v/>
      </c>
      <c r="P85" s="24" t="str">
        <f aca="false">IF(OR(F85="",O85=""),"",MAX(0,F85-O85))</f>
        <v/>
      </c>
      <c r="Q85" s="20" t="str">
        <f aca="false">IF(I85="","",IFERROR(INDEX(TUYEN_DG,MATCH(I85,TUYEN_MA,0)),0))</f>
        <v/>
      </c>
      <c r="R85" s="20" t="str">
        <f aca="false">IF(P85="","",P85*HT_VUOTNGAY)</f>
        <v/>
      </c>
      <c r="S85" s="20" t="str">
        <f aca="false">IF(I85="","",(N(K85)+N(L85))*HT_DAU_KM)</f>
        <v/>
      </c>
      <c r="T85" s="22"/>
      <c r="U85" s="20" t="str">
        <f aca="false">IF(I85="","",N(T85)*IFERROR(INDEX(TUYEN_HTVC,MATCH(I85,TUYEN_MA,0)),0))</f>
        <v/>
      </c>
      <c r="V85" s="37" t="str">
        <f aca="false">IF(I85="","",Q85+R85+S85+U85)</f>
        <v/>
      </c>
      <c r="W85" s="22"/>
      <c r="X85" s="22"/>
      <c r="Y85" s="22"/>
    </row>
    <row r="86" customFormat="false" ht="15" hidden="false" customHeight="false" outlineLevel="0" collapsed="false">
      <c r="A86" s="24" t="str">
        <f aca="false">IF(B86="","",ROW()-4)</f>
        <v/>
      </c>
      <c r="B86" s="22"/>
      <c r="C86" s="24" t="str">
        <f aca="false">IF(B86="","",IFERROR(INDEX(NV_TEN,MATCH(B86,NV_MA,0)),"MÃ KHÔNG CÓ"))</f>
        <v/>
      </c>
      <c r="D86" s="46"/>
      <c r="E86" s="46"/>
      <c r="F86" s="24" t="str">
        <f aca="false">IF(OR(D86="",E86=""),"",E86-D86+1)</f>
        <v/>
      </c>
      <c r="G86" s="22"/>
      <c r="H86" s="22"/>
      <c r="I86" s="22"/>
      <c r="J86" s="24" t="str">
        <f aca="false">IF(I86="","",IFERROR(INDEX(TUYEN_MOTA,MATCH(I86,TUYEN_MA,0)),"TUYẾN KHÔNG CÓ"))</f>
        <v/>
      </c>
      <c r="K86" s="22"/>
      <c r="L86" s="22"/>
      <c r="M86" s="22"/>
      <c r="N86" s="22"/>
      <c r="O86" s="24" t="str">
        <f aca="false">IF(I86="","",IFERROR(INDEX(TUYEN_NGAY,MATCH(I86,TUYEN_MA,0)),0))</f>
        <v/>
      </c>
      <c r="P86" s="24" t="str">
        <f aca="false">IF(OR(F86="",O86=""),"",MAX(0,F86-O86))</f>
        <v/>
      </c>
      <c r="Q86" s="20" t="str">
        <f aca="false">IF(I86="","",IFERROR(INDEX(TUYEN_DG,MATCH(I86,TUYEN_MA,0)),0))</f>
        <v/>
      </c>
      <c r="R86" s="20" t="str">
        <f aca="false">IF(P86="","",P86*HT_VUOTNGAY)</f>
        <v/>
      </c>
      <c r="S86" s="20" t="str">
        <f aca="false">IF(I86="","",(N(K86)+N(L86))*HT_DAU_KM)</f>
        <v/>
      </c>
      <c r="T86" s="22"/>
      <c r="U86" s="20" t="str">
        <f aca="false">IF(I86="","",N(T86)*IFERROR(INDEX(TUYEN_HTVC,MATCH(I86,TUYEN_MA,0)),0))</f>
        <v/>
      </c>
      <c r="V86" s="37" t="str">
        <f aca="false">IF(I86="","",Q86+R86+S86+U86)</f>
        <v/>
      </c>
      <c r="W86" s="22"/>
      <c r="X86" s="22"/>
      <c r="Y86" s="22"/>
    </row>
    <row r="87" customFormat="false" ht="15" hidden="false" customHeight="false" outlineLevel="0" collapsed="false">
      <c r="A87" s="24" t="str">
        <f aca="false">IF(B87="","",ROW()-4)</f>
        <v/>
      </c>
      <c r="B87" s="22"/>
      <c r="C87" s="24" t="str">
        <f aca="false">IF(B87="","",IFERROR(INDEX(NV_TEN,MATCH(B87,NV_MA,0)),"MÃ KHÔNG CÓ"))</f>
        <v/>
      </c>
      <c r="D87" s="46"/>
      <c r="E87" s="46"/>
      <c r="F87" s="24" t="str">
        <f aca="false">IF(OR(D87="",E87=""),"",E87-D87+1)</f>
        <v/>
      </c>
      <c r="G87" s="22"/>
      <c r="H87" s="22"/>
      <c r="I87" s="22"/>
      <c r="J87" s="24" t="str">
        <f aca="false">IF(I87="","",IFERROR(INDEX(TUYEN_MOTA,MATCH(I87,TUYEN_MA,0)),"TUYẾN KHÔNG CÓ"))</f>
        <v/>
      </c>
      <c r="K87" s="22"/>
      <c r="L87" s="22"/>
      <c r="M87" s="22"/>
      <c r="N87" s="22"/>
      <c r="O87" s="24" t="str">
        <f aca="false">IF(I87="","",IFERROR(INDEX(TUYEN_NGAY,MATCH(I87,TUYEN_MA,0)),0))</f>
        <v/>
      </c>
      <c r="P87" s="24" t="str">
        <f aca="false">IF(OR(F87="",O87=""),"",MAX(0,F87-O87))</f>
        <v/>
      </c>
      <c r="Q87" s="20" t="str">
        <f aca="false">IF(I87="","",IFERROR(INDEX(TUYEN_DG,MATCH(I87,TUYEN_MA,0)),0))</f>
        <v/>
      </c>
      <c r="R87" s="20" t="str">
        <f aca="false">IF(P87="","",P87*HT_VUOTNGAY)</f>
        <v/>
      </c>
      <c r="S87" s="20" t="str">
        <f aca="false">IF(I87="","",(N(K87)+N(L87))*HT_DAU_KM)</f>
        <v/>
      </c>
      <c r="T87" s="22"/>
      <c r="U87" s="20" t="str">
        <f aca="false">IF(I87="","",N(T87)*IFERROR(INDEX(TUYEN_HTVC,MATCH(I87,TUYEN_MA,0)),0))</f>
        <v/>
      </c>
      <c r="V87" s="37" t="str">
        <f aca="false">IF(I87="","",Q87+R87+S87+U87)</f>
        <v/>
      </c>
      <c r="W87" s="22"/>
      <c r="X87" s="22"/>
      <c r="Y87" s="22"/>
    </row>
    <row r="88" customFormat="false" ht="15" hidden="false" customHeight="false" outlineLevel="0" collapsed="false">
      <c r="A88" s="24" t="str">
        <f aca="false">IF(B88="","",ROW()-4)</f>
        <v/>
      </c>
      <c r="B88" s="22"/>
      <c r="C88" s="24" t="str">
        <f aca="false">IF(B88="","",IFERROR(INDEX(NV_TEN,MATCH(B88,NV_MA,0)),"MÃ KHÔNG CÓ"))</f>
        <v/>
      </c>
      <c r="D88" s="46"/>
      <c r="E88" s="46"/>
      <c r="F88" s="24" t="str">
        <f aca="false">IF(OR(D88="",E88=""),"",E88-D88+1)</f>
        <v/>
      </c>
      <c r="G88" s="22"/>
      <c r="H88" s="22"/>
      <c r="I88" s="22"/>
      <c r="J88" s="24" t="str">
        <f aca="false">IF(I88="","",IFERROR(INDEX(TUYEN_MOTA,MATCH(I88,TUYEN_MA,0)),"TUYẾN KHÔNG CÓ"))</f>
        <v/>
      </c>
      <c r="K88" s="22"/>
      <c r="L88" s="22"/>
      <c r="M88" s="22"/>
      <c r="N88" s="22"/>
      <c r="O88" s="24" t="str">
        <f aca="false">IF(I88="","",IFERROR(INDEX(TUYEN_NGAY,MATCH(I88,TUYEN_MA,0)),0))</f>
        <v/>
      </c>
      <c r="P88" s="24" t="str">
        <f aca="false">IF(OR(F88="",O88=""),"",MAX(0,F88-O88))</f>
        <v/>
      </c>
      <c r="Q88" s="20" t="str">
        <f aca="false">IF(I88="","",IFERROR(INDEX(TUYEN_DG,MATCH(I88,TUYEN_MA,0)),0))</f>
        <v/>
      </c>
      <c r="R88" s="20" t="str">
        <f aca="false">IF(P88="","",P88*HT_VUOTNGAY)</f>
        <v/>
      </c>
      <c r="S88" s="20" t="str">
        <f aca="false">IF(I88="","",(N(K88)+N(L88))*HT_DAU_KM)</f>
        <v/>
      </c>
      <c r="T88" s="22"/>
      <c r="U88" s="20" t="str">
        <f aca="false">IF(I88="","",N(T88)*IFERROR(INDEX(TUYEN_HTVC,MATCH(I88,TUYEN_MA,0)),0))</f>
        <v/>
      </c>
      <c r="V88" s="37" t="str">
        <f aca="false">IF(I88="","",Q88+R88+S88+U88)</f>
        <v/>
      </c>
      <c r="W88" s="22"/>
      <c r="X88" s="22"/>
      <c r="Y88" s="22"/>
    </row>
    <row r="89" customFormat="false" ht="15" hidden="false" customHeight="false" outlineLevel="0" collapsed="false">
      <c r="A89" s="24" t="str">
        <f aca="false">IF(B89="","",ROW()-4)</f>
        <v/>
      </c>
      <c r="B89" s="22"/>
      <c r="C89" s="24" t="str">
        <f aca="false">IF(B89="","",IFERROR(INDEX(NV_TEN,MATCH(B89,NV_MA,0)),"MÃ KHÔNG CÓ"))</f>
        <v/>
      </c>
      <c r="D89" s="46"/>
      <c r="E89" s="46"/>
      <c r="F89" s="24" t="str">
        <f aca="false">IF(OR(D89="",E89=""),"",E89-D89+1)</f>
        <v/>
      </c>
      <c r="G89" s="22"/>
      <c r="H89" s="22"/>
      <c r="I89" s="22"/>
      <c r="J89" s="24" t="str">
        <f aca="false">IF(I89="","",IFERROR(INDEX(TUYEN_MOTA,MATCH(I89,TUYEN_MA,0)),"TUYẾN KHÔNG CÓ"))</f>
        <v/>
      </c>
      <c r="K89" s="22"/>
      <c r="L89" s="22"/>
      <c r="M89" s="22"/>
      <c r="N89" s="22"/>
      <c r="O89" s="24" t="str">
        <f aca="false">IF(I89="","",IFERROR(INDEX(TUYEN_NGAY,MATCH(I89,TUYEN_MA,0)),0))</f>
        <v/>
      </c>
      <c r="P89" s="24" t="str">
        <f aca="false">IF(OR(F89="",O89=""),"",MAX(0,F89-O89))</f>
        <v/>
      </c>
      <c r="Q89" s="20" t="str">
        <f aca="false">IF(I89="","",IFERROR(INDEX(TUYEN_DG,MATCH(I89,TUYEN_MA,0)),0))</f>
        <v/>
      </c>
      <c r="R89" s="20" t="str">
        <f aca="false">IF(P89="","",P89*HT_VUOTNGAY)</f>
        <v/>
      </c>
      <c r="S89" s="20" t="str">
        <f aca="false">IF(I89="","",(N(K89)+N(L89))*HT_DAU_KM)</f>
        <v/>
      </c>
      <c r="T89" s="22"/>
      <c r="U89" s="20" t="str">
        <f aca="false">IF(I89="","",N(T89)*IFERROR(INDEX(TUYEN_HTVC,MATCH(I89,TUYEN_MA,0)),0))</f>
        <v/>
      </c>
      <c r="V89" s="37" t="str">
        <f aca="false">IF(I89="","",Q89+R89+S89+U89)</f>
        <v/>
      </c>
      <c r="W89" s="22"/>
      <c r="X89" s="22"/>
      <c r="Y89" s="22"/>
    </row>
    <row r="90" customFormat="false" ht="15" hidden="false" customHeight="false" outlineLevel="0" collapsed="false">
      <c r="A90" s="24" t="str">
        <f aca="false">IF(B90="","",ROW()-4)</f>
        <v/>
      </c>
      <c r="B90" s="22"/>
      <c r="C90" s="24" t="str">
        <f aca="false">IF(B90="","",IFERROR(INDEX(NV_TEN,MATCH(B90,NV_MA,0)),"MÃ KHÔNG CÓ"))</f>
        <v/>
      </c>
      <c r="D90" s="46"/>
      <c r="E90" s="46"/>
      <c r="F90" s="24" t="str">
        <f aca="false">IF(OR(D90="",E90=""),"",E90-D90+1)</f>
        <v/>
      </c>
      <c r="G90" s="22"/>
      <c r="H90" s="22"/>
      <c r="I90" s="22"/>
      <c r="J90" s="24" t="str">
        <f aca="false">IF(I90="","",IFERROR(INDEX(TUYEN_MOTA,MATCH(I90,TUYEN_MA,0)),"TUYẾN KHÔNG CÓ"))</f>
        <v/>
      </c>
      <c r="K90" s="22"/>
      <c r="L90" s="22"/>
      <c r="M90" s="22"/>
      <c r="N90" s="22"/>
      <c r="O90" s="24" t="str">
        <f aca="false">IF(I90="","",IFERROR(INDEX(TUYEN_NGAY,MATCH(I90,TUYEN_MA,0)),0))</f>
        <v/>
      </c>
      <c r="P90" s="24" t="str">
        <f aca="false">IF(OR(F90="",O90=""),"",MAX(0,F90-O90))</f>
        <v/>
      </c>
      <c r="Q90" s="20" t="str">
        <f aca="false">IF(I90="","",IFERROR(INDEX(TUYEN_DG,MATCH(I90,TUYEN_MA,0)),0))</f>
        <v/>
      </c>
      <c r="R90" s="20" t="str">
        <f aca="false">IF(P90="","",P90*HT_VUOTNGAY)</f>
        <v/>
      </c>
      <c r="S90" s="20" t="str">
        <f aca="false">IF(I90="","",(N(K90)+N(L90))*HT_DAU_KM)</f>
        <v/>
      </c>
      <c r="T90" s="22"/>
      <c r="U90" s="20" t="str">
        <f aca="false">IF(I90="","",N(T90)*IFERROR(INDEX(TUYEN_HTVC,MATCH(I90,TUYEN_MA,0)),0))</f>
        <v/>
      </c>
      <c r="V90" s="37" t="str">
        <f aca="false">IF(I90="","",Q90+R90+S90+U90)</f>
        <v/>
      </c>
      <c r="W90" s="22"/>
      <c r="X90" s="22"/>
      <c r="Y90" s="22"/>
    </row>
    <row r="91" customFormat="false" ht="15" hidden="false" customHeight="false" outlineLevel="0" collapsed="false">
      <c r="A91" s="24" t="str">
        <f aca="false">IF(B91="","",ROW()-4)</f>
        <v/>
      </c>
      <c r="B91" s="22"/>
      <c r="C91" s="24" t="str">
        <f aca="false">IF(B91="","",IFERROR(INDEX(NV_TEN,MATCH(B91,NV_MA,0)),"MÃ KHÔNG CÓ"))</f>
        <v/>
      </c>
      <c r="D91" s="46"/>
      <c r="E91" s="46"/>
      <c r="F91" s="24" t="str">
        <f aca="false">IF(OR(D91="",E91=""),"",E91-D91+1)</f>
        <v/>
      </c>
      <c r="G91" s="22"/>
      <c r="H91" s="22"/>
      <c r="I91" s="22"/>
      <c r="J91" s="24" t="str">
        <f aca="false">IF(I91="","",IFERROR(INDEX(TUYEN_MOTA,MATCH(I91,TUYEN_MA,0)),"TUYẾN KHÔNG CÓ"))</f>
        <v/>
      </c>
      <c r="K91" s="22"/>
      <c r="L91" s="22"/>
      <c r="M91" s="22"/>
      <c r="N91" s="22"/>
      <c r="O91" s="24" t="str">
        <f aca="false">IF(I91="","",IFERROR(INDEX(TUYEN_NGAY,MATCH(I91,TUYEN_MA,0)),0))</f>
        <v/>
      </c>
      <c r="P91" s="24" t="str">
        <f aca="false">IF(OR(F91="",O91=""),"",MAX(0,F91-O91))</f>
        <v/>
      </c>
      <c r="Q91" s="20" t="str">
        <f aca="false">IF(I91="","",IFERROR(INDEX(TUYEN_DG,MATCH(I91,TUYEN_MA,0)),0))</f>
        <v/>
      </c>
      <c r="R91" s="20" t="str">
        <f aca="false">IF(P91="","",P91*HT_VUOTNGAY)</f>
        <v/>
      </c>
      <c r="S91" s="20" t="str">
        <f aca="false">IF(I91="","",(N(K91)+N(L91))*HT_DAU_KM)</f>
        <v/>
      </c>
      <c r="T91" s="22"/>
      <c r="U91" s="20" t="str">
        <f aca="false">IF(I91="","",N(T91)*IFERROR(INDEX(TUYEN_HTVC,MATCH(I91,TUYEN_MA,0)),0))</f>
        <v/>
      </c>
      <c r="V91" s="37" t="str">
        <f aca="false">IF(I91="","",Q91+R91+S91+U91)</f>
        <v/>
      </c>
      <c r="W91" s="22"/>
      <c r="X91" s="22"/>
      <c r="Y91" s="22"/>
    </row>
    <row r="92" customFormat="false" ht="15" hidden="false" customHeight="false" outlineLevel="0" collapsed="false">
      <c r="A92" s="24" t="str">
        <f aca="false">IF(B92="","",ROW()-4)</f>
        <v/>
      </c>
      <c r="B92" s="22"/>
      <c r="C92" s="24" t="str">
        <f aca="false">IF(B92="","",IFERROR(INDEX(NV_TEN,MATCH(B92,NV_MA,0)),"MÃ KHÔNG CÓ"))</f>
        <v/>
      </c>
      <c r="D92" s="46"/>
      <c r="E92" s="46"/>
      <c r="F92" s="24" t="str">
        <f aca="false">IF(OR(D92="",E92=""),"",E92-D92+1)</f>
        <v/>
      </c>
      <c r="G92" s="22"/>
      <c r="H92" s="22"/>
      <c r="I92" s="22"/>
      <c r="J92" s="24" t="str">
        <f aca="false">IF(I92="","",IFERROR(INDEX(TUYEN_MOTA,MATCH(I92,TUYEN_MA,0)),"TUYẾN KHÔNG CÓ"))</f>
        <v/>
      </c>
      <c r="K92" s="22"/>
      <c r="L92" s="22"/>
      <c r="M92" s="22"/>
      <c r="N92" s="22"/>
      <c r="O92" s="24" t="str">
        <f aca="false">IF(I92="","",IFERROR(INDEX(TUYEN_NGAY,MATCH(I92,TUYEN_MA,0)),0))</f>
        <v/>
      </c>
      <c r="P92" s="24" t="str">
        <f aca="false">IF(OR(F92="",O92=""),"",MAX(0,F92-O92))</f>
        <v/>
      </c>
      <c r="Q92" s="20" t="str">
        <f aca="false">IF(I92="","",IFERROR(INDEX(TUYEN_DG,MATCH(I92,TUYEN_MA,0)),0))</f>
        <v/>
      </c>
      <c r="R92" s="20" t="str">
        <f aca="false">IF(P92="","",P92*HT_VUOTNGAY)</f>
        <v/>
      </c>
      <c r="S92" s="20" t="str">
        <f aca="false">IF(I92="","",(N(K92)+N(L92))*HT_DAU_KM)</f>
        <v/>
      </c>
      <c r="T92" s="22"/>
      <c r="U92" s="20" t="str">
        <f aca="false">IF(I92="","",N(T92)*IFERROR(INDEX(TUYEN_HTVC,MATCH(I92,TUYEN_MA,0)),0))</f>
        <v/>
      </c>
      <c r="V92" s="37" t="str">
        <f aca="false">IF(I92="","",Q92+R92+S92+U92)</f>
        <v/>
      </c>
      <c r="W92" s="22"/>
      <c r="X92" s="22"/>
      <c r="Y92" s="22"/>
    </row>
    <row r="93" customFormat="false" ht="15" hidden="false" customHeight="false" outlineLevel="0" collapsed="false">
      <c r="A93" s="24" t="str">
        <f aca="false">IF(B93="","",ROW()-4)</f>
        <v/>
      </c>
      <c r="B93" s="22"/>
      <c r="C93" s="24" t="str">
        <f aca="false">IF(B93="","",IFERROR(INDEX(NV_TEN,MATCH(B93,NV_MA,0)),"MÃ KHÔNG CÓ"))</f>
        <v/>
      </c>
      <c r="D93" s="46"/>
      <c r="E93" s="46"/>
      <c r="F93" s="24" t="str">
        <f aca="false">IF(OR(D93="",E93=""),"",E93-D93+1)</f>
        <v/>
      </c>
      <c r="G93" s="22"/>
      <c r="H93" s="22"/>
      <c r="I93" s="22"/>
      <c r="J93" s="24" t="str">
        <f aca="false">IF(I93="","",IFERROR(INDEX(TUYEN_MOTA,MATCH(I93,TUYEN_MA,0)),"TUYẾN KHÔNG CÓ"))</f>
        <v/>
      </c>
      <c r="K93" s="22"/>
      <c r="L93" s="22"/>
      <c r="M93" s="22"/>
      <c r="N93" s="22"/>
      <c r="O93" s="24" t="str">
        <f aca="false">IF(I93="","",IFERROR(INDEX(TUYEN_NGAY,MATCH(I93,TUYEN_MA,0)),0))</f>
        <v/>
      </c>
      <c r="P93" s="24" t="str">
        <f aca="false">IF(OR(F93="",O93=""),"",MAX(0,F93-O93))</f>
        <v/>
      </c>
      <c r="Q93" s="20" t="str">
        <f aca="false">IF(I93="","",IFERROR(INDEX(TUYEN_DG,MATCH(I93,TUYEN_MA,0)),0))</f>
        <v/>
      </c>
      <c r="R93" s="20" t="str">
        <f aca="false">IF(P93="","",P93*HT_VUOTNGAY)</f>
        <v/>
      </c>
      <c r="S93" s="20" t="str">
        <f aca="false">IF(I93="","",(N(K93)+N(L93))*HT_DAU_KM)</f>
        <v/>
      </c>
      <c r="T93" s="22"/>
      <c r="U93" s="20" t="str">
        <f aca="false">IF(I93="","",N(T93)*IFERROR(INDEX(TUYEN_HTVC,MATCH(I93,TUYEN_MA,0)),0))</f>
        <v/>
      </c>
      <c r="V93" s="37" t="str">
        <f aca="false">IF(I93="","",Q93+R93+S93+U93)</f>
        <v/>
      </c>
      <c r="W93" s="22"/>
      <c r="X93" s="22"/>
      <c r="Y93" s="22"/>
    </row>
    <row r="94" customFormat="false" ht="15" hidden="false" customHeight="false" outlineLevel="0" collapsed="false">
      <c r="A94" s="24" t="str">
        <f aca="false">IF(B94="","",ROW()-4)</f>
        <v/>
      </c>
      <c r="B94" s="22"/>
      <c r="C94" s="24" t="str">
        <f aca="false">IF(B94="","",IFERROR(INDEX(NV_TEN,MATCH(B94,NV_MA,0)),"MÃ KHÔNG CÓ"))</f>
        <v/>
      </c>
      <c r="D94" s="46"/>
      <c r="E94" s="46"/>
      <c r="F94" s="24" t="str">
        <f aca="false">IF(OR(D94="",E94=""),"",E94-D94+1)</f>
        <v/>
      </c>
      <c r="G94" s="22"/>
      <c r="H94" s="22"/>
      <c r="I94" s="22"/>
      <c r="J94" s="24" t="str">
        <f aca="false">IF(I94="","",IFERROR(INDEX(TUYEN_MOTA,MATCH(I94,TUYEN_MA,0)),"TUYẾN KHÔNG CÓ"))</f>
        <v/>
      </c>
      <c r="K94" s="22"/>
      <c r="L94" s="22"/>
      <c r="M94" s="22"/>
      <c r="N94" s="22"/>
      <c r="O94" s="24" t="str">
        <f aca="false">IF(I94="","",IFERROR(INDEX(TUYEN_NGAY,MATCH(I94,TUYEN_MA,0)),0))</f>
        <v/>
      </c>
      <c r="P94" s="24" t="str">
        <f aca="false">IF(OR(F94="",O94=""),"",MAX(0,F94-O94))</f>
        <v/>
      </c>
      <c r="Q94" s="20" t="str">
        <f aca="false">IF(I94="","",IFERROR(INDEX(TUYEN_DG,MATCH(I94,TUYEN_MA,0)),0))</f>
        <v/>
      </c>
      <c r="R94" s="20" t="str">
        <f aca="false">IF(P94="","",P94*HT_VUOTNGAY)</f>
        <v/>
      </c>
      <c r="S94" s="20" t="str">
        <f aca="false">IF(I94="","",(N(K94)+N(L94))*HT_DAU_KM)</f>
        <v/>
      </c>
      <c r="T94" s="22"/>
      <c r="U94" s="20" t="str">
        <f aca="false">IF(I94="","",N(T94)*IFERROR(INDEX(TUYEN_HTVC,MATCH(I94,TUYEN_MA,0)),0))</f>
        <v/>
      </c>
      <c r="V94" s="37" t="str">
        <f aca="false">IF(I94="","",Q94+R94+S94+U94)</f>
        <v/>
      </c>
      <c r="W94" s="22"/>
      <c r="X94" s="22"/>
      <c r="Y94" s="22"/>
    </row>
    <row r="95" customFormat="false" ht="15" hidden="false" customHeight="false" outlineLevel="0" collapsed="false">
      <c r="A95" s="24" t="str">
        <f aca="false">IF(B95="","",ROW()-4)</f>
        <v/>
      </c>
      <c r="B95" s="22"/>
      <c r="C95" s="24" t="str">
        <f aca="false">IF(B95="","",IFERROR(INDEX(NV_TEN,MATCH(B95,NV_MA,0)),"MÃ KHÔNG CÓ"))</f>
        <v/>
      </c>
      <c r="D95" s="46"/>
      <c r="E95" s="46"/>
      <c r="F95" s="24" t="str">
        <f aca="false">IF(OR(D95="",E95=""),"",E95-D95+1)</f>
        <v/>
      </c>
      <c r="G95" s="22"/>
      <c r="H95" s="22"/>
      <c r="I95" s="22"/>
      <c r="J95" s="24" t="str">
        <f aca="false">IF(I95="","",IFERROR(INDEX(TUYEN_MOTA,MATCH(I95,TUYEN_MA,0)),"TUYẾN KHÔNG CÓ"))</f>
        <v/>
      </c>
      <c r="K95" s="22"/>
      <c r="L95" s="22"/>
      <c r="M95" s="22"/>
      <c r="N95" s="22"/>
      <c r="O95" s="24" t="str">
        <f aca="false">IF(I95="","",IFERROR(INDEX(TUYEN_NGAY,MATCH(I95,TUYEN_MA,0)),0))</f>
        <v/>
      </c>
      <c r="P95" s="24" t="str">
        <f aca="false">IF(OR(F95="",O95=""),"",MAX(0,F95-O95))</f>
        <v/>
      </c>
      <c r="Q95" s="20" t="str">
        <f aca="false">IF(I95="","",IFERROR(INDEX(TUYEN_DG,MATCH(I95,TUYEN_MA,0)),0))</f>
        <v/>
      </c>
      <c r="R95" s="20" t="str">
        <f aca="false">IF(P95="","",P95*HT_VUOTNGAY)</f>
        <v/>
      </c>
      <c r="S95" s="20" t="str">
        <f aca="false">IF(I95="","",(N(K95)+N(L95))*HT_DAU_KM)</f>
        <v/>
      </c>
      <c r="T95" s="22"/>
      <c r="U95" s="20" t="str">
        <f aca="false">IF(I95="","",N(T95)*IFERROR(INDEX(TUYEN_HTVC,MATCH(I95,TUYEN_MA,0)),0))</f>
        <v/>
      </c>
      <c r="V95" s="37" t="str">
        <f aca="false">IF(I95="","",Q95+R95+S95+U95)</f>
        <v/>
      </c>
      <c r="W95" s="22"/>
      <c r="X95" s="22"/>
      <c r="Y95" s="22"/>
    </row>
    <row r="96" customFormat="false" ht="15" hidden="false" customHeight="false" outlineLevel="0" collapsed="false">
      <c r="A96" s="24" t="str">
        <f aca="false">IF(B96="","",ROW()-4)</f>
        <v/>
      </c>
      <c r="B96" s="22"/>
      <c r="C96" s="24" t="str">
        <f aca="false">IF(B96="","",IFERROR(INDEX(NV_TEN,MATCH(B96,NV_MA,0)),"MÃ KHÔNG CÓ"))</f>
        <v/>
      </c>
      <c r="D96" s="46"/>
      <c r="E96" s="46"/>
      <c r="F96" s="24" t="str">
        <f aca="false">IF(OR(D96="",E96=""),"",E96-D96+1)</f>
        <v/>
      </c>
      <c r="G96" s="22"/>
      <c r="H96" s="22"/>
      <c r="I96" s="22"/>
      <c r="J96" s="24" t="str">
        <f aca="false">IF(I96="","",IFERROR(INDEX(TUYEN_MOTA,MATCH(I96,TUYEN_MA,0)),"TUYẾN KHÔNG CÓ"))</f>
        <v/>
      </c>
      <c r="K96" s="22"/>
      <c r="L96" s="22"/>
      <c r="M96" s="22"/>
      <c r="N96" s="22"/>
      <c r="O96" s="24" t="str">
        <f aca="false">IF(I96="","",IFERROR(INDEX(TUYEN_NGAY,MATCH(I96,TUYEN_MA,0)),0))</f>
        <v/>
      </c>
      <c r="P96" s="24" t="str">
        <f aca="false">IF(OR(F96="",O96=""),"",MAX(0,F96-O96))</f>
        <v/>
      </c>
      <c r="Q96" s="20" t="str">
        <f aca="false">IF(I96="","",IFERROR(INDEX(TUYEN_DG,MATCH(I96,TUYEN_MA,0)),0))</f>
        <v/>
      </c>
      <c r="R96" s="20" t="str">
        <f aca="false">IF(P96="","",P96*HT_VUOTNGAY)</f>
        <v/>
      </c>
      <c r="S96" s="20" t="str">
        <f aca="false">IF(I96="","",(N(K96)+N(L96))*HT_DAU_KM)</f>
        <v/>
      </c>
      <c r="T96" s="22"/>
      <c r="U96" s="20" t="str">
        <f aca="false">IF(I96="","",N(T96)*IFERROR(INDEX(TUYEN_HTVC,MATCH(I96,TUYEN_MA,0)),0))</f>
        <v/>
      </c>
      <c r="V96" s="37" t="str">
        <f aca="false">IF(I96="","",Q96+R96+S96+U96)</f>
        <v/>
      </c>
      <c r="W96" s="22"/>
      <c r="X96" s="22"/>
      <c r="Y96" s="22"/>
    </row>
    <row r="97" customFormat="false" ht="15" hidden="false" customHeight="false" outlineLevel="0" collapsed="false">
      <c r="A97" s="24" t="str">
        <f aca="false">IF(B97="","",ROW()-4)</f>
        <v/>
      </c>
      <c r="B97" s="22"/>
      <c r="C97" s="24" t="str">
        <f aca="false">IF(B97="","",IFERROR(INDEX(NV_TEN,MATCH(B97,NV_MA,0)),"MÃ KHÔNG CÓ"))</f>
        <v/>
      </c>
      <c r="D97" s="46"/>
      <c r="E97" s="46"/>
      <c r="F97" s="24" t="str">
        <f aca="false">IF(OR(D97="",E97=""),"",E97-D97+1)</f>
        <v/>
      </c>
      <c r="G97" s="22"/>
      <c r="H97" s="22"/>
      <c r="I97" s="22"/>
      <c r="J97" s="24" t="str">
        <f aca="false">IF(I97="","",IFERROR(INDEX(TUYEN_MOTA,MATCH(I97,TUYEN_MA,0)),"TUYẾN KHÔNG CÓ"))</f>
        <v/>
      </c>
      <c r="K97" s="22"/>
      <c r="L97" s="22"/>
      <c r="M97" s="22"/>
      <c r="N97" s="22"/>
      <c r="O97" s="24" t="str">
        <f aca="false">IF(I97="","",IFERROR(INDEX(TUYEN_NGAY,MATCH(I97,TUYEN_MA,0)),0))</f>
        <v/>
      </c>
      <c r="P97" s="24" t="str">
        <f aca="false">IF(OR(F97="",O97=""),"",MAX(0,F97-O97))</f>
        <v/>
      </c>
      <c r="Q97" s="20" t="str">
        <f aca="false">IF(I97="","",IFERROR(INDEX(TUYEN_DG,MATCH(I97,TUYEN_MA,0)),0))</f>
        <v/>
      </c>
      <c r="R97" s="20" t="str">
        <f aca="false">IF(P97="","",P97*HT_VUOTNGAY)</f>
        <v/>
      </c>
      <c r="S97" s="20" t="str">
        <f aca="false">IF(I97="","",(N(K97)+N(L97))*HT_DAU_KM)</f>
        <v/>
      </c>
      <c r="T97" s="22"/>
      <c r="U97" s="20" t="str">
        <f aca="false">IF(I97="","",N(T97)*IFERROR(INDEX(TUYEN_HTVC,MATCH(I97,TUYEN_MA,0)),0))</f>
        <v/>
      </c>
      <c r="V97" s="37" t="str">
        <f aca="false">IF(I97="","",Q97+R97+S97+U97)</f>
        <v/>
      </c>
      <c r="W97" s="22"/>
      <c r="X97" s="22"/>
      <c r="Y97" s="22"/>
    </row>
    <row r="98" customFormat="false" ht="15" hidden="false" customHeight="false" outlineLevel="0" collapsed="false">
      <c r="A98" s="24" t="str">
        <f aca="false">IF(B98="","",ROW()-4)</f>
        <v/>
      </c>
      <c r="B98" s="22"/>
      <c r="C98" s="24" t="str">
        <f aca="false">IF(B98="","",IFERROR(INDEX(NV_TEN,MATCH(B98,NV_MA,0)),"MÃ KHÔNG CÓ"))</f>
        <v/>
      </c>
      <c r="D98" s="46"/>
      <c r="E98" s="46"/>
      <c r="F98" s="24" t="str">
        <f aca="false">IF(OR(D98="",E98=""),"",E98-D98+1)</f>
        <v/>
      </c>
      <c r="G98" s="22"/>
      <c r="H98" s="22"/>
      <c r="I98" s="22"/>
      <c r="J98" s="24" t="str">
        <f aca="false">IF(I98="","",IFERROR(INDEX(TUYEN_MOTA,MATCH(I98,TUYEN_MA,0)),"TUYẾN KHÔNG CÓ"))</f>
        <v/>
      </c>
      <c r="K98" s="22"/>
      <c r="L98" s="22"/>
      <c r="M98" s="22"/>
      <c r="N98" s="22"/>
      <c r="O98" s="24" t="str">
        <f aca="false">IF(I98="","",IFERROR(INDEX(TUYEN_NGAY,MATCH(I98,TUYEN_MA,0)),0))</f>
        <v/>
      </c>
      <c r="P98" s="24" t="str">
        <f aca="false">IF(OR(F98="",O98=""),"",MAX(0,F98-O98))</f>
        <v/>
      </c>
      <c r="Q98" s="20" t="str">
        <f aca="false">IF(I98="","",IFERROR(INDEX(TUYEN_DG,MATCH(I98,TUYEN_MA,0)),0))</f>
        <v/>
      </c>
      <c r="R98" s="20" t="str">
        <f aca="false">IF(P98="","",P98*HT_VUOTNGAY)</f>
        <v/>
      </c>
      <c r="S98" s="20" t="str">
        <f aca="false">IF(I98="","",(N(K98)+N(L98))*HT_DAU_KM)</f>
        <v/>
      </c>
      <c r="T98" s="22"/>
      <c r="U98" s="20" t="str">
        <f aca="false">IF(I98="","",N(T98)*IFERROR(INDEX(TUYEN_HTVC,MATCH(I98,TUYEN_MA,0)),0))</f>
        <v/>
      </c>
      <c r="V98" s="37" t="str">
        <f aca="false">IF(I98="","",Q98+R98+S98+U98)</f>
        <v/>
      </c>
      <c r="W98" s="22"/>
      <c r="X98" s="22"/>
      <c r="Y98" s="22"/>
    </row>
    <row r="99" customFormat="false" ht="15" hidden="false" customHeight="false" outlineLevel="0" collapsed="false">
      <c r="A99" s="24" t="str">
        <f aca="false">IF(B99="","",ROW()-4)</f>
        <v/>
      </c>
      <c r="B99" s="22"/>
      <c r="C99" s="24" t="str">
        <f aca="false">IF(B99="","",IFERROR(INDEX(NV_TEN,MATCH(B99,NV_MA,0)),"MÃ KHÔNG CÓ"))</f>
        <v/>
      </c>
      <c r="D99" s="46"/>
      <c r="E99" s="46"/>
      <c r="F99" s="24" t="str">
        <f aca="false">IF(OR(D99="",E99=""),"",E99-D99+1)</f>
        <v/>
      </c>
      <c r="G99" s="22"/>
      <c r="H99" s="22"/>
      <c r="I99" s="22"/>
      <c r="J99" s="24" t="str">
        <f aca="false">IF(I99="","",IFERROR(INDEX(TUYEN_MOTA,MATCH(I99,TUYEN_MA,0)),"TUYẾN KHÔNG CÓ"))</f>
        <v/>
      </c>
      <c r="K99" s="22"/>
      <c r="L99" s="22"/>
      <c r="M99" s="22"/>
      <c r="N99" s="22"/>
      <c r="O99" s="24" t="str">
        <f aca="false">IF(I99="","",IFERROR(INDEX(TUYEN_NGAY,MATCH(I99,TUYEN_MA,0)),0))</f>
        <v/>
      </c>
      <c r="P99" s="24" t="str">
        <f aca="false">IF(OR(F99="",O99=""),"",MAX(0,F99-O99))</f>
        <v/>
      </c>
      <c r="Q99" s="20" t="str">
        <f aca="false">IF(I99="","",IFERROR(INDEX(TUYEN_DG,MATCH(I99,TUYEN_MA,0)),0))</f>
        <v/>
      </c>
      <c r="R99" s="20" t="str">
        <f aca="false">IF(P99="","",P99*HT_VUOTNGAY)</f>
        <v/>
      </c>
      <c r="S99" s="20" t="str">
        <f aca="false">IF(I99="","",(N(K99)+N(L99))*HT_DAU_KM)</f>
        <v/>
      </c>
      <c r="T99" s="22"/>
      <c r="U99" s="20" t="str">
        <f aca="false">IF(I99="","",N(T99)*IFERROR(INDEX(TUYEN_HTVC,MATCH(I99,TUYEN_MA,0)),0))</f>
        <v/>
      </c>
      <c r="V99" s="37" t="str">
        <f aca="false">IF(I99="","",Q99+R99+S99+U99)</f>
        <v/>
      </c>
      <c r="W99" s="22"/>
      <c r="X99" s="22"/>
      <c r="Y99" s="22"/>
    </row>
    <row r="100" customFormat="false" ht="15" hidden="false" customHeight="false" outlineLevel="0" collapsed="false">
      <c r="A100" s="24" t="str">
        <f aca="false">IF(B100="","",ROW()-4)</f>
        <v/>
      </c>
      <c r="B100" s="22"/>
      <c r="C100" s="24" t="str">
        <f aca="false">IF(B100="","",IFERROR(INDEX(NV_TEN,MATCH(B100,NV_MA,0)),"MÃ KHÔNG CÓ"))</f>
        <v/>
      </c>
      <c r="D100" s="46"/>
      <c r="E100" s="46"/>
      <c r="F100" s="24" t="str">
        <f aca="false">IF(OR(D100="",E100=""),"",E100-D100+1)</f>
        <v/>
      </c>
      <c r="G100" s="22"/>
      <c r="H100" s="22"/>
      <c r="I100" s="22"/>
      <c r="J100" s="24" t="str">
        <f aca="false">IF(I100="","",IFERROR(INDEX(TUYEN_MOTA,MATCH(I100,TUYEN_MA,0)),"TUYẾN KHÔNG CÓ"))</f>
        <v/>
      </c>
      <c r="K100" s="22"/>
      <c r="L100" s="22"/>
      <c r="M100" s="22"/>
      <c r="N100" s="22"/>
      <c r="O100" s="24" t="str">
        <f aca="false">IF(I100="","",IFERROR(INDEX(TUYEN_NGAY,MATCH(I100,TUYEN_MA,0)),0))</f>
        <v/>
      </c>
      <c r="P100" s="24" t="str">
        <f aca="false">IF(OR(F100="",O100=""),"",MAX(0,F100-O100))</f>
        <v/>
      </c>
      <c r="Q100" s="20" t="str">
        <f aca="false">IF(I100="","",IFERROR(INDEX(TUYEN_DG,MATCH(I100,TUYEN_MA,0)),0))</f>
        <v/>
      </c>
      <c r="R100" s="20" t="str">
        <f aca="false">IF(P100="","",P100*HT_VUOTNGAY)</f>
        <v/>
      </c>
      <c r="S100" s="20" t="str">
        <f aca="false">IF(I100="","",(N(K100)+N(L100))*HT_DAU_KM)</f>
        <v/>
      </c>
      <c r="T100" s="22"/>
      <c r="U100" s="20" t="str">
        <f aca="false">IF(I100="","",N(T100)*IFERROR(INDEX(TUYEN_HTVC,MATCH(I100,TUYEN_MA,0)),0))</f>
        <v/>
      </c>
      <c r="V100" s="37" t="str">
        <f aca="false">IF(I100="","",Q100+R100+S100+U100)</f>
        <v/>
      </c>
      <c r="W100" s="22"/>
      <c r="X100" s="22"/>
      <c r="Y100" s="22"/>
    </row>
    <row r="101" customFormat="false" ht="15" hidden="false" customHeight="false" outlineLevel="0" collapsed="false">
      <c r="A101" s="24" t="str">
        <f aca="false">IF(B101="","",ROW()-4)</f>
        <v/>
      </c>
      <c r="B101" s="22"/>
      <c r="C101" s="24" t="str">
        <f aca="false">IF(B101="","",IFERROR(INDEX(NV_TEN,MATCH(B101,NV_MA,0)),"MÃ KHÔNG CÓ"))</f>
        <v/>
      </c>
      <c r="D101" s="46"/>
      <c r="E101" s="46"/>
      <c r="F101" s="24" t="str">
        <f aca="false">IF(OR(D101="",E101=""),"",E101-D101+1)</f>
        <v/>
      </c>
      <c r="G101" s="22"/>
      <c r="H101" s="22"/>
      <c r="I101" s="22"/>
      <c r="J101" s="24" t="str">
        <f aca="false">IF(I101="","",IFERROR(INDEX(TUYEN_MOTA,MATCH(I101,TUYEN_MA,0)),"TUYẾN KHÔNG CÓ"))</f>
        <v/>
      </c>
      <c r="K101" s="22"/>
      <c r="L101" s="22"/>
      <c r="M101" s="22"/>
      <c r="N101" s="22"/>
      <c r="O101" s="24" t="str">
        <f aca="false">IF(I101="","",IFERROR(INDEX(TUYEN_NGAY,MATCH(I101,TUYEN_MA,0)),0))</f>
        <v/>
      </c>
      <c r="P101" s="24" t="str">
        <f aca="false">IF(OR(F101="",O101=""),"",MAX(0,F101-O101))</f>
        <v/>
      </c>
      <c r="Q101" s="20" t="str">
        <f aca="false">IF(I101="","",IFERROR(INDEX(TUYEN_DG,MATCH(I101,TUYEN_MA,0)),0))</f>
        <v/>
      </c>
      <c r="R101" s="20" t="str">
        <f aca="false">IF(P101="","",P101*HT_VUOTNGAY)</f>
        <v/>
      </c>
      <c r="S101" s="20" t="str">
        <f aca="false">IF(I101="","",(N(K101)+N(L101))*HT_DAU_KM)</f>
        <v/>
      </c>
      <c r="T101" s="22"/>
      <c r="U101" s="20" t="str">
        <f aca="false">IF(I101="","",N(T101)*IFERROR(INDEX(TUYEN_HTVC,MATCH(I101,TUYEN_MA,0)),0))</f>
        <v/>
      </c>
      <c r="V101" s="37" t="str">
        <f aca="false">IF(I101="","",Q101+R101+S101+U101)</f>
        <v/>
      </c>
      <c r="W101" s="22"/>
      <c r="X101" s="22"/>
      <c r="Y101" s="22"/>
    </row>
    <row r="102" customFormat="false" ht="15" hidden="false" customHeight="false" outlineLevel="0" collapsed="false">
      <c r="A102" s="24" t="str">
        <f aca="false">IF(B102="","",ROW()-4)</f>
        <v/>
      </c>
      <c r="B102" s="22"/>
      <c r="C102" s="24" t="str">
        <f aca="false">IF(B102="","",IFERROR(INDEX(NV_TEN,MATCH(B102,NV_MA,0)),"MÃ KHÔNG CÓ"))</f>
        <v/>
      </c>
      <c r="D102" s="46"/>
      <c r="E102" s="46"/>
      <c r="F102" s="24" t="str">
        <f aca="false">IF(OR(D102="",E102=""),"",E102-D102+1)</f>
        <v/>
      </c>
      <c r="G102" s="22"/>
      <c r="H102" s="22"/>
      <c r="I102" s="22"/>
      <c r="J102" s="24" t="str">
        <f aca="false">IF(I102="","",IFERROR(INDEX(TUYEN_MOTA,MATCH(I102,TUYEN_MA,0)),"TUYẾN KHÔNG CÓ"))</f>
        <v/>
      </c>
      <c r="K102" s="22"/>
      <c r="L102" s="22"/>
      <c r="M102" s="22"/>
      <c r="N102" s="22"/>
      <c r="O102" s="24" t="str">
        <f aca="false">IF(I102="","",IFERROR(INDEX(TUYEN_NGAY,MATCH(I102,TUYEN_MA,0)),0))</f>
        <v/>
      </c>
      <c r="P102" s="24" t="str">
        <f aca="false">IF(OR(F102="",O102=""),"",MAX(0,F102-O102))</f>
        <v/>
      </c>
      <c r="Q102" s="20" t="str">
        <f aca="false">IF(I102="","",IFERROR(INDEX(TUYEN_DG,MATCH(I102,TUYEN_MA,0)),0))</f>
        <v/>
      </c>
      <c r="R102" s="20" t="str">
        <f aca="false">IF(P102="","",P102*HT_VUOTNGAY)</f>
        <v/>
      </c>
      <c r="S102" s="20" t="str">
        <f aca="false">IF(I102="","",(N(K102)+N(L102))*HT_DAU_KM)</f>
        <v/>
      </c>
      <c r="T102" s="22"/>
      <c r="U102" s="20" t="str">
        <f aca="false">IF(I102="","",N(T102)*IFERROR(INDEX(TUYEN_HTVC,MATCH(I102,TUYEN_MA,0)),0))</f>
        <v/>
      </c>
      <c r="V102" s="37" t="str">
        <f aca="false">IF(I102="","",Q102+R102+S102+U102)</f>
        <v/>
      </c>
      <c r="W102" s="22"/>
      <c r="X102" s="22"/>
      <c r="Y102" s="22"/>
    </row>
    <row r="103" customFormat="false" ht="15" hidden="false" customHeight="false" outlineLevel="0" collapsed="false">
      <c r="A103" s="24" t="str">
        <f aca="false">IF(B103="","",ROW()-4)</f>
        <v/>
      </c>
      <c r="B103" s="22"/>
      <c r="C103" s="24" t="str">
        <f aca="false">IF(B103="","",IFERROR(INDEX(NV_TEN,MATCH(B103,NV_MA,0)),"MÃ KHÔNG CÓ"))</f>
        <v/>
      </c>
      <c r="D103" s="46"/>
      <c r="E103" s="46"/>
      <c r="F103" s="24" t="str">
        <f aca="false">IF(OR(D103="",E103=""),"",E103-D103+1)</f>
        <v/>
      </c>
      <c r="G103" s="22"/>
      <c r="H103" s="22"/>
      <c r="I103" s="22"/>
      <c r="J103" s="24" t="str">
        <f aca="false">IF(I103="","",IFERROR(INDEX(TUYEN_MOTA,MATCH(I103,TUYEN_MA,0)),"TUYẾN KHÔNG CÓ"))</f>
        <v/>
      </c>
      <c r="K103" s="22"/>
      <c r="L103" s="22"/>
      <c r="M103" s="22"/>
      <c r="N103" s="22"/>
      <c r="O103" s="24" t="str">
        <f aca="false">IF(I103="","",IFERROR(INDEX(TUYEN_NGAY,MATCH(I103,TUYEN_MA,0)),0))</f>
        <v/>
      </c>
      <c r="P103" s="24" t="str">
        <f aca="false">IF(OR(F103="",O103=""),"",MAX(0,F103-O103))</f>
        <v/>
      </c>
      <c r="Q103" s="20" t="str">
        <f aca="false">IF(I103="","",IFERROR(INDEX(TUYEN_DG,MATCH(I103,TUYEN_MA,0)),0))</f>
        <v/>
      </c>
      <c r="R103" s="20" t="str">
        <f aca="false">IF(P103="","",P103*HT_VUOTNGAY)</f>
        <v/>
      </c>
      <c r="S103" s="20" t="str">
        <f aca="false">IF(I103="","",(N(K103)+N(L103))*HT_DAU_KM)</f>
        <v/>
      </c>
      <c r="T103" s="22"/>
      <c r="U103" s="20" t="str">
        <f aca="false">IF(I103="","",N(T103)*IFERROR(INDEX(TUYEN_HTVC,MATCH(I103,TUYEN_MA,0)),0))</f>
        <v/>
      </c>
      <c r="V103" s="37" t="str">
        <f aca="false">IF(I103="","",Q103+R103+S103+U103)</f>
        <v/>
      </c>
      <c r="W103" s="22"/>
      <c r="X103" s="22"/>
      <c r="Y103" s="22"/>
    </row>
    <row r="104" customFormat="false" ht="15" hidden="false" customHeight="false" outlineLevel="0" collapsed="false">
      <c r="A104" s="24" t="str">
        <f aca="false">IF(B104="","",ROW()-4)</f>
        <v/>
      </c>
      <c r="B104" s="22"/>
      <c r="C104" s="24" t="str">
        <f aca="false">IF(B104="","",IFERROR(INDEX(NV_TEN,MATCH(B104,NV_MA,0)),"MÃ KHÔNG CÓ"))</f>
        <v/>
      </c>
      <c r="D104" s="46"/>
      <c r="E104" s="46"/>
      <c r="F104" s="24" t="str">
        <f aca="false">IF(OR(D104="",E104=""),"",E104-D104+1)</f>
        <v/>
      </c>
      <c r="G104" s="22"/>
      <c r="H104" s="22"/>
      <c r="I104" s="22"/>
      <c r="J104" s="24" t="str">
        <f aca="false">IF(I104="","",IFERROR(INDEX(TUYEN_MOTA,MATCH(I104,TUYEN_MA,0)),"TUYẾN KHÔNG CÓ"))</f>
        <v/>
      </c>
      <c r="K104" s="22"/>
      <c r="L104" s="22"/>
      <c r="M104" s="22"/>
      <c r="N104" s="22"/>
      <c r="O104" s="24" t="str">
        <f aca="false">IF(I104="","",IFERROR(INDEX(TUYEN_NGAY,MATCH(I104,TUYEN_MA,0)),0))</f>
        <v/>
      </c>
      <c r="P104" s="24" t="str">
        <f aca="false">IF(OR(F104="",O104=""),"",MAX(0,F104-O104))</f>
        <v/>
      </c>
      <c r="Q104" s="20" t="str">
        <f aca="false">IF(I104="","",IFERROR(INDEX(TUYEN_DG,MATCH(I104,TUYEN_MA,0)),0))</f>
        <v/>
      </c>
      <c r="R104" s="20" t="str">
        <f aca="false">IF(P104="","",P104*HT_VUOTNGAY)</f>
        <v/>
      </c>
      <c r="S104" s="20" t="str">
        <f aca="false">IF(I104="","",(N(K104)+N(L104))*HT_DAU_KM)</f>
        <v/>
      </c>
      <c r="T104" s="22"/>
      <c r="U104" s="20" t="str">
        <f aca="false">IF(I104="","",N(T104)*IFERROR(INDEX(TUYEN_HTVC,MATCH(I104,TUYEN_MA,0)),0))</f>
        <v/>
      </c>
      <c r="V104" s="37" t="str">
        <f aca="false">IF(I104="","",Q104+R104+S104+U104)</f>
        <v/>
      </c>
      <c r="W104" s="22"/>
      <c r="X104" s="22"/>
      <c r="Y104" s="22"/>
    </row>
    <row r="105" customFormat="false" ht="15" hidden="false" customHeight="false" outlineLevel="0" collapsed="false">
      <c r="A105" s="24" t="str">
        <f aca="false">IF(B105="","",ROW()-4)</f>
        <v/>
      </c>
      <c r="B105" s="22"/>
      <c r="C105" s="24" t="str">
        <f aca="false">IF(B105="","",IFERROR(INDEX(NV_TEN,MATCH(B105,NV_MA,0)),"MÃ KHÔNG CÓ"))</f>
        <v/>
      </c>
      <c r="D105" s="46"/>
      <c r="E105" s="46"/>
      <c r="F105" s="24" t="str">
        <f aca="false">IF(OR(D105="",E105=""),"",E105-D105+1)</f>
        <v/>
      </c>
      <c r="G105" s="22"/>
      <c r="H105" s="22"/>
      <c r="I105" s="22"/>
      <c r="J105" s="24" t="str">
        <f aca="false">IF(I105="","",IFERROR(INDEX(TUYEN_MOTA,MATCH(I105,TUYEN_MA,0)),"TUYẾN KHÔNG CÓ"))</f>
        <v/>
      </c>
      <c r="K105" s="22"/>
      <c r="L105" s="22"/>
      <c r="M105" s="22"/>
      <c r="N105" s="22"/>
      <c r="O105" s="24" t="str">
        <f aca="false">IF(I105="","",IFERROR(INDEX(TUYEN_NGAY,MATCH(I105,TUYEN_MA,0)),0))</f>
        <v/>
      </c>
      <c r="P105" s="24" t="str">
        <f aca="false">IF(OR(F105="",O105=""),"",MAX(0,F105-O105))</f>
        <v/>
      </c>
      <c r="Q105" s="20" t="str">
        <f aca="false">IF(I105="","",IFERROR(INDEX(TUYEN_DG,MATCH(I105,TUYEN_MA,0)),0))</f>
        <v/>
      </c>
      <c r="R105" s="20" t="str">
        <f aca="false">IF(P105="","",P105*HT_VUOTNGAY)</f>
        <v/>
      </c>
      <c r="S105" s="20" t="str">
        <f aca="false">IF(I105="","",(N(K105)+N(L105))*HT_DAU_KM)</f>
        <v/>
      </c>
      <c r="T105" s="22"/>
      <c r="U105" s="20" t="str">
        <f aca="false">IF(I105="","",N(T105)*IFERROR(INDEX(TUYEN_HTVC,MATCH(I105,TUYEN_MA,0)),0))</f>
        <v/>
      </c>
      <c r="V105" s="37" t="str">
        <f aca="false">IF(I105="","",Q105+R105+S105+U105)</f>
        <v/>
      </c>
      <c r="W105" s="22"/>
      <c r="X105" s="22"/>
      <c r="Y105" s="22"/>
    </row>
    <row r="106" customFormat="false" ht="15" hidden="false" customHeight="false" outlineLevel="0" collapsed="false">
      <c r="A106" s="24" t="str">
        <f aca="false">IF(B106="","",ROW()-4)</f>
        <v/>
      </c>
      <c r="B106" s="22"/>
      <c r="C106" s="24" t="str">
        <f aca="false">IF(B106="","",IFERROR(INDEX(NV_TEN,MATCH(B106,NV_MA,0)),"MÃ KHÔNG CÓ"))</f>
        <v/>
      </c>
      <c r="D106" s="46"/>
      <c r="E106" s="46"/>
      <c r="F106" s="24" t="str">
        <f aca="false">IF(OR(D106="",E106=""),"",E106-D106+1)</f>
        <v/>
      </c>
      <c r="G106" s="22"/>
      <c r="H106" s="22"/>
      <c r="I106" s="22"/>
      <c r="J106" s="24" t="str">
        <f aca="false">IF(I106="","",IFERROR(INDEX(TUYEN_MOTA,MATCH(I106,TUYEN_MA,0)),"TUYẾN KHÔNG CÓ"))</f>
        <v/>
      </c>
      <c r="K106" s="22"/>
      <c r="L106" s="22"/>
      <c r="M106" s="22"/>
      <c r="N106" s="22"/>
      <c r="O106" s="24" t="str">
        <f aca="false">IF(I106="","",IFERROR(INDEX(TUYEN_NGAY,MATCH(I106,TUYEN_MA,0)),0))</f>
        <v/>
      </c>
      <c r="P106" s="24" t="str">
        <f aca="false">IF(OR(F106="",O106=""),"",MAX(0,F106-O106))</f>
        <v/>
      </c>
      <c r="Q106" s="20" t="str">
        <f aca="false">IF(I106="","",IFERROR(INDEX(TUYEN_DG,MATCH(I106,TUYEN_MA,0)),0))</f>
        <v/>
      </c>
      <c r="R106" s="20" t="str">
        <f aca="false">IF(P106="","",P106*HT_VUOTNGAY)</f>
        <v/>
      </c>
      <c r="S106" s="20" t="str">
        <f aca="false">IF(I106="","",(N(K106)+N(L106))*HT_DAU_KM)</f>
        <v/>
      </c>
      <c r="T106" s="22"/>
      <c r="U106" s="20" t="str">
        <f aca="false">IF(I106="","",N(T106)*IFERROR(INDEX(TUYEN_HTVC,MATCH(I106,TUYEN_MA,0)),0))</f>
        <v/>
      </c>
      <c r="V106" s="37" t="str">
        <f aca="false">IF(I106="","",Q106+R106+S106+U106)</f>
        <v/>
      </c>
      <c r="W106" s="22"/>
      <c r="X106" s="22"/>
      <c r="Y106" s="22"/>
    </row>
    <row r="107" customFormat="false" ht="15" hidden="false" customHeight="false" outlineLevel="0" collapsed="false">
      <c r="A107" s="24" t="str">
        <f aca="false">IF(B107="","",ROW()-4)</f>
        <v/>
      </c>
      <c r="B107" s="22"/>
      <c r="C107" s="24" t="str">
        <f aca="false">IF(B107="","",IFERROR(INDEX(NV_TEN,MATCH(B107,NV_MA,0)),"MÃ KHÔNG CÓ"))</f>
        <v/>
      </c>
      <c r="D107" s="46"/>
      <c r="E107" s="46"/>
      <c r="F107" s="24" t="str">
        <f aca="false">IF(OR(D107="",E107=""),"",E107-D107+1)</f>
        <v/>
      </c>
      <c r="G107" s="22"/>
      <c r="H107" s="22"/>
      <c r="I107" s="22"/>
      <c r="J107" s="24" t="str">
        <f aca="false">IF(I107="","",IFERROR(INDEX(TUYEN_MOTA,MATCH(I107,TUYEN_MA,0)),"TUYẾN KHÔNG CÓ"))</f>
        <v/>
      </c>
      <c r="K107" s="22"/>
      <c r="L107" s="22"/>
      <c r="M107" s="22"/>
      <c r="N107" s="22"/>
      <c r="O107" s="24" t="str">
        <f aca="false">IF(I107="","",IFERROR(INDEX(TUYEN_NGAY,MATCH(I107,TUYEN_MA,0)),0))</f>
        <v/>
      </c>
      <c r="P107" s="24" t="str">
        <f aca="false">IF(OR(F107="",O107=""),"",MAX(0,F107-O107))</f>
        <v/>
      </c>
      <c r="Q107" s="20" t="str">
        <f aca="false">IF(I107="","",IFERROR(INDEX(TUYEN_DG,MATCH(I107,TUYEN_MA,0)),0))</f>
        <v/>
      </c>
      <c r="R107" s="20" t="str">
        <f aca="false">IF(P107="","",P107*HT_VUOTNGAY)</f>
        <v/>
      </c>
      <c r="S107" s="20" t="str">
        <f aca="false">IF(I107="","",(N(K107)+N(L107))*HT_DAU_KM)</f>
        <v/>
      </c>
      <c r="T107" s="22"/>
      <c r="U107" s="20" t="str">
        <f aca="false">IF(I107="","",N(T107)*IFERROR(INDEX(TUYEN_HTVC,MATCH(I107,TUYEN_MA,0)),0))</f>
        <v/>
      </c>
      <c r="V107" s="37" t="str">
        <f aca="false">IF(I107="","",Q107+R107+S107+U107)</f>
        <v/>
      </c>
      <c r="W107" s="22"/>
      <c r="X107" s="22"/>
      <c r="Y107" s="22"/>
    </row>
    <row r="108" customFormat="false" ht="15" hidden="false" customHeight="false" outlineLevel="0" collapsed="false">
      <c r="A108" s="24" t="str">
        <f aca="false">IF(B108="","",ROW()-4)</f>
        <v/>
      </c>
      <c r="B108" s="22"/>
      <c r="C108" s="24" t="str">
        <f aca="false">IF(B108="","",IFERROR(INDEX(NV_TEN,MATCH(B108,NV_MA,0)),"MÃ KHÔNG CÓ"))</f>
        <v/>
      </c>
      <c r="D108" s="46"/>
      <c r="E108" s="46"/>
      <c r="F108" s="24" t="str">
        <f aca="false">IF(OR(D108="",E108=""),"",E108-D108+1)</f>
        <v/>
      </c>
      <c r="G108" s="22"/>
      <c r="H108" s="22"/>
      <c r="I108" s="22"/>
      <c r="J108" s="24" t="str">
        <f aca="false">IF(I108="","",IFERROR(INDEX(TUYEN_MOTA,MATCH(I108,TUYEN_MA,0)),"TUYẾN KHÔNG CÓ"))</f>
        <v/>
      </c>
      <c r="K108" s="22"/>
      <c r="L108" s="22"/>
      <c r="M108" s="22"/>
      <c r="N108" s="22"/>
      <c r="O108" s="24" t="str">
        <f aca="false">IF(I108="","",IFERROR(INDEX(TUYEN_NGAY,MATCH(I108,TUYEN_MA,0)),0))</f>
        <v/>
      </c>
      <c r="P108" s="24" t="str">
        <f aca="false">IF(OR(F108="",O108=""),"",MAX(0,F108-O108))</f>
        <v/>
      </c>
      <c r="Q108" s="20" t="str">
        <f aca="false">IF(I108="","",IFERROR(INDEX(TUYEN_DG,MATCH(I108,TUYEN_MA,0)),0))</f>
        <v/>
      </c>
      <c r="R108" s="20" t="str">
        <f aca="false">IF(P108="","",P108*HT_VUOTNGAY)</f>
        <v/>
      </c>
      <c r="S108" s="20" t="str">
        <f aca="false">IF(I108="","",(N(K108)+N(L108))*HT_DAU_KM)</f>
        <v/>
      </c>
      <c r="T108" s="22"/>
      <c r="U108" s="20" t="str">
        <f aca="false">IF(I108="","",N(T108)*IFERROR(INDEX(TUYEN_HTVC,MATCH(I108,TUYEN_MA,0)),0))</f>
        <v/>
      </c>
      <c r="V108" s="37" t="str">
        <f aca="false">IF(I108="","",Q108+R108+S108+U108)</f>
        <v/>
      </c>
      <c r="W108" s="22"/>
      <c r="X108" s="22"/>
      <c r="Y108" s="22"/>
    </row>
    <row r="109" customFormat="false" ht="15" hidden="false" customHeight="false" outlineLevel="0" collapsed="false">
      <c r="A109" s="24" t="str">
        <f aca="false">IF(B109="","",ROW()-4)</f>
        <v/>
      </c>
      <c r="B109" s="22"/>
      <c r="C109" s="24" t="str">
        <f aca="false">IF(B109="","",IFERROR(INDEX(NV_TEN,MATCH(B109,NV_MA,0)),"MÃ KHÔNG CÓ"))</f>
        <v/>
      </c>
      <c r="D109" s="46"/>
      <c r="E109" s="46"/>
      <c r="F109" s="24" t="str">
        <f aca="false">IF(OR(D109="",E109=""),"",E109-D109+1)</f>
        <v/>
      </c>
      <c r="G109" s="22"/>
      <c r="H109" s="22"/>
      <c r="I109" s="22"/>
      <c r="J109" s="24" t="str">
        <f aca="false">IF(I109="","",IFERROR(INDEX(TUYEN_MOTA,MATCH(I109,TUYEN_MA,0)),"TUYẾN KHÔNG CÓ"))</f>
        <v/>
      </c>
      <c r="K109" s="22"/>
      <c r="L109" s="22"/>
      <c r="M109" s="22"/>
      <c r="N109" s="22"/>
      <c r="O109" s="24" t="str">
        <f aca="false">IF(I109="","",IFERROR(INDEX(TUYEN_NGAY,MATCH(I109,TUYEN_MA,0)),0))</f>
        <v/>
      </c>
      <c r="P109" s="24" t="str">
        <f aca="false">IF(OR(F109="",O109=""),"",MAX(0,F109-O109))</f>
        <v/>
      </c>
      <c r="Q109" s="20" t="str">
        <f aca="false">IF(I109="","",IFERROR(INDEX(TUYEN_DG,MATCH(I109,TUYEN_MA,0)),0))</f>
        <v/>
      </c>
      <c r="R109" s="20" t="str">
        <f aca="false">IF(P109="","",P109*HT_VUOTNGAY)</f>
        <v/>
      </c>
      <c r="S109" s="20" t="str">
        <f aca="false">IF(I109="","",(N(K109)+N(L109))*HT_DAU_KM)</f>
        <v/>
      </c>
      <c r="T109" s="22"/>
      <c r="U109" s="20" t="str">
        <f aca="false">IF(I109="","",N(T109)*IFERROR(INDEX(TUYEN_HTVC,MATCH(I109,TUYEN_MA,0)),0))</f>
        <v/>
      </c>
      <c r="V109" s="37" t="str">
        <f aca="false">IF(I109="","",Q109+R109+S109+U109)</f>
        <v/>
      </c>
      <c r="W109" s="22"/>
      <c r="X109" s="22"/>
      <c r="Y109" s="22"/>
    </row>
    <row r="110" customFormat="false" ht="15" hidden="false" customHeight="false" outlineLevel="0" collapsed="false">
      <c r="A110" s="24" t="str">
        <f aca="false">IF(B110="","",ROW()-4)</f>
        <v/>
      </c>
      <c r="B110" s="22"/>
      <c r="C110" s="24" t="str">
        <f aca="false">IF(B110="","",IFERROR(INDEX(NV_TEN,MATCH(B110,NV_MA,0)),"MÃ KHÔNG CÓ"))</f>
        <v/>
      </c>
      <c r="D110" s="46"/>
      <c r="E110" s="46"/>
      <c r="F110" s="24" t="str">
        <f aca="false">IF(OR(D110="",E110=""),"",E110-D110+1)</f>
        <v/>
      </c>
      <c r="G110" s="22"/>
      <c r="H110" s="22"/>
      <c r="I110" s="22"/>
      <c r="J110" s="24" t="str">
        <f aca="false">IF(I110="","",IFERROR(INDEX(TUYEN_MOTA,MATCH(I110,TUYEN_MA,0)),"TUYẾN KHÔNG CÓ"))</f>
        <v/>
      </c>
      <c r="K110" s="22"/>
      <c r="L110" s="22"/>
      <c r="M110" s="22"/>
      <c r="N110" s="22"/>
      <c r="O110" s="24" t="str">
        <f aca="false">IF(I110="","",IFERROR(INDEX(TUYEN_NGAY,MATCH(I110,TUYEN_MA,0)),0))</f>
        <v/>
      </c>
      <c r="P110" s="24" t="str">
        <f aca="false">IF(OR(F110="",O110=""),"",MAX(0,F110-O110))</f>
        <v/>
      </c>
      <c r="Q110" s="20" t="str">
        <f aca="false">IF(I110="","",IFERROR(INDEX(TUYEN_DG,MATCH(I110,TUYEN_MA,0)),0))</f>
        <v/>
      </c>
      <c r="R110" s="20" t="str">
        <f aca="false">IF(P110="","",P110*HT_VUOTNGAY)</f>
        <v/>
      </c>
      <c r="S110" s="20" t="str">
        <f aca="false">IF(I110="","",(N(K110)+N(L110))*HT_DAU_KM)</f>
        <v/>
      </c>
      <c r="T110" s="22"/>
      <c r="U110" s="20" t="str">
        <f aca="false">IF(I110="","",N(T110)*IFERROR(INDEX(TUYEN_HTVC,MATCH(I110,TUYEN_MA,0)),0))</f>
        <v/>
      </c>
      <c r="V110" s="37" t="str">
        <f aca="false">IF(I110="","",Q110+R110+S110+U110)</f>
        <v/>
      </c>
      <c r="W110" s="22"/>
      <c r="X110" s="22"/>
      <c r="Y110" s="22"/>
    </row>
    <row r="111" customFormat="false" ht="15" hidden="false" customHeight="false" outlineLevel="0" collapsed="false">
      <c r="A111" s="24" t="str">
        <f aca="false">IF(B111="","",ROW()-4)</f>
        <v/>
      </c>
      <c r="B111" s="22"/>
      <c r="C111" s="24" t="str">
        <f aca="false">IF(B111="","",IFERROR(INDEX(NV_TEN,MATCH(B111,NV_MA,0)),"MÃ KHÔNG CÓ"))</f>
        <v/>
      </c>
      <c r="D111" s="46"/>
      <c r="E111" s="46"/>
      <c r="F111" s="24" t="str">
        <f aca="false">IF(OR(D111="",E111=""),"",E111-D111+1)</f>
        <v/>
      </c>
      <c r="G111" s="22"/>
      <c r="H111" s="22"/>
      <c r="I111" s="22"/>
      <c r="J111" s="24" t="str">
        <f aca="false">IF(I111="","",IFERROR(INDEX(TUYEN_MOTA,MATCH(I111,TUYEN_MA,0)),"TUYẾN KHÔNG CÓ"))</f>
        <v/>
      </c>
      <c r="K111" s="22"/>
      <c r="L111" s="22"/>
      <c r="M111" s="22"/>
      <c r="N111" s="22"/>
      <c r="O111" s="24" t="str">
        <f aca="false">IF(I111="","",IFERROR(INDEX(TUYEN_NGAY,MATCH(I111,TUYEN_MA,0)),0))</f>
        <v/>
      </c>
      <c r="P111" s="24" t="str">
        <f aca="false">IF(OR(F111="",O111=""),"",MAX(0,F111-O111))</f>
        <v/>
      </c>
      <c r="Q111" s="20" t="str">
        <f aca="false">IF(I111="","",IFERROR(INDEX(TUYEN_DG,MATCH(I111,TUYEN_MA,0)),0))</f>
        <v/>
      </c>
      <c r="R111" s="20" t="str">
        <f aca="false">IF(P111="","",P111*HT_VUOTNGAY)</f>
        <v/>
      </c>
      <c r="S111" s="20" t="str">
        <f aca="false">IF(I111="","",(N(K111)+N(L111))*HT_DAU_KM)</f>
        <v/>
      </c>
      <c r="T111" s="22"/>
      <c r="U111" s="20" t="str">
        <f aca="false">IF(I111="","",N(T111)*IFERROR(INDEX(TUYEN_HTVC,MATCH(I111,TUYEN_MA,0)),0))</f>
        <v/>
      </c>
      <c r="V111" s="37" t="str">
        <f aca="false">IF(I111="","",Q111+R111+S111+U111)</f>
        <v/>
      </c>
      <c r="W111" s="22"/>
      <c r="X111" s="22"/>
      <c r="Y111" s="22"/>
    </row>
    <row r="112" customFormat="false" ht="15" hidden="false" customHeight="false" outlineLevel="0" collapsed="false">
      <c r="A112" s="24" t="str">
        <f aca="false">IF(B112="","",ROW()-4)</f>
        <v/>
      </c>
      <c r="B112" s="22"/>
      <c r="C112" s="24" t="str">
        <f aca="false">IF(B112="","",IFERROR(INDEX(NV_TEN,MATCH(B112,NV_MA,0)),"MÃ KHÔNG CÓ"))</f>
        <v/>
      </c>
      <c r="D112" s="46"/>
      <c r="E112" s="46"/>
      <c r="F112" s="24" t="str">
        <f aca="false">IF(OR(D112="",E112=""),"",E112-D112+1)</f>
        <v/>
      </c>
      <c r="G112" s="22"/>
      <c r="H112" s="22"/>
      <c r="I112" s="22"/>
      <c r="J112" s="24" t="str">
        <f aca="false">IF(I112="","",IFERROR(INDEX(TUYEN_MOTA,MATCH(I112,TUYEN_MA,0)),"TUYẾN KHÔNG CÓ"))</f>
        <v/>
      </c>
      <c r="K112" s="22"/>
      <c r="L112" s="22"/>
      <c r="M112" s="22"/>
      <c r="N112" s="22"/>
      <c r="O112" s="24" t="str">
        <f aca="false">IF(I112="","",IFERROR(INDEX(TUYEN_NGAY,MATCH(I112,TUYEN_MA,0)),0))</f>
        <v/>
      </c>
      <c r="P112" s="24" t="str">
        <f aca="false">IF(OR(F112="",O112=""),"",MAX(0,F112-O112))</f>
        <v/>
      </c>
      <c r="Q112" s="20" t="str">
        <f aca="false">IF(I112="","",IFERROR(INDEX(TUYEN_DG,MATCH(I112,TUYEN_MA,0)),0))</f>
        <v/>
      </c>
      <c r="R112" s="20" t="str">
        <f aca="false">IF(P112="","",P112*HT_VUOTNGAY)</f>
        <v/>
      </c>
      <c r="S112" s="20" t="str">
        <f aca="false">IF(I112="","",(N(K112)+N(L112))*HT_DAU_KM)</f>
        <v/>
      </c>
      <c r="T112" s="22"/>
      <c r="U112" s="20" t="str">
        <f aca="false">IF(I112="","",N(T112)*IFERROR(INDEX(TUYEN_HTVC,MATCH(I112,TUYEN_MA,0)),0))</f>
        <v/>
      </c>
      <c r="V112" s="37" t="str">
        <f aca="false">IF(I112="","",Q112+R112+S112+U112)</f>
        <v/>
      </c>
      <c r="W112" s="22"/>
      <c r="X112" s="22"/>
      <c r="Y112" s="22"/>
    </row>
    <row r="113" customFormat="false" ht="15" hidden="false" customHeight="false" outlineLevel="0" collapsed="false">
      <c r="A113" s="24" t="str">
        <f aca="false">IF(B113="","",ROW()-4)</f>
        <v/>
      </c>
      <c r="B113" s="22"/>
      <c r="C113" s="24" t="str">
        <f aca="false">IF(B113="","",IFERROR(INDEX(NV_TEN,MATCH(B113,NV_MA,0)),"MÃ KHÔNG CÓ"))</f>
        <v/>
      </c>
      <c r="D113" s="46"/>
      <c r="E113" s="46"/>
      <c r="F113" s="24" t="str">
        <f aca="false">IF(OR(D113="",E113=""),"",E113-D113+1)</f>
        <v/>
      </c>
      <c r="G113" s="22"/>
      <c r="H113" s="22"/>
      <c r="I113" s="22"/>
      <c r="J113" s="24" t="str">
        <f aca="false">IF(I113="","",IFERROR(INDEX(TUYEN_MOTA,MATCH(I113,TUYEN_MA,0)),"TUYẾN KHÔNG CÓ"))</f>
        <v/>
      </c>
      <c r="K113" s="22"/>
      <c r="L113" s="22"/>
      <c r="M113" s="22"/>
      <c r="N113" s="22"/>
      <c r="O113" s="24" t="str">
        <f aca="false">IF(I113="","",IFERROR(INDEX(TUYEN_NGAY,MATCH(I113,TUYEN_MA,0)),0))</f>
        <v/>
      </c>
      <c r="P113" s="24" t="str">
        <f aca="false">IF(OR(F113="",O113=""),"",MAX(0,F113-O113))</f>
        <v/>
      </c>
      <c r="Q113" s="20" t="str">
        <f aca="false">IF(I113="","",IFERROR(INDEX(TUYEN_DG,MATCH(I113,TUYEN_MA,0)),0))</f>
        <v/>
      </c>
      <c r="R113" s="20" t="str">
        <f aca="false">IF(P113="","",P113*HT_VUOTNGAY)</f>
        <v/>
      </c>
      <c r="S113" s="20" t="str">
        <f aca="false">IF(I113="","",(N(K113)+N(L113))*HT_DAU_KM)</f>
        <v/>
      </c>
      <c r="T113" s="22"/>
      <c r="U113" s="20" t="str">
        <f aca="false">IF(I113="","",N(T113)*IFERROR(INDEX(TUYEN_HTVC,MATCH(I113,TUYEN_MA,0)),0))</f>
        <v/>
      </c>
      <c r="V113" s="37" t="str">
        <f aca="false">IF(I113="","",Q113+R113+S113+U113)</f>
        <v/>
      </c>
      <c r="W113" s="22"/>
      <c r="X113" s="22"/>
      <c r="Y113" s="22"/>
    </row>
    <row r="114" customFormat="false" ht="15" hidden="false" customHeight="false" outlineLevel="0" collapsed="false">
      <c r="A114" s="24" t="str">
        <f aca="false">IF(B114="","",ROW()-4)</f>
        <v/>
      </c>
      <c r="B114" s="22"/>
      <c r="C114" s="24" t="str">
        <f aca="false">IF(B114="","",IFERROR(INDEX(NV_TEN,MATCH(B114,NV_MA,0)),"MÃ KHÔNG CÓ"))</f>
        <v/>
      </c>
      <c r="D114" s="46"/>
      <c r="E114" s="46"/>
      <c r="F114" s="24" t="str">
        <f aca="false">IF(OR(D114="",E114=""),"",E114-D114+1)</f>
        <v/>
      </c>
      <c r="G114" s="22"/>
      <c r="H114" s="22"/>
      <c r="I114" s="22"/>
      <c r="J114" s="24" t="str">
        <f aca="false">IF(I114="","",IFERROR(INDEX(TUYEN_MOTA,MATCH(I114,TUYEN_MA,0)),"TUYẾN KHÔNG CÓ"))</f>
        <v/>
      </c>
      <c r="K114" s="22"/>
      <c r="L114" s="22"/>
      <c r="M114" s="22"/>
      <c r="N114" s="22"/>
      <c r="O114" s="24" t="str">
        <f aca="false">IF(I114="","",IFERROR(INDEX(TUYEN_NGAY,MATCH(I114,TUYEN_MA,0)),0))</f>
        <v/>
      </c>
      <c r="P114" s="24" t="str">
        <f aca="false">IF(OR(F114="",O114=""),"",MAX(0,F114-O114))</f>
        <v/>
      </c>
      <c r="Q114" s="20" t="str">
        <f aca="false">IF(I114="","",IFERROR(INDEX(TUYEN_DG,MATCH(I114,TUYEN_MA,0)),0))</f>
        <v/>
      </c>
      <c r="R114" s="20" t="str">
        <f aca="false">IF(P114="","",P114*HT_VUOTNGAY)</f>
        <v/>
      </c>
      <c r="S114" s="20" t="str">
        <f aca="false">IF(I114="","",(N(K114)+N(L114))*HT_DAU_KM)</f>
        <v/>
      </c>
      <c r="T114" s="22"/>
      <c r="U114" s="20" t="str">
        <f aca="false">IF(I114="","",N(T114)*IFERROR(INDEX(TUYEN_HTVC,MATCH(I114,TUYEN_MA,0)),0))</f>
        <v/>
      </c>
      <c r="V114" s="37" t="str">
        <f aca="false">IF(I114="","",Q114+R114+S114+U114)</f>
        <v/>
      </c>
      <c r="W114" s="22"/>
      <c r="X114" s="22"/>
      <c r="Y114" s="22"/>
    </row>
    <row r="115" customFormat="false" ht="15" hidden="false" customHeight="false" outlineLevel="0" collapsed="false">
      <c r="A115" s="24" t="str">
        <f aca="false">IF(B115="","",ROW()-4)</f>
        <v/>
      </c>
      <c r="B115" s="22"/>
      <c r="C115" s="24" t="str">
        <f aca="false">IF(B115="","",IFERROR(INDEX(NV_TEN,MATCH(B115,NV_MA,0)),"MÃ KHÔNG CÓ"))</f>
        <v/>
      </c>
      <c r="D115" s="46"/>
      <c r="E115" s="46"/>
      <c r="F115" s="24" t="str">
        <f aca="false">IF(OR(D115="",E115=""),"",E115-D115+1)</f>
        <v/>
      </c>
      <c r="G115" s="22"/>
      <c r="H115" s="22"/>
      <c r="I115" s="22"/>
      <c r="J115" s="24" t="str">
        <f aca="false">IF(I115="","",IFERROR(INDEX(TUYEN_MOTA,MATCH(I115,TUYEN_MA,0)),"TUYẾN KHÔNG CÓ"))</f>
        <v/>
      </c>
      <c r="K115" s="22"/>
      <c r="L115" s="22"/>
      <c r="M115" s="22"/>
      <c r="N115" s="22"/>
      <c r="O115" s="24" t="str">
        <f aca="false">IF(I115="","",IFERROR(INDEX(TUYEN_NGAY,MATCH(I115,TUYEN_MA,0)),0))</f>
        <v/>
      </c>
      <c r="P115" s="24" t="str">
        <f aca="false">IF(OR(F115="",O115=""),"",MAX(0,F115-O115))</f>
        <v/>
      </c>
      <c r="Q115" s="20" t="str">
        <f aca="false">IF(I115="","",IFERROR(INDEX(TUYEN_DG,MATCH(I115,TUYEN_MA,0)),0))</f>
        <v/>
      </c>
      <c r="R115" s="20" t="str">
        <f aca="false">IF(P115="","",P115*HT_VUOTNGAY)</f>
        <v/>
      </c>
      <c r="S115" s="20" t="str">
        <f aca="false">IF(I115="","",(N(K115)+N(L115))*HT_DAU_KM)</f>
        <v/>
      </c>
      <c r="T115" s="22"/>
      <c r="U115" s="20" t="str">
        <f aca="false">IF(I115="","",N(T115)*IFERROR(INDEX(TUYEN_HTVC,MATCH(I115,TUYEN_MA,0)),0))</f>
        <v/>
      </c>
      <c r="V115" s="37" t="str">
        <f aca="false">IF(I115="","",Q115+R115+S115+U115)</f>
        <v/>
      </c>
      <c r="W115" s="22"/>
      <c r="X115" s="22"/>
      <c r="Y115" s="22"/>
    </row>
    <row r="116" customFormat="false" ht="15" hidden="false" customHeight="false" outlineLevel="0" collapsed="false">
      <c r="A116" s="24" t="str">
        <f aca="false">IF(B116="","",ROW()-4)</f>
        <v/>
      </c>
      <c r="B116" s="22"/>
      <c r="C116" s="24" t="str">
        <f aca="false">IF(B116="","",IFERROR(INDEX(NV_TEN,MATCH(B116,NV_MA,0)),"MÃ KHÔNG CÓ"))</f>
        <v/>
      </c>
      <c r="D116" s="46"/>
      <c r="E116" s="46"/>
      <c r="F116" s="24" t="str">
        <f aca="false">IF(OR(D116="",E116=""),"",E116-D116+1)</f>
        <v/>
      </c>
      <c r="G116" s="22"/>
      <c r="H116" s="22"/>
      <c r="I116" s="22"/>
      <c r="J116" s="24" t="str">
        <f aca="false">IF(I116="","",IFERROR(INDEX(TUYEN_MOTA,MATCH(I116,TUYEN_MA,0)),"TUYẾN KHÔNG CÓ"))</f>
        <v/>
      </c>
      <c r="K116" s="22"/>
      <c r="L116" s="22"/>
      <c r="M116" s="22"/>
      <c r="N116" s="22"/>
      <c r="O116" s="24" t="str">
        <f aca="false">IF(I116="","",IFERROR(INDEX(TUYEN_NGAY,MATCH(I116,TUYEN_MA,0)),0))</f>
        <v/>
      </c>
      <c r="P116" s="24" t="str">
        <f aca="false">IF(OR(F116="",O116=""),"",MAX(0,F116-O116))</f>
        <v/>
      </c>
      <c r="Q116" s="20" t="str">
        <f aca="false">IF(I116="","",IFERROR(INDEX(TUYEN_DG,MATCH(I116,TUYEN_MA,0)),0))</f>
        <v/>
      </c>
      <c r="R116" s="20" t="str">
        <f aca="false">IF(P116="","",P116*HT_VUOTNGAY)</f>
        <v/>
      </c>
      <c r="S116" s="20" t="str">
        <f aca="false">IF(I116="","",(N(K116)+N(L116))*HT_DAU_KM)</f>
        <v/>
      </c>
      <c r="T116" s="22"/>
      <c r="U116" s="20" t="str">
        <f aca="false">IF(I116="","",N(T116)*IFERROR(INDEX(TUYEN_HTVC,MATCH(I116,TUYEN_MA,0)),0))</f>
        <v/>
      </c>
      <c r="V116" s="37" t="str">
        <f aca="false">IF(I116="","",Q116+R116+S116+U116)</f>
        <v/>
      </c>
      <c r="W116" s="22"/>
      <c r="X116" s="22"/>
      <c r="Y116" s="22"/>
    </row>
    <row r="117" customFormat="false" ht="15" hidden="false" customHeight="false" outlineLevel="0" collapsed="false">
      <c r="A117" s="24" t="str">
        <f aca="false">IF(B117="","",ROW()-4)</f>
        <v/>
      </c>
      <c r="B117" s="22"/>
      <c r="C117" s="24" t="str">
        <f aca="false">IF(B117="","",IFERROR(INDEX(NV_TEN,MATCH(B117,NV_MA,0)),"MÃ KHÔNG CÓ"))</f>
        <v/>
      </c>
      <c r="D117" s="46"/>
      <c r="E117" s="46"/>
      <c r="F117" s="24" t="str">
        <f aca="false">IF(OR(D117="",E117=""),"",E117-D117+1)</f>
        <v/>
      </c>
      <c r="G117" s="22"/>
      <c r="H117" s="22"/>
      <c r="I117" s="22"/>
      <c r="J117" s="24" t="str">
        <f aca="false">IF(I117="","",IFERROR(INDEX(TUYEN_MOTA,MATCH(I117,TUYEN_MA,0)),"TUYẾN KHÔNG CÓ"))</f>
        <v/>
      </c>
      <c r="K117" s="22"/>
      <c r="L117" s="22"/>
      <c r="M117" s="22"/>
      <c r="N117" s="22"/>
      <c r="O117" s="24" t="str">
        <f aca="false">IF(I117="","",IFERROR(INDEX(TUYEN_NGAY,MATCH(I117,TUYEN_MA,0)),0))</f>
        <v/>
      </c>
      <c r="P117" s="24" t="str">
        <f aca="false">IF(OR(F117="",O117=""),"",MAX(0,F117-O117))</f>
        <v/>
      </c>
      <c r="Q117" s="20" t="str">
        <f aca="false">IF(I117="","",IFERROR(INDEX(TUYEN_DG,MATCH(I117,TUYEN_MA,0)),0))</f>
        <v/>
      </c>
      <c r="R117" s="20" t="str">
        <f aca="false">IF(P117="","",P117*HT_VUOTNGAY)</f>
        <v/>
      </c>
      <c r="S117" s="20" t="str">
        <f aca="false">IF(I117="","",(N(K117)+N(L117))*HT_DAU_KM)</f>
        <v/>
      </c>
      <c r="T117" s="22"/>
      <c r="U117" s="20" t="str">
        <f aca="false">IF(I117="","",N(T117)*IFERROR(INDEX(TUYEN_HTVC,MATCH(I117,TUYEN_MA,0)),0))</f>
        <v/>
      </c>
      <c r="V117" s="37" t="str">
        <f aca="false">IF(I117="","",Q117+R117+S117+U117)</f>
        <v/>
      </c>
      <c r="W117" s="22"/>
      <c r="X117" s="22"/>
      <c r="Y117" s="22"/>
    </row>
    <row r="118" customFormat="false" ht="15" hidden="false" customHeight="false" outlineLevel="0" collapsed="false">
      <c r="A118" s="24" t="str">
        <f aca="false">IF(B118="","",ROW()-4)</f>
        <v/>
      </c>
      <c r="B118" s="22"/>
      <c r="C118" s="24" t="str">
        <f aca="false">IF(B118="","",IFERROR(INDEX(NV_TEN,MATCH(B118,NV_MA,0)),"MÃ KHÔNG CÓ"))</f>
        <v/>
      </c>
      <c r="D118" s="46"/>
      <c r="E118" s="46"/>
      <c r="F118" s="24" t="str">
        <f aca="false">IF(OR(D118="",E118=""),"",E118-D118+1)</f>
        <v/>
      </c>
      <c r="G118" s="22"/>
      <c r="H118" s="22"/>
      <c r="I118" s="22"/>
      <c r="J118" s="24" t="str">
        <f aca="false">IF(I118="","",IFERROR(INDEX(TUYEN_MOTA,MATCH(I118,TUYEN_MA,0)),"TUYẾN KHÔNG CÓ"))</f>
        <v/>
      </c>
      <c r="K118" s="22"/>
      <c r="L118" s="22"/>
      <c r="M118" s="22"/>
      <c r="N118" s="22"/>
      <c r="O118" s="24" t="str">
        <f aca="false">IF(I118="","",IFERROR(INDEX(TUYEN_NGAY,MATCH(I118,TUYEN_MA,0)),0))</f>
        <v/>
      </c>
      <c r="P118" s="24" t="str">
        <f aca="false">IF(OR(F118="",O118=""),"",MAX(0,F118-O118))</f>
        <v/>
      </c>
      <c r="Q118" s="20" t="str">
        <f aca="false">IF(I118="","",IFERROR(INDEX(TUYEN_DG,MATCH(I118,TUYEN_MA,0)),0))</f>
        <v/>
      </c>
      <c r="R118" s="20" t="str">
        <f aca="false">IF(P118="","",P118*HT_VUOTNGAY)</f>
        <v/>
      </c>
      <c r="S118" s="20" t="str">
        <f aca="false">IF(I118="","",(N(K118)+N(L118))*HT_DAU_KM)</f>
        <v/>
      </c>
      <c r="T118" s="22"/>
      <c r="U118" s="20" t="str">
        <f aca="false">IF(I118="","",N(T118)*IFERROR(INDEX(TUYEN_HTVC,MATCH(I118,TUYEN_MA,0)),0))</f>
        <v/>
      </c>
      <c r="V118" s="37" t="str">
        <f aca="false">IF(I118="","",Q118+R118+S118+U118)</f>
        <v/>
      </c>
      <c r="W118" s="22"/>
      <c r="X118" s="22"/>
      <c r="Y118" s="22"/>
    </row>
    <row r="119" customFormat="false" ht="15" hidden="false" customHeight="false" outlineLevel="0" collapsed="false">
      <c r="A119" s="24" t="str">
        <f aca="false">IF(B119="","",ROW()-4)</f>
        <v/>
      </c>
      <c r="B119" s="22"/>
      <c r="C119" s="24" t="str">
        <f aca="false">IF(B119="","",IFERROR(INDEX(NV_TEN,MATCH(B119,NV_MA,0)),"MÃ KHÔNG CÓ"))</f>
        <v/>
      </c>
      <c r="D119" s="46"/>
      <c r="E119" s="46"/>
      <c r="F119" s="24" t="str">
        <f aca="false">IF(OR(D119="",E119=""),"",E119-D119+1)</f>
        <v/>
      </c>
      <c r="G119" s="22"/>
      <c r="H119" s="22"/>
      <c r="I119" s="22"/>
      <c r="J119" s="24" t="str">
        <f aca="false">IF(I119="","",IFERROR(INDEX(TUYEN_MOTA,MATCH(I119,TUYEN_MA,0)),"TUYẾN KHÔNG CÓ"))</f>
        <v/>
      </c>
      <c r="K119" s="22"/>
      <c r="L119" s="22"/>
      <c r="M119" s="22"/>
      <c r="N119" s="22"/>
      <c r="O119" s="24" t="str">
        <f aca="false">IF(I119="","",IFERROR(INDEX(TUYEN_NGAY,MATCH(I119,TUYEN_MA,0)),0))</f>
        <v/>
      </c>
      <c r="P119" s="24" t="str">
        <f aca="false">IF(OR(F119="",O119=""),"",MAX(0,F119-O119))</f>
        <v/>
      </c>
      <c r="Q119" s="20" t="str">
        <f aca="false">IF(I119="","",IFERROR(INDEX(TUYEN_DG,MATCH(I119,TUYEN_MA,0)),0))</f>
        <v/>
      </c>
      <c r="R119" s="20" t="str">
        <f aca="false">IF(P119="","",P119*HT_VUOTNGAY)</f>
        <v/>
      </c>
      <c r="S119" s="20" t="str">
        <f aca="false">IF(I119="","",(N(K119)+N(L119))*HT_DAU_KM)</f>
        <v/>
      </c>
      <c r="T119" s="22"/>
      <c r="U119" s="20" t="str">
        <f aca="false">IF(I119="","",N(T119)*IFERROR(INDEX(TUYEN_HTVC,MATCH(I119,TUYEN_MA,0)),0))</f>
        <v/>
      </c>
      <c r="V119" s="37" t="str">
        <f aca="false">IF(I119="","",Q119+R119+S119+U119)</f>
        <v/>
      </c>
      <c r="W119" s="22"/>
      <c r="X119" s="22"/>
      <c r="Y119" s="22"/>
    </row>
    <row r="120" customFormat="false" ht="15" hidden="false" customHeight="false" outlineLevel="0" collapsed="false">
      <c r="A120" s="24" t="str">
        <f aca="false">IF(B120="","",ROW()-4)</f>
        <v/>
      </c>
      <c r="B120" s="22"/>
      <c r="C120" s="24" t="str">
        <f aca="false">IF(B120="","",IFERROR(INDEX(NV_TEN,MATCH(B120,NV_MA,0)),"MÃ KHÔNG CÓ"))</f>
        <v/>
      </c>
      <c r="D120" s="46"/>
      <c r="E120" s="46"/>
      <c r="F120" s="24" t="str">
        <f aca="false">IF(OR(D120="",E120=""),"",E120-D120+1)</f>
        <v/>
      </c>
      <c r="G120" s="22"/>
      <c r="H120" s="22"/>
      <c r="I120" s="22"/>
      <c r="J120" s="24" t="str">
        <f aca="false">IF(I120="","",IFERROR(INDEX(TUYEN_MOTA,MATCH(I120,TUYEN_MA,0)),"TUYẾN KHÔNG CÓ"))</f>
        <v/>
      </c>
      <c r="K120" s="22"/>
      <c r="L120" s="22"/>
      <c r="M120" s="22"/>
      <c r="N120" s="22"/>
      <c r="O120" s="24" t="str">
        <f aca="false">IF(I120="","",IFERROR(INDEX(TUYEN_NGAY,MATCH(I120,TUYEN_MA,0)),0))</f>
        <v/>
      </c>
      <c r="P120" s="24" t="str">
        <f aca="false">IF(OR(F120="",O120=""),"",MAX(0,F120-O120))</f>
        <v/>
      </c>
      <c r="Q120" s="20" t="str">
        <f aca="false">IF(I120="","",IFERROR(INDEX(TUYEN_DG,MATCH(I120,TUYEN_MA,0)),0))</f>
        <v/>
      </c>
      <c r="R120" s="20" t="str">
        <f aca="false">IF(P120="","",P120*HT_VUOTNGAY)</f>
        <v/>
      </c>
      <c r="S120" s="20" t="str">
        <f aca="false">IF(I120="","",(N(K120)+N(L120))*HT_DAU_KM)</f>
        <v/>
      </c>
      <c r="T120" s="22"/>
      <c r="U120" s="20" t="str">
        <f aca="false">IF(I120="","",N(T120)*IFERROR(INDEX(TUYEN_HTVC,MATCH(I120,TUYEN_MA,0)),0))</f>
        <v/>
      </c>
      <c r="V120" s="37" t="str">
        <f aca="false">IF(I120="","",Q120+R120+S120+U120)</f>
        <v/>
      </c>
      <c r="W120" s="22"/>
      <c r="X120" s="22"/>
      <c r="Y120" s="22"/>
    </row>
    <row r="121" customFormat="false" ht="15" hidden="false" customHeight="false" outlineLevel="0" collapsed="false">
      <c r="A121" s="24" t="str">
        <f aca="false">IF(B121="","",ROW()-4)</f>
        <v/>
      </c>
      <c r="B121" s="22"/>
      <c r="C121" s="24" t="str">
        <f aca="false">IF(B121="","",IFERROR(INDEX(NV_TEN,MATCH(B121,NV_MA,0)),"MÃ KHÔNG CÓ"))</f>
        <v/>
      </c>
      <c r="D121" s="46"/>
      <c r="E121" s="46"/>
      <c r="F121" s="24" t="str">
        <f aca="false">IF(OR(D121="",E121=""),"",E121-D121+1)</f>
        <v/>
      </c>
      <c r="G121" s="22"/>
      <c r="H121" s="22"/>
      <c r="I121" s="22"/>
      <c r="J121" s="24" t="str">
        <f aca="false">IF(I121="","",IFERROR(INDEX(TUYEN_MOTA,MATCH(I121,TUYEN_MA,0)),"TUYẾN KHÔNG CÓ"))</f>
        <v/>
      </c>
      <c r="K121" s="22"/>
      <c r="L121" s="22"/>
      <c r="M121" s="22"/>
      <c r="N121" s="22"/>
      <c r="O121" s="24" t="str">
        <f aca="false">IF(I121="","",IFERROR(INDEX(TUYEN_NGAY,MATCH(I121,TUYEN_MA,0)),0))</f>
        <v/>
      </c>
      <c r="P121" s="24" t="str">
        <f aca="false">IF(OR(F121="",O121=""),"",MAX(0,F121-O121))</f>
        <v/>
      </c>
      <c r="Q121" s="20" t="str">
        <f aca="false">IF(I121="","",IFERROR(INDEX(TUYEN_DG,MATCH(I121,TUYEN_MA,0)),0))</f>
        <v/>
      </c>
      <c r="R121" s="20" t="str">
        <f aca="false">IF(P121="","",P121*HT_VUOTNGAY)</f>
        <v/>
      </c>
      <c r="S121" s="20" t="str">
        <f aca="false">IF(I121="","",(N(K121)+N(L121))*HT_DAU_KM)</f>
        <v/>
      </c>
      <c r="T121" s="22"/>
      <c r="U121" s="20" t="str">
        <f aca="false">IF(I121="","",N(T121)*IFERROR(INDEX(TUYEN_HTVC,MATCH(I121,TUYEN_MA,0)),0))</f>
        <v/>
      </c>
      <c r="V121" s="37" t="str">
        <f aca="false">IF(I121="","",Q121+R121+S121+U121)</f>
        <v/>
      </c>
      <c r="W121" s="22"/>
      <c r="X121" s="22"/>
      <c r="Y121" s="22"/>
    </row>
    <row r="122" customFormat="false" ht="15" hidden="false" customHeight="false" outlineLevel="0" collapsed="false">
      <c r="A122" s="24" t="str">
        <f aca="false">IF(B122="","",ROW()-4)</f>
        <v/>
      </c>
      <c r="B122" s="22"/>
      <c r="C122" s="24" t="str">
        <f aca="false">IF(B122="","",IFERROR(INDEX(NV_TEN,MATCH(B122,NV_MA,0)),"MÃ KHÔNG CÓ"))</f>
        <v/>
      </c>
      <c r="D122" s="46"/>
      <c r="E122" s="46"/>
      <c r="F122" s="24" t="str">
        <f aca="false">IF(OR(D122="",E122=""),"",E122-D122+1)</f>
        <v/>
      </c>
      <c r="G122" s="22"/>
      <c r="H122" s="22"/>
      <c r="I122" s="22"/>
      <c r="J122" s="24" t="str">
        <f aca="false">IF(I122="","",IFERROR(INDEX(TUYEN_MOTA,MATCH(I122,TUYEN_MA,0)),"TUYẾN KHÔNG CÓ"))</f>
        <v/>
      </c>
      <c r="K122" s="22"/>
      <c r="L122" s="22"/>
      <c r="M122" s="22"/>
      <c r="N122" s="22"/>
      <c r="O122" s="24" t="str">
        <f aca="false">IF(I122="","",IFERROR(INDEX(TUYEN_NGAY,MATCH(I122,TUYEN_MA,0)),0))</f>
        <v/>
      </c>
      <c r="P122" s="24" t="str">
        <f aca="false">IF(OR(F122="",O122=""),"",MAX(0,F122-O122))</f>
        <v/>
      </c>
      <c r="Q122" s="20" t="str">
        <f aca="false">IF(I122="","",IFERROR(INDEX(TUYEN_DG,MATCH(I122,TUYEN_MA,0)),0))</f>
        <v/>
      </c>
      <c r="R122" s="20" t="str">
        <f aca="false">IF(P122="","",P122*HT_VUOTNGAY)</f>
        <v/>
      </c>
      <c r="S122" s="20" t="str">
        <f aca="false">IF(I122="","",(N(K122)+N(L122))*HT_DAU_KM)</f>
        <v/>
      </c>
      <c r="T122" s="22"/>
      <c r="U122" s="20" t="str">
        <f aca="false">IF(I122="","",N(T122)*IFERROR(INDEX(TUYEN_HTVC,MATCH(I122,TUYEN_MA,0)),0))</f>
        <v/>
      </c>
      <c r="V122" s="37" t="str">
        <f aca="false">IF(I122="","",Q122+R122+S122+U122)</f>
        <v/>
      </c>
      <c r="W122" s="22"/>
      <c r="X122" s="22"/>
      <c r="Y122" s="22"/>
    </row>
    <row r="123" customFormat="false" ht="15" hidden="false" customHeight="false" outlineLevel="0" collapsed="false">
      <c r="A123" s="24" t="str">
        <f aca="false">IF(B123="","",ROW()-4)</f>
        <v/>
      </c>
      <c r="B123" s="22"/>
      <c r="C123" s="24" t="str">
        <f aca="false">IF(B123="","",IFERROR(INDEX(NV_TEN,MATCH(B123,NV_MA,0)),"MÃ KHÔNG CÓ"))</f>
        <v/>
      </c>
      <c r="D123" s="46"/>
      <c r="E123" s="46"/>
      <c r="F123" s="24" t="str">
        <f aca="false">IF(OR(D123="",E123=""),"",E123-D123+1)</f>
        <v/>
      </c>
      <c r="G123" s="22"/>
      <c r="H123" s="22"/>
      <c r="I123" s="22"/>
      <c r="J123" s="24" t="str">
        <f aca="false">IF(I123="","",IFERROR(INDEX(TUYEN_MOTA,MATCH(I123,TUYEN_MA,0)),"TUYẾN KHÔNG CÓ"))</f>
        <v/>
      </c>
      <c r="K123" s="22"/>
      <c r="L123" s="22"/>
      <c r="M123" s="22"/>
      <c r="N123" s="22"/>
      <c r="O123" s="24" t="str">
        <f aca="false">IF(I123="","",IFERROR(INDEX(TUYEN_NGAY,MATCH(I123,TUYEN_MA,0)),0))</f>
        <v/>
      </c>
      <c r="P123" s="24" t="str">
        <f aca="false">IF(OR(F123="",O123=""),"",MAX(0,F123-O123))</f>
        <v/>
      </c>
      <c r="Q123" s="20" t="str">
        <f aca="false">IF(I123="","",IFERROR(INDEX(TUYEN_DG,MATCH(I123,TUYEN_MA,0)),0))</f>
        <v/>
      </c>
      <c r="R123" s="20" t="str">
        <f aca="false">IF(P123="","",P123*HT_VUOTNGAY)</f>
        <v/>
      </c>
      <c r="S123" s="20" t="str">
        <f aca="false">IF(I123="","",(N(K123)+N(L123))*HT_DAU_KM)</f>
        <v/>
      </c>
      <c r="T123" s="22"/>
      <c r="U123" s="20" t="str">
        <f aca="false">IF(I123="","",N(T123)*IFERROR(INDEX(TUYEN_HTVC,MATCH(I123,TUYEN_MA,0)),0))</f>
        <v/>
      </c>
      <c r="V123" s="37" t="str">
        <f aca="false">IF(I123="","",Q123+R123+S123+U123)</f>
        <v/>
      </c>
      <c r="W123" s="22"/>
      <c r="X123" s="22"/>
      <c r="Y123" s="22"/>
    </row>
    <row r="124" customFormat="false" ht="15" hidden="false" customHeight="false" outlineLevel="0" collapsed="false">
      <c r="A124" s="24" t="str">
        <f aca="false">IF(B124="","",ROW()-4)</f>
        <v/>
      </c>
      <c r="B124" s="22"/>
      <c r="C124" s="24" t="str">
        <f aca="false">IF(B124="","",IFERROR(INDEX(NV_TEN,MATCH(B124,NV_MA,0)),"MÃ KHÔNG CÓ"))</f>
        <v/>
      </c>
      <c r="D124" s="46"/>
      <c r="E124" s="46"/>
      <c r="F124" s="24" t="str">
        <f aca="false">IF(OR(D124="",E124=""),"",E124-D124+1)</f>
        <v/>
      </c>
      <c r="G124" s="22"/>
      <c r="H124" s="22"/>
      <c r="I124" s="22"/>
      <c r="J124" s="24" t="str">
        <f aca="false">IF(I124="","",IFERROR(INDEX(TUYEN_MOTA,MATCH(I124,TUYEN_MA,0)),"TUYẾN KHÔNG CÓ"))</f>
        <v/>
      </c>
      <c r="K124" s="22"/>
      <c r="L124" s="22"/>
      <c r="M124" s="22"/>
      <c r="N124" s="22"/>
      <c r="O124" s="24" t="str">
        <f aca="false">IF(I124="","",IFERROR(INDEX(TUYEN_NGAY,MATCH(I124,TUYEN_MA,0)),0))</f>
        <v/>
      </c>
      <c r="P124" s="24" t="str">
        <f aca="false">IF(OR(F124="",O124=""),"",MAX(0,F124-O124))</f>
        <v/>
      </c>
      <c r="Q124" s="20" t="str">
        <f aca="false">IF(I124="","",IFERROR(INDEX(TUYEN_DG,MATCH(I124,TUYEN_MA,0)),0))</f>
        <v/>
      </c>
      <c r="R124" s="20" t="str">
        <f aca="false">IF(P124="","",P124*HT_VUOTNGAY)</f>
        <v/>
      </c>
      <c r="S124" s="20" t="str">
        <f aca="false">IF(I124="","",(N(K124)+N(L124))*HT_DAU_KM)</f>
        <v/>
      </c>
      <c r="T124" s="22"/>
      <c r="U124" s="20" t="str">
        <f aca="false">IF(I124="","",N(T124)*IFERROR(INDEX(TUYEN_HTVC,MATCH(I124,TUYEN_MA,0)),0))</f>
        <v/>
      </c>
      <c r="V124" s="37" t="str">
        <f aca="false">IF(I124="","",Q124+R124+S124+U124)</f>
        <v/>
      </c>
      <c r="W124" s="22"/>
      <c r="X124" s="22"/>
      <c r="Y124" s="22"/>
    </row>
    <row r="125" customFormat="false" ht="15" hidden="false" customHeight="false" outlineLevel="0" collapsed="false">
      <c r="A125" s="24" t="str">
        <f aca="false">IF(B125="","",ROW()-4)</f>
        <v/>
      </c>
      <c r="B125" s="22"/>
      <c r="C125" s="24" t="str">
        <f aca="false">IF(B125="","",IFERROR(INDEX(NV_TEN,MATCH(B125,NV_MA,0)),"MÃ KHÔNG CÓ"))</f>
        <v/>
      </c>
      <c r="D125" s="46"/>
      <c r="E125" s="46"/>
      <c r="F125" s="24" t="str">
        <f aca="false">IF(OR(D125="",E125=""),"",E125-D125+1)</f>
        <v/>
      </c>
      <c r="G125" s="22"/>
      <c r="H125" s="22"/>
      <c r="I125" s="22"/>
      <c r="J125" s="24" t="str">
        <f aca="false">IF(I125="","",IFERROR(INDEX(TUYEN_MOTA,MATCH(I125,TUYEN_MA,0)),"TUYẾN KHÔNG CÓ"))</f>
        <v/>
      </c>
      <c r="K125" s="22"/>
      <c r="L125" s="22"/>
      <c r="M125" s="22"/>
      <c r="N125" s="22"/>
      <c r="O125" s="24" t="str">
        <f aca="false">IF(I125="","",IFERROR(INDEX(TUYEN_NGAY,MATCH(I125,TUYEN_MA,0)),0))</f>
        <v/>
      </c>
      <c r="P125" s="24" t="str">
        <f aca="false">IF(OR(F125="",O125=""),"",MAX(0,F125-O125))</f>
        <v/>
      </c>
      <c r="Q125" s="20" t="str">
        <f aca="false">IF(I125="","",IFERROR(INDEX(TUYEN_DG,MATCH(I125,TUYEN_MA,0)),0))</f>
        <v/>
      </c>
      <c r="R125" s="20" t="str">
        <f aca="false">IF(P125="","",P125*HT_VUOTNGAY)</f>
        <v/>
      </c>
      <c r="S125" s="20" t="str">
        <f aca="false">IF(I125="","",(N(K125)+N(L125))*HT_DAU_KM)</f>
        <v/>
      </c>
      <c r="T125" s="22"/>
      <c r="U125" s="20" t="str">
        <f aca="false">IF(I125="","",N(T125)*IFERROR(INDEX(TUYEN_HTVC,MATCH(I125,TUYEN_MA,0)),0))</f>
        <v/>
      </c>
      <c r="V125" s="37" t="str">
        <f aca="false">IF(I125="","",Q125+R125+S125+U125)</f>
        <v/>
      </c>
      <c r="W125" s="22"/>
      <c r="X125" s="22"/>
      <c r="Y125" s="22"/>
    </row>
    <row r="126" customFormat="false" ht="15" hidden="false" customHeight="false" outlineLevel="0" collapsed="false">
      <c r="A126" s="24" t="str">
        <f aca="false">IF(B126="","",ROW()-4)</f>
        <v/>
      </c>
      <c r="B126" s="22"/>
      <c r="C126" s="24" t="str">
        <f aca="false">IF(B126="","",IFERROR(INDEX(NV_TEN,MATCH(B126,NV_MA,0)),"MÃ KHÔNG CÓ"))</f>
        <v/>
      </c>
      <c r="D126" s="46"/>
      <c r="E126" s="46"/>
      <c r="F126" s="24" t="str">
        <f aca="false">IF(OR(D126="",E126=""),"",E126-D126+1)</f>
        <v/>
      </c>
      <c r="G126" s="22"/>
      <c r="H126" s="22"/>
      <c r="I126" s="22"/>
      <c r="J126" s="24" t="str">
        <f aca="false">IF(I126="","",IFERROR(INDEX(TUYEN_MOTA,MATCH(I126,TUYEN_MA,0)),"TUYẾN KHÔNG CÓ"))</f>
        <v/>
      </c>
      <c r="K126" s="22"/>
      <c r="L126" s="22"/>
      <c r="M126" s="22"/>
      <c r="N126" s="22"/>
      <c r="O126" s="24" t="str">
        <f aca="false">IF(I126="","",IFERROR(INDEX(TUYEN_NGAY,MATCH(I126,TUYEN_MA,0)),0))</f>
        <v/>
      </c>
      <c r="P126" s="24" t="str">
        <f aca="false">IF(OR(F126="",O126=""),"",MAX(0,F126-O126))</f>
        <v/>
      </c>
      <c r="Q126" s="20" t="str">
        <f aca="false">IF(I126="","",IFERROR(INDEX(TUYEN_DG,MATCH(I126,TUYEN_MA,0)),0))</f>
        <v/>
      </c>
      <c r="R126" s="20" t="str">
        <f aca="false">IF(P126="","",P126*HT_VUOTNGAY)</f>
        <v/>
      </c>
      <c r="S126" s="20" t="str">
        <f aca="false">IF(I126="","",(N(K126)+N(L126))*HT_DAU_KM)</f>
        <v/>
      </c>
      <c r="T126" s="22"/>
      <c r="U126" s="20" t="str">
        <f aca="false">IF(I126="","",N(T126)*IFERROR(INDEX(TUYEN_HTVC,MATCH(I126,TUYEN_MA,0)),0))</f>
        <v/>
      </c>
      <c r="V126" s="37" t="str">
        <f aca="false">IF(I126="","",Q126+R126+S126+U126)</f>
        <v/>
      </c>
      <c r="W126" s="22"/>
      <c r="X126" s="22"/>
      <c r="Y126" s="22"/>
    </row>
    <row r="127" customFormat="false" ht="15" hidden="false" customHeight="false" outlineLevel="0" collapsed="false">
      <c r="A127" s="24" t="str">
        <f aca="false">IF(B127="","",ROW()-4)</f>
        <v/>
      </c>
      <c r="B127" s="22"/>
      <c r="C127" s="24" t="str">
        <f aca="false">IF(B127="","",IFERROR(INDEX(NV_TEN,MATCH(B127,NV_MA,0)),"MÃ KHÔNG CÓ"))</f>
        <v/>
      </c>
      <c r="D127" s="46"/>
      <c r="E127" s="46"/>
      <c r="F127" s="24" t="str">
        <f aca="false">IF(OR(D127="",E127=""),"",E127-D127+1)</f>
        <v/>
      </c>
      <c r="G127" s="22"/>
      <c r="H127" s="22"/>
      <c r="I127" s="22"/>
      <c r="J127" s="24" t="str">
        <f aca="false">IF(I127="","",IFERROR(INDEX(TUYEN_MOTA,MATCH(I127,TUYEN_MA,0)),"TUYẾN KHÔNG CÓ"))</f>
        <v/>
      </c>
      <c r="K127" s="22"/>
      <c r="L127" s="22"/>
      <c r="M127" s="22"/>
      <c r="N127" s="22"/>
      <c r="O127" s="24" t="str">
        <f aca="false">IF(I127="","",IFERROR(INDEX(TUYEN_NGAY,MATCH(I127,TUYEN_MA,0)),0))</f>
        <v/>
      </c>
      <c r="P127" s="24" t="str">
        <f aca="false">IF(OR(F127="",O127=""),"",MAX(0,F127-O127))</f>
        <v/>
      </c>
      <c r="Q127" s="20" t="str">
        <f aca="false">IF(I127="","",IFERROR(INDEX(TUYEN_DG,MATCH(I127,TUYEN_MA,0)),0))</f>
        <v/>
      </c>
      <c r="R127" s="20" t="str">
        <f aca="false">IF(P127="","",P127*HT_VUOTNGAY)</f>
        <v/>
      </c>
      <c r="S127" s="20" t="str">
        <f aca="false">IF(I127="","",(N(K127)+N(L127))*HT_DAU_KM)</f>
        <v/>
      </c>
      <c r="T127" s="22"/>
      <c r="U127" s="20" t="str">
        <f aca="false">IF(I127="","",N(T127)*IFERROR(INDEX(TUYEN_HTVC,MATCH(I127,TUYEN_MA,0)),0))</f>
        <v/>
      </c>
      <c r="V127" s="37" t="str">
        <f aca="false">IF(I127="","",Q127+R127+S127+U127)</f>
        <v/>
      </c>
      <c r="W127" s="22"/>
      <c r="X127" s="22"/>
      <c r="Y127" s="22"/>
    </row>
    <row r="128" customFormat="false" ht="15" hidden="false" customHeight="false" outlineLevel="0" collapsed="false">
      <c r="A128" s="24" t="str">
        <f aca="false">IF(B128="","",ROW()-4)</f>
        <v/>
      </c>
      <c r="B128" s="22"/>
      <c r="C128" s="24" t="str">
        <f aca="false">IF(B128="","",IFERROR(INDEX(NV_TEN,MATCH(B128,NV_MA,0)),"MÃ KHÔNG CÓ"))</f>
        <v/>
      </c>
      <c r="D128" s="46"/>
      <c r="E128" s="46"/>
      <c r="F128" s="24" t="str">
        <f aca="false">IF(OR(D128="",E128=""),"",E128-D128+1)</f>
        <v/>
      </c>
      <c r="G128" s="22"/>
      <c r="H128" s="22"/>
      <c r="I128" s="22"/>
      <c r="J128" s="24" t="str">
        <f aca="false">IF(I128="","",IFERROR(INDEX(TUYEN_MOTA,MATCH(I128,TUYEN_MA,0)),"TUYẾN KHÔNG CÓ"))</f>
        <v/>
      </c>
      <c r="K128" s="22"/>
      <c r="L128" s="22"/>
      <c r="M128" s="22"/>
      <c r="N128" s="22"/>
      <c r="O128" s="24" t="str">
        <f aca="false">IF(I128="","",IFERROR(INDEX(TUYEN_NGAY,MATCH(I128,TUYEN_MA,0)),0))</f>
        <v/>
      </c>
      <c r="P128" s="24" t="str">
        <f aca="false">IF(OR(F128="",O128=""),"",MAX(0,F128-O128))</f>
        <v/>
      </c>
      <c r="Q128" s="20" t="str">
        <f aca="false">IF(I128="","",IFERROR(INDEX(TUYEN_DG,MATCH(I128,TUYEN_MA,0)),0))</f>
        <v/>
      </c>
      <c r="R128" s="20" t="str">
        <f aca="false">IF(P128="","",P128*HT_VUOTNGAY)</f>
        <v/>
      </c>
      <c r="S128" s="20" t="str">
        <f aca="false">IF(I128="","",(N(K128)+N(L128))*HT_DAU_KM)</f>
        <v/>
      </c>
      <c r="T128" s="22"/>
      <c r="U128" s="20" t="str">
        <f aca="false">IF(I128="","",N(T128)*IFERROR(INDEX(TUYEN_HTVC,MATCH(I128,TUYEN_MA,0)),0))</f>
        <v/>
      </c>
      <c r="V128" s="37" t="str">
        <f aca="false">IF(I128="","",Q128+R128+S128+U128)</f>
        <v/>
      </c>
      <c r="W128" s="22"/>
      <c r="X128" s="22"/>
      <c r="Y128" s="22"/>
    </row>
    <row r="129" customFormat="false" ht="15" hidden="false" customHeight="false" outlineLevel="0" collapsed="false">
      <c r="A129" s="24" t="str">
        <f aca="false">IF(B129="","",ROW()-4)</f>
        <v/>
      </c>
      <c r="B129" s="22"/>
      <c r="C129" s="24" t="str">
        <f aca="false">IF(B129="","",IFERROR(INDEX(NV_TEN,MATCH(B129,NV_MA,0)),"MÃ KHÔNG CÓ"))</f>
        <v/>
      </c>
      <c r="D129" s="46"/>
      <c r="E129" s="46"/>
      <c r="F129" s="24" t="str">
        <f aca="false">IF(OR(D129="",E129=""),"",E129-D129+1)</f>
        <v/>
      </c>
      <c r="G129" s="22"/>
      <c r="H129" s="22"/>
      <c r="I129" s="22"/>
      <c r="J129" s="24" t="str">
        <f aca="false">IF(I129="","",IFERROR(INDEX(TUYEN_MOTA,MATCH(I129,TUYEN_MA,0)),"TUYẾN KHÔNG CÓ"))</f>
        <v/>
      </c>
      <c r="K129" s="22"/>
      <c r="L129" s="22"/>
      <c r="M129" s="22"/>
      <c r="N129" s="22"/>
      <c r="O129" s="24" t="str">
        <f aca="false">IF(I129="","",IFERROR(INDEX(TUYEN_NGAY,MATCH(I129,TUYEN_MA,0)),0))</f>
        <v/>
      </c>
      <c r="P129" s="24" t="str">
        <f aca="false">IF(OR(F129="",O129=""),"",MAX(0,F129-O129))</f>
        <v/>
      </c>
      <c r="Q129" s="20" t="str">
        <f aca="false">IF(I129="","",IFERROR(INDEX(TUYEN_DG,MATCH(I129,TUYEN_MA,0)),0))</f>
        <v/>
      </c>
      <c r="R129" s="20" t="str">
        <f aca="false">IF(P129="","",P129*HT_VUOTNGAY)</f>
        <v/>
      </c>
      <c r="S129" s="20" t="str">
        <f aca="false">IF(I129="","",(N(K129)+N(L129))*HT_DAU_KM)</f>
        <v/>
      </c>
      <c r="T129" s="22"/>
      <c r="U129" s="20" t="str">
        <f aca="false">IF(I129="","",N(T129)*IFERROR(INDEX(TUYEN_HTVC,MATCH(I129,TUYEN_MA,0)),0))</f>
        <v/>
      </c>
      <c r="V129" s="37" t="str">
        <f aca="false">IF(I129="","",Q129+R129+S129+U129)</f>
        <v/>
      </c>
      <c r="W129" s="22"/>
      <c r="X129" s="22"/>
      <c r="Y129" s="22"/>
    </row>
    <row r="130" customFormat="false" ht="15" hidden="false" customHeight="false" outlineLevel="0" collapsed="false">
      <c r="A130" s="24" t="str">
        <f aca="false">IF(B130="","",ROW()-4)</f>
        <v/>
      </c>
      <c r="B130" s="22"/>
      <c r="C130" s="24" t="str">
        <f aca="false">IF(B130="","",IFERROR(INDEX(NV_TEN,MATCH(B130,NV_MA,0)),"MÃ KHÔNG CÓ"))</f>
        <v/>
      </c>
      <c r="D130" s="46"/>
      <c r="E130" s="46"/>
      <c r="F130" s="24" t="str">
        <f aca="false">IF(OR(D130="",E130=""),"",E130-D130+1)</f>
        <v/>
      </c>
      <c r="G130" s="22"/>
      <c r="H130" s="22"/>
      <c r="I130" s="22"/>
      <c r="J130" s="24" t="str">
        <f aca="false">IF(I130="","",IFERROR(INDEX(TUYEN_MOTA,MATCH(I130,TUYEN_MA,0)),"TUYẾN KHÔNG CÓ"))</f>
        <v/>
      </c>
      <c r="K130" s="22"/>
      <c r="L130" s="22"/>
      <c r="M130" s="22"/>
      <c r="N130" s="22"/>
      <c r="O130" s="24" t="str">
        <f aca="false">IF(I130="","",IFERROR(INDEX(TUYEN_NGAY,MATCH(I130,TUYEN_MA,0)),0))</f>
        <v/>
      </c>
      <c r="P130" s="24" t="str">
        <f aca="false">IF(OR(F130="",O130=""),"",MAX(0,F130-O130))</f>
        <v/>
      </c>
      <c r="Q130" s="20" t="str">
        <f aca="false">IF(I130="","",IFERROR(INDEX(TUYEN_DG,MATCH(I130,TUYEN_MA,0)),0))</f>
        <v/>
      </c>
      <c r="R130" s="20" t="str">
        <f aca="false">IF(P130="","",P130*HT_VUOTNGAY)</f>
        <v/>
      </c>
      <c r="S130" s="20" t="str">
        <f aca="false">IF(I130="","",(N(K130)+N(L130))*HT_DAU_KM)</f>
        <v/>
      </c>
      <c r="T130" s="22"/>
      <c r="U130" s="20" t="str">
        <f aca="false">IF(I130="","",N(T130)*IFERROR(INDEX(TUYEN_HTVC,MATCH(I130,TUYEN_MA,0)),0))</f>
        <v/>
      </c>
      <c r="V130" s="37" t="str">
        <f aca="false">IF(I130="","",Q130+R130+S130+U130)</f>
        <v/>
      </c>
      <c r="W130" s="22"/>
      <c r="X130" s="22"/>
      <c r="Y130" s="22"/>
    </row>
    <row r="131" customFormat="false" ht="15" hidden="false" customHeight="false" outlineLevel="0" collapsed="false">
      <c r="A131" s="24" t="str">
        <f aca="false">IF(B131="","",ROW()-4)</f>
        <v/>
      </c>
      <c r="B131" s="22"/>
      <c r="C131" s="24" t="str">
        <f aca="false">IF(B131="","",IFERROR(INDEX(NV_TEN,MATCH(B131,NV_MA,0)),"MÃ KHÔNG CÓ"))</f>
        <v/>
      </c>
      <c r="D131" s="46"/>
      <c r="E131" s="46"/>
      <c r="F131" s="24" t="str">
        <f aca="false">IF(OR(D131="",E131=""),"",E131-D131+1)</f>
        <v/>
      </c>
      <c r="G131" s="22"/>
      <c r="H131" s="22"/>
      <c r="I131" s="22"/>
      <c r="J131" s="24" t="str">
        <f aca="false">IF(I131="","",IFERROR(INDEX(TUYEN_MOTA,MATCH(I131,TUYEN_MA,0)),"TUYẾN KHÔNG CÓ"))</f>
        <v/>
      </c>
      <c r="K131" s="22"/>
      <c r="L131" s="22"/>
      <c r="M131" s="22"/>
      <c r="N131" s="22"/>
      <c r="O131" s="24" t="str">
        <f aca="false">IF(I131="","",IFERROR(INDEX(TUYEN_NGAY,MATCH(I131,TUYEN_MA,0)),0))</f>
        <v/>
      </c>
      <c r="P131" s="24" t="str">
        <f aca="false">IF(OR(F131="",O131=""),"",MAX(0,F131-O131))</f>
        <v/>
      </c>
      <c r="Q131" s="20" t="str">
        <f aca="false">IF(I131="","",IFERROR(INDEX(TUYEN_DG,MATCH(I131,TUYEN_MA,0)),0))</f>
        <v/>
      </c>
      <c r="R131" s="20" t="str">
        <f aca="false">IF(P131="","",P131*HT_VUOTNGAY)</f>
        <v/>
      </c>
      <c r="S131" s="20" t="str">
        <f aca="false">IF(I131="","",(N(K131)+N(L131))*HT_DAU_KM)</f>
        <v/>
      </c>
      <c r="T131" s="22"/>
      <c r="U131" s="20" t="str">
        <f aca="false">IF(I131="","",N(T131)*IFERROR(INDEX(TUYEN_HTVC,MATCH(I131,TUYEN_MA,0)),0))</f>
        <v/>
      </c>
      <c r="V131" s="37" t="str">
        <f aca="false">IF(I131="","",Q131+R131+S131+U131)</f>
        <v/>
      </c>
      <c r="W131" s="22"/>
      <c r="X131" s="22"/>
      <c r="Y131" s="22"/>
    </row>
    <row r="132" customFormat="false" ht="15" hidden="false" customHeight="false" outlineLevel="0" collapsed="false">
      <c r="A132" s="24" t="str">
        <f aca="false">IF(B132="","",ROW()-4)</f>
        <v/>
      </c>
      <c r="B132" s="22"/>
      <c r="C132" s="24" t="str">
        <f aca="false">IF(B132="","",IFERROR(INDEX(NV_TEN,MATCH(B132,NV_MA,0)),"MÃ KHÔNG CÓ"))</f>
        <v/>
      </c>
      <c r="D132" s="46"/>
      <c r="E132" s="46"/>
      <c r="F132" s="24" t="str">
        <f aca="false">IF(OR(D132="",E132=""),"",E132-D132+1)</f>
        <v/>
      </c>
      <c r="G132" s="22"/>
      <c r="H132" s="22"/>
      <c r="I132" s="22"/>
      <c r="J132" s="24" t="str">
        <f aca="false">IF(I132="","",IFERROR(INDEX(TUYEN_MOTA,MATCH(I132,TUYEN_MA,0)),"TUYẾN KHÔNG CÓ"))</f>
        <v/>
      </c>
      <c r="K132" s="22"/>
      <c r="L132" s="22"/>
      <c r="M132" s="22"/>
      <c r="N132" s="22"/>
      <c r="O132" s="24" t="str">
        <f aca="false">IF(I132="","",IFERROR(INDEX(TUYEN_NGAY,MATCH(I132,TUYEN_MA,0)),0))</f>
        <v/>
      </c>
      <c r="P132" s="24" t="str">
        <f aca="false">IF(OR(F132="",O132=""),"",MAX(0,F132-O132))</f>
        <v/>
      </c>
      <c r="Q132" s="20" t="str">
        <f aca="false">IF(I132="","",IFERROR(INDEX(TUYEN_DG,MATCH(I132,TUYEN_MA,0)),0))</f>
        <v/>
      </c>
      <c r="R132" s="20" t="str">
        <f aca="false">IF(P132="","",P132*HT_VUOTNGAY)</f>
        <v/>
      </c>
      <c r="S132" s="20" t="str">
        <f aca="false">IF(I132="","",(N(K132)+N(L132))*HT_DAU_KM)</f>
        <v/>
      </c>
      <c r="T132" s="22"/>
      <c r="U132" s="20" t="str">
        <f aca="false">IF(I132="","",N(T132)*IFERROR(INDEX(TUYEN_HTVC,MATCH(I132,TUYEN_MA,0)),0))</f>
        <v/>
      </c>
      <c r="V132" s="37" t="str">
        <f aca="false">IF(I132="","",Q132+R132+S132+U132)</f>
        <v/>
      </c>
      <c r="W132" s="22"/>
      <c r="X132" s="22"/>
      <c r="Y132" s="22"/>
    </row>
    <row r="133" customFormat="false" ht="15" hidden="false" customHeight="false" outlineLevel="0" collapsed="false">
      <c r="A133" s="24" t="str">
        <f aca="false">IF(B133="","",ROW()-4)</f>
        <v/>
      </c>
      <c r="B133" s="22"/>
      <c r="C133" s="24" t="str">
        <f aca="false">IF(B133="","",IFERROR(INDEX(NV_TEN,MATCH(B133,NV_MA,0)),"MÃ KHÔNG CÓ"))</f>
        <v/>
      </c>
      <c r="D133" s="46"/>
      <c r="E133" s="46"/>
      <c r="F133" s="24" t="str">
        <f aca="false">IF(OR(D133="",E133=""),"",E133-D133+1)</f>
        <v/>
      </c>
      <c r="G133" s="22"/>
      <c r="H133" s="22"/>
      <c r="I133" s="22"/>
      <c r="J133" s="24" t="str">
        <f aca="false">IF(I133="","",IFERROR(INDEX(TUYEN_MOTA,MATCH(I133,TUYEN_MA,0)),"TUYẾN KHÔNG CÓ"))</f>
        <v/>
      </c>
      <c r="K133" s="22"/>
      <c r="L133" s="22"/>
      <c r="M133" s="22"/>
      <c r="N133" s="22"/>
      <c r="O133" s="24" t="str">
        <f aca="false">IF(I133="","",IFERROR(INDEX(TUYEN_NGAY,MATCH(I133,TUYEN_MA,0)),0))</f>
        <v/>
      </c>
      <c r="P133" s="24" t="str">
        <f aca="false">IF(OR(F133="",O133=""),"",MAX(0,F133-O133))</f>
        <v/>
      </c>
      <c r="Q133" s="20" t="str">
        <f aca="false">IF(I133="","",IFERROR(INDEX(TUYEN_DG,MATCH(I133,TUYEN_MA,0)),0))</f>
        <v/>
      </c>
      <c r="R133" s="20" t="str">
        <f aca="false">IF(P133="","",P133*HT_VUOTNGAY)</f>
        <v/>
      </c>
      <c r="S133" s="20" t="str">
        <f aca="false">IF(I133="","",(N(K133)+N(L133))*HT_DAU_KM)</f>
        <v/>
      </c>
      <c r="T133" s="22"/>
      <c r="U133" s="20" t="str">
        <f aca="false">IF(I133="","",N(T133)*IFERROR(INDEX(TUYEN_HTVC,MATCH(I133,TUYEN_MA,0)),0))</f>
        <v/>
      </c>
      <c r="V133" s="37" t="str">
        <f aca="false">IF(I133="","",Q133+R133+S133+U133)</f>
        <v/>
      </c>
      <c r="W133" s="22"/>
      <c r="X133" s="22"/>
      <c r="Y133" s="22"/>
    </row>
    <row r="134" customFormat="false" ht="15" hidden="false" customHeight="false" outlineLevel="0" collapsed="false">
      <c r="A134" s="24" t="str">
        <f aca="false">IF(B134="","",ROW()-4)</f>
        <v/>
      </c>
      <c r="B134" s="22"/>
      <c r="C134" s="24" t="str">
        <f aca="false">IF(B134="","",IFERROR(INDEX(NV_TEN,MATCH(B134,NV_MA,0)),"MÃ KHÔNG CÓ"))</f>
        <v/>
      </c>
      <c r="D134" s="46"/>
      <c r="E134" s="46"/>
      <c r="F134" s="24" t="str">
        <f aca="false">IF(OR(D134="",E134=""),"",E134-D134+1)</f>
        <v/>
      </c>
      <c r="G134" s="22"/>
      <c r="H134" s="22"/>
      <c r="I134" s="22"/>
      <c r="J134" s="24" t="str">
        <f aca="false">IF(I134="","",IFERROR(INDEX(TUYEN_MOTA,MATCH(I134,TUYEN_MA,0)),"TUYẾN KHÔNG CÓ"))</f>
        <v/>
      </c>
      <c r="K134" s="22"/>
      <c r="L134" s="22"/>
      <c r="M134" s="22"/>
      <c r="N134" s="22"/>
      <c r="O134" s="24" t="str">
        <f aca="false">IF(I134="","",IFERROR(INDEX(TUYEN_NGAY,MATCH(I134,TUYEN_MA,0)),0))</f>
        <v/>
      </c>
      <c r="P134" s="24" t="str">
        <f aca="false">IF(OR(F134="",O134=""),"",MAX(0,F134-O134))</f>
        <v/>
      </c>
      <c r="Q134" s="20" t="str">
        <f aca="false">IF(I134="","",IFERROR(INDEX(TUYEN_DG,MATCH(I134,TUYEN_MA,0)),0))</f>
        <v/>
      </c>
      <c r="R134" s="20" t="str">
        <f aca="false">IF(P134="","",P134*HT_VUOTNGAY)</f>
        <v/>
      </c>
      <c r="S134" s="20" t="str">
        <f aca="false">IF(I134="","",(N(K134)+N(L134))*HT_DAU_KM)</f>
        <v/>
      </c>
      <c r="T134" s="22"/>
      <c r="U134" s="20" t="str">
        <f aca="false">IF(I134="","",N(T134)*IFERROR(INDEX(TUYEN_HTVC,MATCH(I134,TUYEN_MA,0)),0))</f>
        <v/>
      </c>
      <c r="V134" s="37" t="str">
        <f aca="false">IF(I134="","",Q134+R134+S134+U134)</f>
        <v/>
      </c>
      <c r="W134" s="22"/>
      <c r="X134" s="22"/>
      <c r="Y134" s="22"/>
    </row>
    <row r="135" customFormat="false" ht="15" hidden="false" customHeight="false" outlineLevel="0" collapsed="false">
      <c r="A135" s="24" t="str">
        <f aca="false">IF(B135="","",ROW()-4)</f>
        <v/>
      </c>
      <c r="B135" s="22"/>
      <c r="C135" s="24" t="str">
        <f aca="false">IF(B135="","",IFERROR(INDEX(NV_TEN,MATCH(B135,NV_MA,0)),"MÃ KHÔNG CÓ"))</f>
        <v/>
      </c>
      <c r="D135" s="46"/>
      <c r="E135" s="46"/>
      <c r="F135" s="24" t="str">
        <f aca="false">IF(OR(D135="",E135=""),"",E135-D135+1)</f>
        <v/>
      </c>
      <c r="G135" s="22"/>
      <c r="H135" s="22"/>
      <c r="I135" s="22"/>
      <c r="J135" s="24" t="str">
        <f aca="false">IF(I135="","",IFERROR(INDEX(TUYEN_MOTA,MATCH(I135,TUYEN_MA,0)),"TUYẾN KHÔNG CÓ"))</f>
        <v/>
      </c>
      <c r="K135" s="22"/>
      <c r="L135" s="22"/>
      <c r="M135" s="22"/>
      <c r="N135" s="22"/>
      <c r="O135" s="24" t="str">
        <f aca="false">IF(I135="","",IFERROR(INDEX(TUYEN_NGAY,MATCH(I135,TUYEN_MA,0)),0))</f>
        <v/>
      </c>
      <c r="P135" s="24" t="str">
        <f aca="false">IF(OR(F135="",O135=""),"",MAX(0,F135-O135))</f>
        <v/>
      </c>
      <c r="Q135" s="20" t="str">
        <f aca="false">IF(I135="","",IFERROR(INDEX(TUYEN_DG,MATCH(I135,TUYEN_MA,0)),0))</f>
        <v/>
      </c>
      <c r="R135" s="20" t="str">
        <f aca="false">IF(P135="","",P135*HT_VUOTNGAY)</f>
        <v/>
      </c>
      <c r="S135" s="20" t="str">
        <f aca="false">IF(I135="","",(N(K135)+N(L135))*HT_DAU_KM)</f>
        <v/>
      </c>
      <c r="T135" s="22"/>
      <c r="U135" s="20" t="str">
        <f aca="false">IF(I135="","",N(T135)*IFERROR(INDEX(TUYEN_HTVC,MATCH(I135,TUYEN_MA,0)),0))</f>
        <v/>
      </c>
      <c r="V135" s="37" t="str">
        <f aca="false">IF(I135="","",Q135+R135+S135+U135)</f>
        <v/>
      </c>
      <c r="W135" s="22"/>
      <c r="X135" s="22"/>
      <c r="Y135" s="22"/>
    </row>
    <row r="136" customFormat="false" ht="15" hidden="false" customHeight="false" outlineLevel="0" collapsed="false">
      <c r="A136" s="24" t="str">
        <f aca="false">IF(B136="","",ROW()-4)</f>
        <v/>
      </c>
      <c r="B136" s="22"/>
      <c r="C136" s="24" t="str">
        <f aca="false">IF(B136="","",IFERROR(INDEX(NV_TEN,MATCH(B136,NV_MA,0)),"MÃ KHÔNG CÓ"))</f>
        <v/>
      </c>
      <c r="D136" s="46"/>
      <c r="E136" s="46"/>
      <c r="F136" s="24" t="str">
        <f aca="false">IF(OR(D136="",E136=""),"",E136-D136+1)</f>
        <v/>
      </c>
      <c r="G136" s="22"/>
      <c r="H136" s="22"/>
      <c r="I136" s="22"/>
      <c r="J136" s="24" t="str">
        <f aca="false">IF(I136="","",IFERROR(INDEX(TUYEN_MOTA,MATCH(I136,TUYEN_MA,0)),"TUYẾN KHÔNG CÓ"))</f>
        <v/>
      </c>
      <c r="K136" s="22"/>
      <c r="L136" s="22"/>
      <c r="M136" s="22"/>
      <c r="N136" s="22"/>
      <c r="O136" s="24" t="str">
        <f aca="false">IF(I136="","",IFERROR(INDEX(TUYEN_NGAY,MATCH(I136,TUYEN_MA,0)),0))</f>
        <v/>
      </c>
      <c r="P136" s="24" t="str">
        <f aca="false">IF(OR(F136="",O136=""),"",MAX(0,F136-O136))</f>
        <v/>
      </c>
      <c r="Q136" s="20" t="str">
        <f aca="false">IF(I136="","",IFERROR(INDEX(TUYEN_DG,MATCH(I136,TUYEN_MA,0)),0))</f>
        <v/>
      </c>
      <c r="R136" s="20" t="str">
        <f aca="false">IF(P136="","",P136*HT_VUOTNGAY)</f>
        <v/>
      </c>
      <c r="S136" s="20" t="str">
        <f aca="false">IF(I136="","",(N(K136)+N(L136))*HT_DAU_KM)</f>
        <v/>
      </c>
      <c r="T136" s="22"/>
      <c r="U136" s="20" t="str">
        <f aca="false">IF(I136="","",N(T136)*IFERROR(INDEX(TUYEN_HTVC,MATCH(I136,TUYEN_MA,0)),0))</f>
        <v/>
      </c>
      <c r="V136" s="37" t="str">
        <f aca="false">IF(I136="","",Q136+R136+S136+U136)</f>
        <v/>
      </c>
      <c r="W136" s="22"/>
      <c r="X136" s="22"/>
      <c r="Y136" s="22"/>
    </row>
    <row r="137" customFormat="false" ht="15" hidden="false" customHeight="false" outlineLevel="0" collapsed="false">
      <c r="A137" s="24" t="str">
        <f aca="false">IF(B137="","",ROW()-4)</f>
        <v/>
      </c>
      <c r="B137" s="22"/>
      <c r="C137" s="24" t="str">
        <f aca="false">IF(B137="","",IFERROR(INDEX(NV_TEN,MATCH(B137,NV_MA,0)),"MÃ KHÔNG CÓ"))</f>
        <v/>
      </c>
      <c r="D137" s="46"/>
      <c r="E137" s="46"/>
      <c r="F137" s="24" t="str">
        <f aca="false">IF(OR(D137="",E137=""),"",E137-D137+1)</f>
        <v/>
      </c>
      <c r="G137" s="22"/>
      <c r="H137" s="22"/>
      <c r="I137" s="22"/>
      <c r="J137" s="24" t="str">
        <f aca="false">IF(I137="","",IFERROR(INDEX(TUYEN_MOTA,MATCH(I137,TUYEN_MA,0)),"TUYẾN KHÔNG CÓ"))</f>
        <v/>
      </c>
      <c r="K137" s="22"/>
      <c r="L137" s="22"/>
      <c r="M137" s="22"/>
      <c r="N137" s="22"/>
      <c r="O137" s="24" t="str">
        <f aca="false">IF(I137="","",IFERROR(INDEX(TUYEN_NGAY,MATCH(I137,TUYEN_MA,0)),0))</f>
        <v/>
      </c>
      <c r="P137" s="24" t="str">
        <f aca="false">IF(OR(F137="",O137=""),"",MAX(0,F137-O137))</f>
        <v/>
      </c>
      <c r="Q137" s="20" t="str">
        <f aca="false">IF(I137="","",IFERROR(INDEX(TUYEN_DG,MATCH(I137,TUYEN_MA,0)),0))</f>
        <v/>
      </c>
      <c r="R137" s="20" t="str">
        <f aca="false">IF(P137="","",P137*HT_VUOTNGAY)</f>
        <v/>
      </c>
      <c r="S137" s="20" t="str">
        <f aca="false">IF(I137="","",(N(K137)+N(L137))*HT_DAU_KM)</f>
        <v/>
      </c>
      <c r="T137" s="22"/>
      <c r="U137" s="20" t="str">
        <f aca="false">IF(I137="","",N(T137)*IFERROR(INDEX(TUYEN_HTVC,MATCH(I137,TUYEN_MA,0)),0))</f>
        <v/>
      </c>
      <c r="V137" s="37" t="str">
        <f aca="false">IF(I137="","",Q137+R137+S137+U137)</f>
        <v/>
      </c>
      <c r="W137" s="22"/>
      <c r="X137" s="22"/>
      <c r="Y137" s="22"/>
    </row>
    <row r="138" customFormat="false" ht="15" hidden="false" customHeight="false" outlineLevel="0" collapsed="false">
      <c r="A138" s="24" t="str">
        <f aca="false">IF(B138="","",ROW()-4)</f>
        <v/>
      </c>
      <c r="B138" s="22"/>
      <c r="C138" s="24" t="str">
        <f aca="false">IF(B138="","",IFERROR(INDEX(NV_TEN,MATCH(B138,NV_MA,0)),"MÃ KHÔNG CÓ"))</f>
        <v/>
      </c>
      <c r="D138" s="46"/>
      <c r="E138" s="46"/>
      <c r="F138" s="24" t="str">
        <f aca="false">IF(OR(D138="",E138=""),"",E138-D138+1)</f>
        <v/>
      </c>
      <c r="G138" s="22"/>
      <c r="H138" s="22"/>
      <c r="I138" s="22"/>
      <c r="J138" s="24" t="str">
        <f aca="false">IF(I138="","",IFERROR(INDEX(TUYEN_MOTA,MATCH(I138,TUYEN_MA,0)),"TUYẾN KHÔNG CÓ"))</f>
        <v/>
      </c>
      <c r="K138" s="22"/>
      <c r="L138" s="22"/>
      <c r="M138" s="22"/>
      <c r="N138" s="22"/>
      <c r="O138" s="24" t="str">
        <f aca="false">IF(I138="","",IFERROR(INDEX(TUYEN_NGAY,MATCH(I138,TUYEN_MA,0)),0))</f>
        <v/>
      </c>
      <c r="P138" s="24" t="str">
        <f aca="false">IF(OR(F138="",O138=""),"",MAX(0,F138-O138))</f>
        <v/>
      </c>
      <c r="Q138" s="20" t="str">
        <f aca="false">IF(I138="","",IFERROR(INDEX(TUYEN_DG,MATCH(I138,TUYEN_MA,0)),0))</f>
        <v/>
      </c>
      <c r="R138" s="20" t="str">
        <f aca="false">IF(P138="","",P138*HT_VUOTNGAY)</f>
        <v/>
      </c>
      <c r="S138" s="20" t="str">
        <f aca="false">IF(I138="","",(N(K138)+N(L138))*HT_DAU_KM)</f>
        <v/>
      </c>
      <c r="T138" s="22"/>
      <c r="U138" s="20" t="str">
        <f aca="false">IF(I138="","",N(T138)*IFERROR(INDEX(TUYEN_HTVC,MATCH(I138,TUYEN_MA,0)),0))</f>
        <v/>
      </c>
      <c r="V138" s="37" t="str">
        <f aca="false">IF(I138="","",Q138+R138+S138+U138)</f>
        <v/>
      </c>
      <c r="W138" s="22"/>
      <c r="X138" s="22"/>
      <c r="Y138" s="22"/>
    </row>
    <row r="139" customFormat="false" ht="15" hidden="false" customHeight="false" outlineLevel="0" collapsed="false">
      <c r="A139" s="24" t="str">
        <f aca="false">IF(B139="","",ROW()-4)</f>
        <v/>
      </c>
      <c r="B139" s="22"/>
      <c r="C139" s="24" t="str">
        <f aca="false">IF(B139="","",IFERROR(INDEX(NV_TEN,MATCH(B139,NV_MA,0)),"MÃ KHÔNG CÓ"))</f>
        <v/>
      </c>
      <c r="D139" s="46"/>
      <c r="E139" s="46"/>
      <c r="F139" s="24" t="str">
        <f aca="false">IF(OR(D139="",E139=""),"",E139-D139+1)</f>
        <v/>
      </c>
      <c r="G139" s="22"/>
      <c r="H139" s="22"/>
      <c r="I139" s="22"/>
      <c r="J139" s="24" t="str">
        <f aca="false">IF(I139="","",IFERROR(INDEX(TUYEN_MOTA,MATCH(I139,TUYEN_MA,0)),"TUYẾN KHÔNG CÓ"))</f>
        <v/>
      </c>
      <c r="K139" s="22"/>
      <c r="L139" s="22"/>
      <c r="M139" s="22"/>
      <c r="N139" s="22"/>
      <c r="O139" s="24" t="str">
        <f aca="false">IF(I139="","",IFERROR(INDEX(TUYEN_NGAY,MATCH(I139,TUYEN_MA,0)),0))</f>
        <v/>
      </c>
      <c r="P139" s="24" t="str">
        <f aca="false">IF(OR(F139="",O139=""),"",MAX(0,F139-O139))</f>
        <v/>
      </c>
      <c r="Q139" s="20" t="str">
        <f aca="false">IF(I139="","",IFERROR(INDEX(TUYEN_DG,MATCH(I139,TUYEN_MA,0)),0))</f>
        <v/>
      </c>
      <c r="R139" s="20" t="str">
        <f aca="false">IF(P139="","",P139*HT_VUOTNGAY)</f>
        <v/>
      </c>
      <c r="S139" s="20" t="str">
        <f aca="false">IF(I139="","",(N(K139)+N(L139))*HT_DAU_KM)</f>
        <v/>
      </c>
      <c r="T139" s="22"/>
      <c r="U139" s="20" t="str">
        <f aca="false">IF(I139="","",N(T139)*IFERROR(INDEX(TUYEN_HTVC,MATCH(I139,TUYEN_MA,0)),0))</f>
        <v/>
      </c>
      <c r="V139" s="37" t="str">
        <f aca="false">IF(I139="","",Q139+R139+S139+U139)</f>
        <v/>
      </c>
      <c r="W139" s="22"/>
      <c r="X139" s="22"/>
      <c r="Y139" s="22"/>
    </row>
    <row r="140" customFormat="false" ht="15" hidden="false" customHeight="false" outlineLevel="0" collapsed="false">
      <c r="A140" s="24" t="str">
        <f aca="false">IF(B140="","",ROW()-4)</f>
        <v/>
      </c>
      <c r="B140" s="22"/>
      <c r="C140" s="24" t="str">
        <f aca="false">IF(B140="","",IFERROR(INDEX(NV_TEN,MATCH(B140,NV_MA,0)),"MÃ KHÔNG CÓ"))</f>
        <v/>
      </c>
      <c r="D140" s="46"/>
      <c r="E140" s="46"/>
      <c r="F140" s="24" t="str">
        <f aca="false">IF(OR(D140="",E140=""),"",E140-D140+1)</f>
        <v/>
      </c>
      <c r="G140" s="22"/>
      <c r="H140" s="22"/>
      <c r="I140" s="22"/>
      <c r="J140" s="24" t="str">
        <f aca="false">IF(I140="","",IFERROR(INDEX(TUYEN_MOTA,MATCH(I140,TUYEN_MA,0)),"TUYẾN KHÔNG CÓ"))</f>
        <v/>
      </c>
      <c r="K140" s="22"/>
      <c r="L140" s="22"/>
      <c r="M140" s="22"/>
      <c r="N140" s="22"/>
      <c r="O140" s="24" t="str">
        <f aca="false">IF(I140="","",IFERROR(INDEX(TUYEN_NGAY,MATCH(I140,TUYEN_MA,0)),0))</f>
        <v/>
      </c>
      <c r="P140" s="24" t="str">
        <f aca="false">IF(OR(F140="",O140=""),"",MAX(0,F140-O140))</f>
        <v/>
      </c>
      <c r="Q140" s="20" t="str">
        <f aca="false">IF(I140="","",IFERROR(INDEX(TUYEN_DG,MATCH(I140,TUYEN_MA,0)),0))</f>
        <v/>
      </c>
      <c r="R140" s="20" t="str">
        <f aca="false">IF(P140="","",P140*HT_VUOTNGAY)</f>
        <v/>
      </c>
      <c r="S140" s="20" t="str">
        <f aca="false">IF(I140="","",(N(K140)+N(L140))*HT_DAU_KM)</f>
        <v/>
      </c>
      <c r="T140" s="22"/>
      <c r="U140" s="20" t="str">
        <f aca="false">IF(I140="","",N(T140)*IFERROR(INDEX(TUYEN_HTVC,MATCH(I140,TUYEN_MA,0)),0))</f>
        <v/>
      </c>
      <c r="V140" s="37" t="str">
        <f aca="false">IF(I140="","",Q140+R140+S140+U140)</f>
        <v/>
      </c>
      <c r="W140" s="22"/>
      <c r="X140" s="22"/>
      <c r="Y140" s="22"/>
    </row>
    <row r="141" customFormat="false" ht="15" hidden="false" customHeight="false" outlineLevel="0" collapsed="false">
      <c r="A141" s="24" t="str">
        <f aca="false">IF(B141="","",ROW()-4)</f>
        <v/>
      </c>
      <c r="B141" s="22"/>
      <c r="C141" s="24" t="str">
        <f aca="false">IF(B141="","",IFERROR(INDEX(NV_TEN,MATCH(B141,NV_MA,0)),"MÃ KHÔNG CÓ"))</f>
        <v/>
      </c>
      <c r="D141" s="46"/>
      <c r="E141" s="46"/>
      <c r="F141" s="24" t="str">
        <f aca="false">IF(OR(D141="",E141=""),"",E141-D141+1)</f>
        <v/>
      </c>
      <c r="G141" s="22"/>
      <c r="H141" s="22"/>
      <c r="I141" s="22"/>
      <c r="J141" s="24" t="str">
        <f aca="false">IF(I141="","",IFERROR(INDEX(TUYEN_MOTA,MATCH(I141,TUYEN_MA,0)),"TUYẾN KHÔNG CÓ"))</f>
        <v/>
      </c>
      <c r="K141" s="22"/>
      <c r="L141" s="22"/>
      <c r="M141" s="22"/>
      <c r="N141" s="22"/>
      <c r="O141" s="24" t="str">
        <f aca="false">IF(I141="","",IFERROR(INDEX(TUYEN_NGAY,MATCH(I141,TUYEN_MA,0)),0))</f>
        <v/>
      </c>
      <c r="P141" s="24" t="str">
        <f aca="false">IF(OR(F141="",O141=""),"",MAX(0,F141-O141))</f>
        <v/>
      </c>
      <c r="Q141" s="20" t="str">
        <f aca="false">IF(I141="","",IFERROR(INDEX(TUYEN_DG,MATCH(I141,TUYEN_MA,0)),0))</f>
        <v/>
      </c>
      <c r="R141" s="20" t="str">
        <f aca="false">IF(P141="","",P141*HT_VUOTNGAY)</f>
        <v/>
      </c>
      <c r="S141" s="20" t="str">
        <f aca="false">IF(I141="","",(N(K141)+N(L141))*HT_DAU_KM)</f>
        <v/>
      </c>
      <c r="T141" s="22"/>
      <c r="U141" s="20" t="str">
        <f aca="false">IF(I141="","",N(T141)*IFERROR(INDEX(TUYEN_HTVC,MATCH(I141,TUYEN_MA,0)),0))</f>
        <v/>
      </c>
      <c r="V141" s="37" t="str">
        <f aca="false">IF(I141="","",Q141+R141+S141+U141)</f>
        <v/>
      </c>
      <c r="W141" s="22"/>
      <c r="X141" s="22"/>
      <c r="Y141" s="22"/>
    </row>
    <row r="142" customFormat="false" ht="15" hidden="false" customHeight="false" outlineLevel="0" collapsed="false">
      <c r="A142" s="24" t="str">
        <f aca="false">IF(B142="","",ROW()-4)</f>
        <v/>
      </c>
      <c r="B142" s="22"/>
      <c r="C142" s="24" t="str">
        <f aca="false">IF(B142="","",IFERROR(INDEX(NV_TEN,MATCH(B142,NV_MA,0)),"MÃ KHÔNG CÓ"))</f>
        <v/>
      </c>
      <c r="D142" s="46"/>
      <c r="E142" s="46"/>
      <c r="F142" s="24" t="str">
        <f aca="false">IF(OR(D142="",E142=""),"",E142-D142+1)</f>
        <v/>
      </c>
      <c r="G142" s="22"/>
      <c r="H142" s="22"/>
      <c r="I142" s="22"/>
      <c r="J142" s="24" t="str">
        <f aca="false">IF(I142="","",IFERROR(INDEX(TUYEN_MOTA,MATCH(I142,TUYEN_MA,0)),"TUYẾN KHÔNG CÓ"))</f>
        <v/>
      </c>
      <c r="K142" s="22"/>
      <c r="L142" s="22"/>
      <c r="M142" s="22"/>
      <c r="N142" s="22"/>
      <c r="O142" s="24" t="str">
        <f aca="false">IF(I142="","",IFERROR(INDEX(TUYEN_NGAY,MATCH(I142,TUYEN_MA,0)),0))</f>
        <v/>
      </c>
      <c r="P142" s="24" t="str">
        <f aca="false">IF(OR(F142="",O142=""),"",MAX(0,F142-O142))</f>
        <v/>
      </c>
      <c r="Q142" s="20" t="str">
        <f aca="false">IF(I142="","",IFERROR(INDEX(TUYEN_DG,MATCH(I142,TUYEN_MA,0)),0))</f>
        <v/>
      </c>
      <c r="R142" s="20" t="str">
        <f aca="false">IF(P142="","",P142*HT_VUOTNGAY)</f>
        <v/>
      </c>
      <c r="S142" s="20" t="str">
        <f aca="false">IF(I142="","",(N(K142)+N(L142))*HT_DAU_KM)</f>
        <v/>
      </c>
      <c r="T142" s="22"/>
      <c r="U142" s="20" t="str">
        <f aca="false">IF(I142="","",N(T142)*IFERROR(INDEX(TUYEN_HTVC,MATCH(I142,TUYEN_MA,0)),0))</f>
        <v/>
      </c>
      <c r="V142" s="37" t="str">
        <f aca="false">IF(I142="","",Q142+R142+S142+U142)</f>
        <v/>
      </c>
      <c r="W142" s="22"/>
      <c r="X142" s="22"/>
      <c r="Y142" s="22"/>
    </row>
    <row r="143" customFormat="false" ht="15" hidden="false" customHeight="false" outlineLevel="0" collapsed="false">
      <c r="A143" s="24" t="str">
        <f aca="false">IF(B143="","",ROW()-4)</f>
        <v/>
      </c>
      <c r="B143" s="22"/>
      <c r="C143" s="24" t="str">
        <f aca="false">IF(B143="","",IFERROR(INDEX(NV_TEN,MATCH(B143,NV_MA,0)),"MÃ KHÔNG CÓ"))</f>
        <v/>
      </c>
      <c r="D143" s="46"/>
      <c r="E143" s="46"/>
      <c r="F143" s="24" t="str">
        <f aca="false">IF(OR(D143="",E143=""),"",E143-D143+1)</f>
        <v/>
      </c>
      <c r="G143" s="22"/>
      <c r="H143" s="22"/>
      <c r="I143" s="22"/>
      <c r="J143" s="24" t="str">
        <f aca="false">IF(I143="","",IFERROR(INDEX(TUYEN_MOTA,MATCH(I143,TUYEN_MA,0)),"TUYẾN KHÔNG CÓ"))</f>
        <v/>
      </c>
      <c r="K143" s="22"/>
      <c r="L143" s="22"/>
      <c r="M143" s="22"/>
      <c r="N143" s="22"/>
      <c r="O143" s="24" t="str">
        <f aca="false">IF(I143="","",IFERROR(INDEX(TUYEN_NGAY,MATCH(I143,TUYEN_MA,0)),0))</f>
        <v/>
      </c>
      <c r="P143" s="24" t="str">
        <f aca="false">IF(OR(F143="",O143=""),"",MAX(0,F143-O143))</f>
        <v/>
      </c>
      <c r="Q143" s="20" t="str">
        <f aca="false">IF(I143="","",IFERROR(INDEX(TUYEN_DG,MATCH(I143,TUYEN_MA,0)),0))</f>
        <v/>
      </c>
      <c r="R143" s="20" t="str">
        <f aca="false">IF(P143="","",P143*HT_VUOTNGAY)</f>
        <v/>
      </c>
      <c r="S143" s="20" t="str">
        <f aca="false">IF(I143="","",(N(K143)+N(L143))*HT_DAU_KM)</f>
        <v/>
      </c>
      <c r="T143" s="22"/>
      <c r="U143" s="20" t="str">
        <f aca="false">IF(I143="","",N(T143)*IFERROR(INDEX(TUYEN_HTVC,MATCH(I143,TUYEN_MA,0)),0))</f>
        <v/>
      </c>
      <c r="V143" s="37" t="str">
        <f aca="false">IF(I143="","",Q143+R143+S143+U143)</f>
        <v/>
      </c>
      <c r="W143" s="22"/>
      <c r="X143" s="22"/>
      <c r="Y143" s="22"/>
    </row>
    <row r="144" customFormat="false" ht="15" hidden="false" customHeight="false" outlineLevel="0" collapsed="false">
      <c r="A144" s="24" t="str">
        <f aca="false">IF(B144="","",ROW()-4)</f>
        <v/>
      </c>
      <c r="B144" s="22"/>
      <c r="C144" s="24" t="str">
        <f aca="false">IF(B144="","",IFERROR(INDEX(NV_TEN,MATCH(B144,NV_MA,0)),"MÃ KHÔNG CÓ"))</f>
        <v/>
      </c>
      <c r="D144" s="46"/>
      <c r="E144" s="46"/>
      <c r="F144" s="24" t="str">
        <f aca="false">IF(OR(D144="",E144=""),"",E144-D144+1)</f>
        <v/>
      </c>
      <c r="G144" s="22"/>
      <c r="H144" s="22"/>
      <c r="I144" s="22"/>
      <c r="J144" s="24" t="str">
        <f aca="false">IF(I144="","",IFERROR(INDEX(TUYEN_MOTA,MATCH(I144,TUYEN_MA,0)),"TUYẾN KHÔNG CÓ"))</f>
        <v/>
      </c>
      <c r="K144" s="22"/>
      <c r="L144" s="22"/>
      <c r="M144" s="22"/>
      <c r="N144" s="22"/>
      <c r="O144" s="24" t="str">
        <f aca="false">IF(I144="","",IFERROR(INDEX(TUYEN_NGAY,MATCH(I144,TUYEN_MA,0)),0))</f>
        <v/>
      </c>
      <c r="P144" s="24" t="str">
        <f aca="false">IF(OR(F144="",O144=""),"",MAX(0,F144-O144))</f>
        <v/>
      </c>
      <c r="Q144" s="20" t="str">
        <f aca="false">IF(I144="","",IFERROR(INDEX(TUYEN_DG,MATCH(I144,TUYEN_MA,0)),0))</f>
        <v/>
      </c>
      <c r="R144" s="20" t="str">
        <f aca="false">IF(P144="","",P144*HT_VUOTNGAY)</f>
        <v/>
      </c>
      <c r="S144" s="20" t="str">
        <f aca="false">IF(I144="","",(N(K144)+N(L144))*HT_DAU_KM)</f>
        <v/>
      </c>
      <c r="T144" s="22"/>
      <c r="U144" s="20" t="str">
        <f aca="false">IF(I144="","",N(T144)*IFERROR(INDEX(TUYEN_HTVC,MATCH(I144,TUYEN_MA,0)),0))</f>
        <v/>
      </c>
      <c r="V144" s="37" t="str">
        <f aca="false">IF(I144="","",Q144+R144+S144+U144)</f>
        <v/>
      </c>
      <c r="W144" s="22"/>
      <c r="X144" s="22"/>
      <c r="Y144" s="22"/>
    </row>
    <row r="145" customFormat="false" ht="15" hidden="false" customHeight="false" outlineLevel="0" collapsed="false">
      <c r="A145" s="24" t="str">
        <f aca="false">IF(B145="","",ROW()-4)</f>
        <v/>
      </c>
      <c r="B145" s="22"/>
      <c r="C145" s="24" t="str">
        <f aca="false">IF(B145="","",IFERROR(INDEX(NV_TEN,MATCH(B145,NV_MA,0)),"MÃ KHÔNG CÓ"))</f>
        <v/>
      </c>
      <c r="D145" s="46"/>
      <c r="E145" s="46"/>
      <c r="F145" s="24" t="str">
        <f aca="false">IF(OR(D145="",E145=""),"",E145-D145+1)</f>
        <v/>
      </c>
      <c r="G145" s="22"/>
      <c r="H145" s="22"/>
      <c r="I145" s="22"/>
      <c r="J145" s="24" t="str">
        <f aca="false">IF(I145="","",IFERROR(INDEX(TUYEN_MOTA,MATCH(I145,TUYEN_MA,0)),"TUYẾN KHÔNG CÓ"))</f>
        <v/>
      </c>
      <c r="K145" s="22"/>
      <c r="L145" s="22"/>
      <c r="M145" s="22"/>
      <c r="N145" s="22"/>
      <c r="O145" s="24" t="str">
        <f aca="false">IF(I145="","",IFERROR(INDEX(TUYEN_NGAY,MATCH(I145,TUYEN_MA,0)),0))</f>
        <v/>
      </c>
      <c r="P145" s="24" t="str">
        <f aca="false">IF(OR(F145="",O145=""),"",MAX(0,F145-O145))</f>
        <v/>
      </c>
      <c r="Q145" s="20" t="str">
        <f aca="false">IF(I145="","",IFERROR(INDEX(TUYEN_DG,MATCH(I145,TUYEN_MA,0)),0))</f>
        <v/>
      </c>
      <c r="R145" s="20" t="str">
        <f aca="false">IF(P145="","",P145*HT_VUOTNGAY)</f>
        <v/>
      </c>
      <c r="S145" s="20" t="str">
        <f aca="false">IF(I145="","",(N(K145)+N(L145))*HT_DAU_KM)</f>
        <v/>
      </c>
      <c r="T145" s="22"/>
      <c r="U145" s="20" t="str">
        <f aca="false">IF(I145="","",N(T145)*IFERROR(INDEX(TUYEN_HTVC,MATCH(I145,TUYEN_MA,0)),0))</f>
        <v/>
      </c>
      <c r="V145" s="37" t="str">
        <f aca="false">IF(I145="","",Q145+R145+S145+U145)</f>
        <v/>
      </c>
      <c r="W145" s="22"/>
      <c r="X145" s="22"/>
      <c r="Y145" s="22"/>
    </row>
    <row r="146" customFormat="false" ht="15" hidden="false" customHeight="false" outlineLevel="0" collapsed="false">
      <c r="A146" s="24" t="str">
        <f aca="false">IF(B146="","",ROW()-4)</f>
        <v/>
      </c>
      <c r="B146" s="22"/>
      <c r="C146" s="24" t="str">
        <f aca="false">IF(B146="","",IFERROR(INDEX(NV_TEN,MATCH(B146,NV_MA,0)),"MÃ KHÔNG CÓ"))</f>
        <v/>
      </c>
      <c r="D146" s="46"/>
      <c r="E146" s="46"/>
      <c r="F146" s="24" t="str">
        <f aca="false">IF(OR(D146="",E146=""),"",E146-D146+1)</f>
        <v/>
      </c>
      <c r="G146" s="22"/>
      <c r="H146" s="22"/>
      <c r="I146" s="22"/>
      <c r="J146" s="24" t="str">
        <f aca="false">IF(I146="","",IFERROR(INDEX(TUYEN_MOTA,MATCH(I146,TUYEN_MA,0)),"TUYẾN KHÔNG CÓ"))</f>
        <v/>
      </c>
      <c r="K146" s="22"/>
      <c r="L146" s="22"/>
      <c r="M146" s="22"/>
      <c r="N146" s="22"/>
      <c r="O146" s="24" t="str">
        <f aca="false">IF(I146="","",IFERROR(INDEX(TUYEN_NGAY,MATCH(I146,TUYEN_MA,0)),0))</f>
        <v/>
      </c>
      <c r="P146" s="24" t="str">
        <f aca="false">IF(OR(F146="",O146=""),"",MAX(0,F146-O146))</f>
        <v/>
      </c>
      <c r="Q146" s="20" t="str">
        <f aca="false">IF(I146="","",IFERROR(INDEX(TUYEN_DG,MATCH(I146,TUYEN_MA,0)),0))</f>
        <v/>
      </c>
      <c r="R146" s="20" t="str">
        <f aca="false">IF(P146="","",P146*HT_VUOTNGAY)</f>
        <v/>
      </c>
      <c r="S146" s="20" t="str">
        <f aca="false">IF(I146="","",(N(K146)+N(L146))*HT_DAU_KM)</f>
        <v/>
      </c>
      <c r="T146" s="22"/>
      <c r="U146" s="20" t="str">
        <f aca="false">IF(I146="","",N(T146)*IFERROR(INDEX(TUYEN_HTVC,MATCH(I146,TUYEN_MA,0)),0))</f>
        <v/>
      </c>
      <c r="V146" s="37" t="str">
        <f aca="false">IF(I146="","",Q146+R146+S146+U146)</f>
        <v/>
      </c>
      <c r="W146" s="22"/>
      <c r="X146" s="22"/>
      <c r="Y146" s="22"/>
    </row>
    <row r="147" customFormat="false" ht="15" hidden="false" customHeight="false" outlineLevel="0" collapsed="false">
      <c r="A147" s="24" t="str">
        <f aca="false">IF(B147="","",ROW()-4)</f>
        <v/>
      </c>
      <c r="B147" s="22"/>
      <c r="C147" s="24" t="str">
        <f aca="false">IF(B147="","",IFERROR(INDEX(NV_TEN,MATCH(B147,NV_MA,0)),"MÃ KHÔNG CÓ"))</f>
        <v/>
      </c>
      <c r="D147" s="46"/>
      <c r="E147" s="46"/>
      <c r="F147" s="24" t="str">
        <f aca="false">IF(OR(D147="",E147=""),"",E147-D147+1)</f>
        <v/>
      </c>
      <c r="G147" s="22"/>
      <c r="H147" s="22"/>
      <c r="I147" s="22"/>
      <c r="J147" s="24" t="str">
        <f aca="false">IF(I147="","",IFERROR(INDEX(TUYEN_MOTA,MATCH(I147,TUYEN_MA,0)),"TUYẾN KHÔNG CÓ"))</f>
        <v/>
      </c>
      <c r="K147" s="22"/>
      <c r="L147" s="22"/>
      <c r="M147" s="22"/>
      <c r="N147" s="22"/>
      <c r="O147" s="24" t="str">
        <f aca="false">IF(I147="","",IFERROR(INDEX(TUYEN_NGAY,MATCH(I147,TUYEN_MA,0)),0))</f>
        <v/>
      </c>
      <c r="P147" s="24" t="str">
        <f aca="false">IF(OR(F147="",O147=""),"",MAX(0,F147-O147))</f>
        <v/>
      </c>
      <c r="Q147" s="20" t="str">
        <f aca="false">IF(I147="","",IFERROR(INDEX(TUYEN_DG,MATCH(I147,TUYEN_MA,0)),0))</f>
        <v/>
      </c>
      <c r="R147" s="20" t="str">
        <f aca="false">IF(P147="","",P147*HT_VUOTNGAY)</f>
        <v/>
      </c>
      <c r="S147" s="20" t="str">
        <f aca="false">IF(I147="","",(N(K147)+N(L147))*HT_DAU_KM)</f>
        <v/>
      </c>
      <c r="T147" s="22"/>
      <c r="U147" s="20" t="str">
        <f aca="false">IF(I147="","",N(T147)*IFERROR(INDEX(TUYEN_HTVC,MATCH(I147,TUYEN_MA,0)),0))</f>
        <v/>
      </c>
      <c r="V147" s="37" t="str">
        <f aca="false">IF(I147="","",Q147+R147+S147+U147)</f>
        <v/>
      </c>
      <c r="W147" s="22"/>
      <c r="X147" s="22"/>
      <c r="Y147" s="22"/>
    </row>
    <row r="148" customFormat="false" ht="15" hidden="false" customHeight="false" outlineLevel="0" collapsed="false">
      <c r="A148" s="24" t="str">
        <f aca="false">IF(B148="","",ROW()-4)</f>
        <v/>
      </c>
      <c r="B148" s="22"/>
      <c r="C148" s="24" t="str">
        <f aca="false">IF(B148="","",IFERROR(INDEX(NV_TEN,MATCH(B148,NV_MA,0)),"MÃ KHÔNG CÓ"))</f>
        <v/>
      </c>
      <c r="D148" s="46"/>
      <c r="E148" s="46"/>
      <c r="F148" s="24" t="str">
        <f aca="false">IF(OR(D148="",E148=""),"",E148-D148+1)</f>
        <v/>
      </c>
      <c r="G148" s="22"/>
      <c r="H148" s="22"/>
      <c r="I148" s="22"/>
      <c r="J148" s="24" t="str">
        <f aca="false">IF(I148="","",IFERROR(INDEX(TUYEN_MOTA,MATCH(I148,TUYEN_MA,0)),"TUYẾN KHÔNG CÓ"))</f>
        <v/>
      </c>
      <c r="K148" s="22"/>
      <c r="L148" s="22"/>
      <c r="M148" s="22"/>
      <c r="N148" s="22"/>
      <c r="O148" s="24" t="str">
        <f aca="false">IF(I148="","",IFERROR(INDEX(TUYEN_NGAY,MATCH(I148,TUYEN_MA,0)),0))</f>
        <v/>
      </c>
      <c r="P148" s="24" t="str">
        <f aca="false">IF(OR(F148="",O148=""),"",MAX(0,F148-O148))</f>
        <v/>
      </c>
      <c r="Q148" s="20" t="str">
        <f aca="false">IF(I148="","",IFERROR(INDEX(TUYEN_DG,MATCH(I148,TUYEN_MA,0)),0))</f>
        <v/>
      </c>
      <c r="R148" s="20" t="str">
        <f aca="false">IF(P148="","",P148*HT_VUOTNGAY)</f>
        <v/>
      </c>
      <c r="S148" s="20" t="str">
        <f aca="false">IF(I148="","",(N(K148)+N(L148))*HT_DAU_KM)</f>
        <v/>
      </c>
      <c r="T148" s="22"/>
      <c r="U148" s="20" t="str">
        <f aca="false">IF(I148="","",N(T148)*IFERROR(INDEX(TUYEN_HTVC,MATCH(I148,TUYEN_MA,0)),0))</f>
        <v/>
      </c>
      <c r="V148" s="37" t="str">
        <f aca="false">IF(I148="","",Q148+R148+S148+U148)</f>
        <v/>
      </c>
      <c r="W148" s="22"/>
      <c r="X148" s="22"/>
      <c r="Y148" s="22"/>
    </row>
    <row r="149" customFormat="false" ht="15" hidden="false" customHeight="false" outlineLevel="0" collapsed="false">
      <c r="A149" s="24" t="str">
        <f aca="false">IF(B149="","",ROW()-4)</f>
        <v/>
      </c>
      <c r="B149" s="22"/>
      <c r="C149" s="24" t="str">
        <f aca="false">IF(B149="","",IFERROR(INDEX(NV_TEN,MATCH(B149,NV_MA,0)),"MÃ KHÔNG CÓ"))</f>
        <v/>
      </c>
      <c r="D149" s="46"/>
      <c r="E149" s="46"/>
      <c r="F149" s="24" t="str">
        <f aca="false">IF(OR(D149="",E149=""),"",E149-D149+1)</f>
        <v/>
      </c>
      <c r="G149" s="22"/>
      <c r="H149" s="22"/>
      <c r="I149" s="22"/>
      <c r="J149" s="24" t="str">
        <f aca="false">IF(I149="","",IFERROR(INDEX(TUYEN_MOTA,MATCH(I149,TUYEN_MA,0)),"TUYẾN KHÔNG CÓ"))</f>
        <v/>
      </c>
      <c r="K149" s="22"/>
      <c r="L149" s="22"/>
      <c r="M149" s="22"/>
      <c r="N149" s="22"/>
      <c r="O149" s="24" t="str">
        <f aca="false">IF(I149="","",IFERROR(INDEX(TUYEN_NGAY,MATCH(I149,TUYEN_MA,0)),0))</f>
        <v/>
      </c>
      <c r="P149" s="24" t="str">
        <f aca="false">IF(OR(F149="",O149=""),"",MAX(0,F149-O149))</f>
        <v/>
      </c>
      <c r="Q149" s="20" t="str">
        <f aca="false">IF(I149="","",IFERROR(INDEX(TUYEN_DG,MATCH(I149,TUYEN_MA,0)),0))</f>
        <v/>
      </c>
      <c r="R149" s="20" t="str">
        <f aca="false">IF(P149="","",P149*HT_VUOTNGAY)</f>
        <v/>
      </c>
      <c r="S149" s="20" t="str">
        <f aca="false">IF(I149="","",(N(K149)+N(L149))*HT_DAU_KM)</f>
        <v/>
      </c>
      <c r="T149" s="22"/>
      <c r="U149" s="20" t="str">
        <f aca="false">IF(I149="","",N(T149)*IFERROR(INDEX(TUYEN_HTVC,MATCH(I149,TUYEN_MA,0)),0))</f>
        <v/>
      </c>
      <c r="V149" s="37" t="str">
        <f aca="false">IF(I149="","",Q149+R149+S149+U149)</f>
        <v/>
      </c>
      <c r="W149" s="22"/>
      <c r="X149" s="22"/>
      <c r="Y149" s="22"/>
    </row>
    <row r="150" customFormat="false" ht="15" hidden="false" customHeight="false" outlineLevel="0" collapsed="false">
      <c r="A150" s="24" t="str">
        <f aca="false">IF(B150="","",ROW()-4)</f>
        <v/>
      </c>
      <c r="B150" s="22"/>
      <c r="C150" s="24" t="str">
        <f aca="false">IF(B150="","",IFERROR(INDEX(NV_TEN,MATCH(B150,NV_MA,0)),"MÃ KHÔNG CÓ"))</f>
        <v/>
      </c>
      <c r="D150" s="46"/>
      <c r="E150" s="46"/>
      <c r="F150" s="24" t="str">
        <f aca="false">IF(OR(D150="",E150=""),"",E150-D150+1)</f>
        <v/>
      </c>
      <c r="G150" s="22"/>
      <c r="H150" s="22"/>
      <c r="I150" s="22"/>
      <c r="J150" s="24" t="str">
        <f aca="false">IF(I150="","",IFERROR(INDEX(TUYEN_MOTA,MATCH(I150,TUYEN_MA,0)),"TUYẾN KHÔNG CÓ"))</f>
        <v/>
      </c>
      <c r="K150" s="22"/>
      <c r="L150" s="22"/>
      <c r="M150" s="22"/>
      <c r="N150" s="22"/>
      <c r="O150" s="24" t="str">
        <f aca="false">IF(I150="","",IFERROR(INDEX(TUYEN_NGAY,MATCH(I150,TUYEN_MA,0)),0))</f>
        <v/>
      </c>
      <c r="P150" s="24" t="str">
        <f aca="false">IF(OR(F150="",O150=""),"",MAX(0,F150-O150))</f>
        <v/>
      </c>
      <c r="Q150" s="20" t="str">
        <f aca="false">IF(I150="","",IFERROR(INDEX(TUYEN_DG,MATCH(I150,TUYEN_MA,0)),0))</f>
        <v/>
      </c>
      <c r="R150" s="20" t="str">
        <f aca="false">IF(P150="","",P150*HT_VUOTNGAY)</f>
        <v/>
      </c>
      <c r="S150" s="20" t="str">
        <f aca="false">IF(I150="","",(N(K150)+N(L150))*HT_DAU_KM)</f>
        <v/>
      </c>
      <c r="T150" s="22"/>
      <c r="U150" s="20" t="str">
        <f aca="false">IF(I150="","",N(T150)*IFERROR(INDEX(TUYEN_HTVC,MATCH(I150,TUYEN_MA,0)),0))</f>
        <v/>
      </c>
      <c r="V150" s="37" t="str">
        <f aca="false">IF(I150="","",Q150+R150+S150+U150)</f>
        <v/>
      </c>
      <c r="W150" s="22"/>
      <c r="X150" s="22"/>
      <c r="Y150" s="22"/>
    </row>
    <row r="151" customFormat="false" ht="15" hidden="false" customHeight="false" outlineLevel="0" collapsed="false">
      <c r="A151" s="24" t="str">
        <f aca="false">IF(B151="","",ROW()-4)</f>
        <v/>
      </c>
      <c r="B151" s="22"/>
      <c r="C151" s="24" t="str">
        <f aca="false">IF(B151="","",IFERROR(INDEX(NV_TEN,MATCH(B151,NV_MA,0)),"MÃ KHÔNG CÓ"))</f>
        <v/>
      </c>
      <c r="D151" s="46"/>
      <c r="E151" s="46"/>
      <c r="F151" s="24" t="str">
        <f aca="false">IF(OR(D151="",E151=""),"",E151-D151+1)</f>
        <v/>
      </c>
      <c r="G151" s="22"/>
      <c r="H151" s="22"/>
      <c r="I151" s="22"/>
      <c r="J151" s="24" t="str">
        <f aca="false">IF(I151="","",IFERROR(INDEX(TUYEN_MOTA,MATCH(I151,TUYEN_MA,0)),"TUYẾN KHÔNG CÓ"))</f>
        <v/>
      </c>
      <c r="K151" s="22"/>
      <c r="L151" s="22"/>
      <c r="M151" s="22"/>
      <c r="N151" s="22"/>
      <c r="O151" s="24" t="str">
        <f aca="false">IF(I151="","",IFERROR(INDEX(TUYEN_NGAY,MATCH(I151,TUYEN_MA,0)),0))</f>
        <v/>
      </c>
      <c r="P151" s="24" t="str">
        <f aca="false">IF(OR(F151="",O151=""),"",MAX(0,F151-O151))</f>
        <v/>
      </c>
      <c r="Q151" s="20" t="str">
        <f aca="false">IF(I151="","",IFERROR(INDEX(TUYEN_DG,MATCH(I151,TUYEN_MA,0)),0))</f>
        <v/>
      </c>
      <c r="R151" s="20" t="str">
        <f aca="false">IF(P151="","",P151*HT_VUOTNGAY)</f>
        <v/>
      </c>
      <c r="S151" s="20" t="str">
        <f aca="false">IF(I151="","",(N(K151)+N(L151))*HT_DAU_KM)</f>
        <v/>
      </c>
      <c r="T151" s="22"/>
      <c r="U151" s="20" t="str">
        <f aca="false">IF(I151="","",N(T151)*IFERROR(INDEX(TUYEN_HTVC,MATCH(I151,TUYEN_MA,0)),0))</f>
        <v/>
      </c>
      <c r="V151" s="37" t="str">
        <f aca="false">IF(I151="","",Q151+R151+S151+U151)</f>
        <v/>
      </c>
      <c r="W151" s="22"/>
      <c r="X151" s="22"/>
      <c r="Y151" s="22"/>
    </row>
    <row r="152" customFormat="false" ht="15" hidden="false" customHeight="false" outlineLevel="0" collapsed="false">
      <c r="A152" s="24" t="str">
        <f aca="false">IF(B152="","",ROW()-4)</f>
        <v/>
      </c>
      <c r="B152" s="22"/>
      <c r="C152" s="24" t="str">
        <f aca="false">IF(B152="","",IFERROR(INDEX(NV_TEN,MATCH(B152,NV_MA,0)),"MÃ KHÔNG CÓ"))</f>
        <v/>
      </c>
      <c r="D152" s="46"/>
      <c r="E152" s="46"/>
      <c r="F152" s="24" t="str">
        <f aca="false">IF(OR(D152="",E152=""),"",E152-D152+1)</f>
        <v/>
      </c>
      <c r="G152" s="22"/>
      <c r="H152" s="22"/>
      <c r="I152" s="22"/>
      <c r="J152" s="24" t="str">
        <f aca="false">IF(I152="","",IFERROR(INDEX(TUYEN_MOTA,MATCH(I152,TUYEN_MA,0)),"TUYẾN KHÔNG CÓ"))</f>
        <v/>
      </c>
      <c r="K152" s="22"/>
      <c r="L152" s="22"/>
      <c r="M152" s="22"/>
      <c r="N152" s="22"/>
      <c r="O152" s="24" t="str">
        <f aca="false">IF(I152="","",IFERROR(INDEX(TUYEN_NGAY,MATCH(I152,TUYEN_MA,0)),0))</f>
        <v/>
      </c>
      <c r="P152" s="24" t="str">
        <f aca="false">IF(OR(F152="",O152=""),"",MAX(0,F152-O152))</f>
        <v/>
      </c>
      <c r="Q152" s="20" t="str">
        <f aca="false">IF(I152="","",IFERROR(INDEX(TUYEN_DG,MATCH(I152,TUYEN_MA,0)),0))</f>
        <v/>
      </c>
      <c r="R152" s="20" t="str">
        <f aca="false">IF(P152="","",P152*HT_VUOTNGAY)</f>
        <v/>
      </c>
      <c r="S152" s="20" t="str">
        <f aca="false">IF(I152="","",(N(K152)+N(L152))*HT_DAU_KM)</f>
        <v/>
      </c>
      <c r="T152" s="22"/>
      <c r="U152" s="20" t="str">
        <f aca="false">IF(I152="","",N(T152)*IFERROR(INDEX(TUYEN_HTVC,MATCH(I152,TUYEN_MA,0)),0))</f>
        <v/>
      </c>
      <c r="V152" s="37" t="str">
        <f aca="false">IF(I152="","",Q152+R152+S152+U152)</f>
        <v/>
      </c>
      <c r="W152" s="22"/>
      <c r="X152" s="22"/>
      <c r="Y152" s="22"/>
    </row>
    <row r="153" customFormat="false" ht="15" hidden="false" customHeight="false" outlineLevel="0" collapsed="false">
      <c r="A153" s="24" t="str">
        <f aca="false">IF(B153="","",ROW()-4)</f>
        <v/>
      </c>
      <c r="B153" s="22"/>
      <c r="C153" s="24" t="str">
        <f aca="false">IF(B153="","",IFERROR(INDEX(NV_TEN,MATCH(B153,NV_MA,0)),"MÃ KHÔNG CÓ"))</f>
        <v/>
      </c>
      <c r="D153" s="46"/>
      <c r="E153" s="46"/>
      <c r="F153" s="24" t="str">
        <f aca="false">IF(OR(D153="",E153=""),"",E153-D153+1)</f>
        <v/>
      </c>
      <c r="G153" s="22"/>
      <c r="H153" s="22"/>
      <c r="I153" s="22"/>
      <c r="J153" s="24" t="str">
        <f aca="false">IF(I153="","",IFERROR(INDEX(TUYEN_MOTA,MATCH(I153,TUYEN_MA,0)),"TUYẾN KHÔNG CÓ"))</f>
        <v/>
      </c>
      <c r="K153" s="22"/>
      <c r="L153" s="22"/>
      <c r="M153" s="22"/>
      <c r="N153" s="22"/>
      <c r="O153" s="24" t="str">
        <f aca="false">IF(I153="","",IFERROR(INDEX(TUYEN_NGAY,MATCH(I153,TUYEN_MA,0)),0))</f>
        <v/>
      </c>
      <c r="P153" s="24" t="str">
        <f aca="false">IF(OR(F153="",O153=""),"",MAX(0,F153-O153))</f>
        <v/>
      </c>
      <c r="Q153" s="20" t="str">
        <f aca="false">IF(I153="","",IFERROR(INDEX(TUYEN_DG,MATCH(I153,TUYEN_MA,0)),0))</f>
        <v/>
      </c>
      <c r="R153" s="20" t="str">
        <f aca="false">IF(P153="","",P153*HT_VUOTNGAY)</f>
        <v/>
      </c>
      <c r="S153" s="20" t="str">
        <f aca="false">IF(I153="","",(N(K153)+N(L153))*HT_DAU_KM)</f>
        <v/>
      </c>
      <c r="T153" s="22"/>
      <c r="U153" s="20" t="str">
        <f aca="false">IF(I153="","",N(T153)*IFERROR(INDEX(TUYEN_HTVC,MATCH(I153,TUYEN_MA,0)),0))</f>
        <v/>
      </c>
      <c r="V153" s="37" t="str">
        <f aca="false">IF(I153="","",Q153+R153+S153+U153)</f>
        <v/>
      </c>
      <c r="W153" s="22"/>
      <c r="X153" s="22"/>
      <c r="Y153" s="22"/>
    </row>
    <row r="154" customFormat="false" ht="15" hidden="false" customHeight="false" outlineLevel="0" collapsed="false">
      <c r="A154" s="24" t="str">
        <f aca="false">IF(B154="","",ROW()-4)</f>
        <v/>
      </c>
      <c r="B154" s="22"/>
      <c r="C154" s="24" t="str">
        <f aca="false">IF(B154="","",IFERROR(INDEX(NV_TEN,MATCH(B154,NV_MA,0)),"MÃ KHÔNG CÓ"))</f>
        <v/>
      </c>
      <c r="D154" s="46"/>
      <c r="E154" s="46"/>
      <c r="F154" s="24" t="str">
        <f aca="false">IF(OR(D154="",E154=""),"",E154-D154+1)</f>
        <v/>
      </c>
      <c r="G154" s="22"/>
      <c r="H154" s="22"/>
      <c r="I154" s="22"/>
      <c r="J154" s="24" t="str">
        <f aca="false">IF(I154="","",IFERROR(INDEX(TUYEN_MOTA,MATCH(I154,TUYEN_MA,0)),"TUYẾN KHÔNG CÓ"))</f>
        <v/>
      </c>
      <c r="K154" s="22"/>
      <c r="L154" s="22"/>
      <c r="M154" s="22"/>
      <c r="N154" s="22"/>
      <c r="O154" s="24" t="str">
        <f aca="false">IF(I154="","",IFERROR(INDEX(TUYEN_NGAY,MATCH(I154,TUYEN_MA,0)),0))</f>
        <v/>
      </c>
      <c r="P154" s="24" t="str">
        <f aca="false">IF(OR(F154="",O154=""),"",MAX(0,F154-O154))</f>
        <v/>
      </c>
      <c r="Q154" s="20" t="str">
        <f aca="false">IF(I154="","",IFERROR(INDEX(TUYEN_DG,MATCH(I154,TUYEN_MA,0)),0))</f>
        <v/>
      </c>
      <c r="R154" s="20" t="str">
        <f aca="false">IF(P154="","",P154*HT_VUOTNGAY)</f>
        <v/>
      </c>
      <c r="S154" s="20" t="str">
        <f aca="false">IF(I154="","",(N(K154)+N(L154))*HT_DAU_KM)</f>
        <v/>
      </c>
      <c r="T154" s="22"/>
      <c r="U154" s="20" t="str">
        <f aca="false">IF(I154="","",N(T154)*IFERROR(INDEX(TUYEN_HTVC,MATCH(I154,TUYEN_MA,0)),0))</f>
        <v/>
      </c>
      <c r="V154" s="37" t="str">
        <f aca="false">IF(I154="","",Q154+R154+S154+U154)</f>
        <v/>
      </c>
      <c r="W154" s="22"/>
      <c r="X154" s="22"/>
      <c r="Y154" s="22"/>
    </row>
    <row r="155" customFormat="false" ht="15" hidden="false" customHeight="false" outlineLevel="0" collapsed="false">
      <c r="A155" s="24" t="str">
        <f aca="false">IF(B155="","",ROW()-4)</f>
        <v/>
      </c>
      <c r="B155" s="22"/>
      <c r="C155" s="24" t="str">
        <f aca="false">IF(B155="","",IFERROR(INDEX(NV_TEN,MATCH(B155,NV_MA,0)),"MÃ KHÔNG CÓ"))</f>
        <v/>
      </c>
      <c r="D155" s="46"/>
      <c r="E155" s="46"/>
      <c r="F155" s="24" t="str">
        <f aca="false">IF(OR(D155="",E155=""),"",E155-D155+1)</f>
        <v/>
      </c>
      <c r="G155" s="22"/>
      <c r="H155" s="22"/>
      <c r="I155" s="22"/>
      <c r="J155" s="24" t="str">
        <f aca="false">IF(I155="","",IFERROR(INDEX(TUYEN_MOTA,MATCH(I155,TUYEN_MA,0)),"TUYẾN KHÔNG CÓ"))</f>
        <v/>
      </c>
      <c r="K155" s="22"/>
      <c r="L155" s="22"/>
      <c r="M155" s="22"/>
      <c r="N155" s="22"/>
      <c r="O155" s="24" t="str">
        <f aca="false">IF(I155="","",IFERROR(INDEX(TUYEN_NGAY,MATCH(I155,TUYEN_MA,0)),0))</f>
        <v/>
      </c>
      <c r="P155" s="24" t="str">
        <f aca="false">IF(OR(F155="",O155=""),"",MAX(0,F155-O155))</f>
        <v/>
      </c>
      <c r="Q155" s="20" t="str">
        <f aca="false">IF(I155="","",IFERROR(INDEX(TUYEN_DG,MATCH(I155,TUYEN_MA,0)),0))</f>
        <v/>
      </c>
      <c r="R155" s="20" t="str">
        <f aca="false">IF(P155="","",P155*HT_VUOTNGAY)</f>
        <v/>
      </c>
      <c r="S155" s="20" t="str">
        <f aca="false">IF(I155="","",(N(K155)+N(L155))*HT_DAU_KM)</f>
        <v/>
      </c>
      <c r="T155" s="22"/>
      <c r="U155" s="20" t="str">
        <f aca="false">IF(I155="","",N(T155)*IFERROR(INDEX(TUYEN_HTVC,MATCH(I155,TUYEN_MA,0)),0))</f>
        <v/>
      </c>
      <c r="V155" s="37" t="str">
        <f aca="false">IF(I155="","",Q155+R155+S155+U155)</f>
        <v/>
      </c>
      <c r="W155" s="22"/>
      <c r="X155" s="22"/>
      <c r="Y155" s="22"/>
    </row>
    <row r="156" customFormat="false" ht="15" hidden="false" customHeight="false" outlineLevel="0" collapsed="false">
      <c r="A156" s="24" t="str">
        <f aca="false">IF(B156="","",ROW()-4)</f>
        <v/>
      </c>
      <c r="B156" s="22"/>
      <c r="C156" s="24" t="str">
        <f aca="false">IF(B156="","",IFERROR(INDEX(NV_TEN,MATCH(B156,NV_MA,0)),"MÃ KHÔNG CÓ"))</f>
        <v/>
      </c>
      <c r="D156" s="46"/>
      <c r="E156" s="46"/>
      <c r="F156" s="24" t="str">
        <f aca="false">IF(OR(D156="",E156=""),"",E156-D156+1)</f>
        <v/>
      </c>
      <c r="G156" s="22"/>
      <c r="H156" s="22"/>
      <c r="I156" s="22"/>
      <c r="J156" s="24" t="str">
        <f aca="false">IF(I156="","",IFERROR(INDEX(TUYEN_MOTA,MATCH(I156,TUYEN_MA,0)),"TUYẾN KHÔNG CÓ"))</f>
        <v/>
      </c>
      <c r="K156" s="22"/>
      <c r="L156" s="22"/>
      <c r="M156" s="22"/>
      <c r="N156" s="22"/>
      <c r="O156" s="24" t="str">
        <f aca="false">IF(I156="","",IFERROR(INDEX(TUYEN_NGAY,MATCH(I156,TUYEN_MA,0)),0))</f>
        <v/>
      </c>
      <c r="P156" s="24" t="str">
        <f aca="false">IF(OR(F156="",O156=""),"",MAX(0,F156-O156))</f>
        <v/>
      </c>
      <c r="Q156" s="20" t="str">
        <f aca="false">IF(I156="","",IFERROR(INDEX(TUYEN_DG,MATCH(I156,TUYEN_MA,0)),0))</f>
        <v/>
      </c>
      <c r="R156" s="20" t="str">
        <f aca="false">IF(P156="","",P156*HT_VUOTNGAY)</f>
        <v/>
      </c>
      <c r="S156" s="20" t="str">
        <f aca="false">IF(I156="","",(N(K156)+N(L156))*HT_DAU_KM)</f>
        <v/>
      </c>
      <c r="T156" s="22"/>
      <c r="U156" s="20" t="str">
        <f aca="false">IF(I156="","",N(T156)*IFERROR(INDEX(TUYEN_HTVC,MATCH(I156,TUYEN_MA,0)),0))</f>
        <v/>
      </c>
      <c r="V156" s="37" t="str">
        <f aca="false">IF(I156="","",Q156+R156+S156+U156)</f>
        <v/>
      </c>
      <c r="W156" s="22"/>
      <c r="X156" s="22"/>
      <c r="Y156" s="22"/>
    </row>
    <row r="157" customFormat="false" ht="15" hidden="false" customHeight="false" outlineLevel="0" collapsed="false">
      <c r="A157" s="24" t="str">
        <f aca="false">IF(B157="","",ROW()-4)</f>
        <v/>
      </c>
      <c r="B157" s="22"/>
      <c r="C157" s="24" t="str">
        <f aca="false">IF(B157="","",IFERROR(INDEX(NV_TEN,MATCH(B157,NV_MA,0)),"MÃ KHÔNG CÓ"))</f>
        <v/>
      </c>
      <c r="D157" s="46"/>
      <c r="E157" s="46"/>
      <c r="F157" s="24" t="str">
        <f aca="false">IF(OR(D157="",E157=""),"",E157-D157+1)</f>
        <v/>
      </c>
      <c r="G157" s="22"/>
      <c r="H157" s="22"/>
      <c r="I157" s="22"/>
      <c r="J157" s="24" t="str">
        <f aca="false">IF(I157="","",IFERROR(INDEX(TUYEN_MOTA,MATCH(I157,TUYEN_MA,0)),"TUYẾN KHÔNG CÓ"))</f>
        <v/>
      </c>
      <c r="K157" s="22"/>
      <c r="L157" s="22"/>
      <c r="M157" s="22"/>
      <c r="N157" s="22"/>
      <c r="O157" s="24" t="str">
        <f aca="false">IF(I157="","",IFERROR(INDEX(TUYEN_NGAY,MATCH(I157,TUYEN_MA,0)),0))</f>
        <v/>
      </c>
      <c r="P157" s="24" t="str">
        <f aca="false">IF(OR(F157="",O157=""),"",MAX(0,F157-O157))</f>
        <v/>
      </c>
      <c r="Q157" s="20" t="str">
        <f aca="false">IF(I157="","",IFERROR(INDEX(TUYEN_DG,MATCH(I157,TUYEN_MA,0)),0))</f>
        <v/>
      </c>
      <c r="R157" s="20" t="str">
        <f aca="false">IF(P157="","",P157*HT_VUOTNGAY)</f>
        <v/>
      </c>
      <c r="S157" s="20" t="str">
        <f aca="false">IF(I157="","",(N(K157)+N(L157))*HT_DAU_KM)</f>
        <v/>
      </c>
      <c r="T157" s="22"/>
      <c r="U157" s="20" t="str">
        <f aca="false">IF(I157="","",N(T157)*IFERROR(INDEX(TUYEN_HTVC,MATCH(I157,TUYEN_MA,0)),0))</f>
        <v/>
      </c>
      <c r="V157" s="37" t="str">
        <f aca="false">IF(I157="","",Q157+R157+S157+U157)</f>
        <v/>
      </c>
      <c r="W157" s="22"/>
      <c r="X157" s="22"/>
      <c r="Y157" s="22"/>
    </row>
    <row r="158" customFormat="false" ht="15" hidden="false" customHeight="false" outlineLevel="0" collapsed="false">
      <c r="A158" s="24" t="str">
        <f aca="false">IF(B158="","",ROW()-4)</f>
        <v/>
      </c>
      <c r="B158" s="22"/>
      <c r="C158" s="24" t="str">
        <f aca="false">IF(B158="","",IFERROR(INDEX(NV_TEN,MATCH(B158,NV_MA,0)),"MÃ KHÔNG CÓ"))</f>
        <v/>
      </c>
      <c r="D158" s="46"/>
      <c r="E158" s="46"/>
      <c r="F158" s="24" t="str">
        <f aca="false">IF(OR(D158="",E158=""),"",E158-D158+1)</f>
        <v/>
      </c>
      <c r="G158" s="22"/>
      <c r="H158" s="22"/>
      <c r="I158" s="22"/>
      <c r="J158" s="24" t="str">
        <f aca="false">IF(I158="","",IFERROR(INDEX(TUYEN_MOTA,MATCH(I158,TUYEN_MA,0)),"TUYẾN KHÔNG CÓ"))</f>
        <v/>
      </c>
      <c r="K158" s="22"/>
      <c r="L158" s="22"/>
      <c r="M158" s="22"/>
      <c r="N158" s="22"/>
      <c r="O158" s="24" t="str">
        <f aca="false">IF(I158="","",IFERROR(INDEX(TUYEN_NGAY,MATCH(I158,TUYEN_MA,0)),0))</f>
        <v/>
      </c>
      <c r="P158" s="24" t="str">
        <f aca="false">IF(OR(F158="",O158=""),"",MAX(0,F158-O158))</f>
        <v/>
      </c>
      <c r="Q158" s="20" t="str">
        <f aca="false">IF(I158="","",IFERROR(INDEX(TUYEN_DG,MATCH(I158,TUYEN_MA,0)),0))</f>
        <v/>
      </c>
      <c r="R158" s="20" t="str">
        <f aca="false">IF(P158="","",P158*HT_VUOTNGAY)</f>
        <v/>
      </c>
      <c r="S158" s="20" t="str">
        <f aca="false">IF(I158="","",(N(K158)+N(L158))*HT_DAU_KM)</f>
        <v/>
      </c>
      <c r="T158" s="22"/>
      <c r="U158" s="20" t="str">
        <f aca="false">IF(I158="","",N(T158)*IFERROR(INDEX(TUYEN_HTVC,MATCH(I158,TUYEN_MA,0)),0))</f>
        <v/>
      </c>
      <c r="V158" s="37" t="str">
        <f aca="false">IF(I158="","",Q158+R158+S158+U158)</f>
        <v/>
      </c>
      <c r="W158" s="22"/>
      <c r="X158" s="22"/>
      <c r="Y158" s="22"/>
    </row>
    <row r="159" customFormat="false" ht="15" hidden="false" customHeight="false" outlineLevel="0" collapsed="false">
      <c r="A159" s="24" t="str">
        <f aca="false">IF(B159="","",ROW()-4)</f>
        <v/>
      </c>
      <c r="B159" s="22"/>
      <c r="C159" s="24" t="str">
        <f aca="false">IF(B159="","",IFERROR(INDEX(NV_TEN,MATCH(B159,NV_MA,0)),"MÃ KHÔNG CÓ"))</f>
        <v/>
      </c>
      <c r="D159" s="46"/>
      <c r="E159" s="46"/>
      <c r="F159" s="24" t="str">
        <f aca="false">IF(OR(D159="",E159=""),"",E159-D159+1)</f>
        <v/>
      </c>
      <c r="G159" s="22"/>
      <c r="H159" s="22"/>
      <c r="I159" s="22"/>
      <c r="J159" s="24" t="str">
        <f aca="false">IF(I159="","",IFERROR(INDEX(TUYEN_MOTA,MATCH(I159,TUYEN_MA,0)),"TUYẾN KHÔNG CÓ"))</f>
        <v/>
      </c>
      <c r="K159" s="22"/>
      <c r="L159" s="22"/>
      <c r="M159" s="22"/>
      <c r="N159" s="22"/>
      <c r="O159" s="24" t="str">
        <f aca="false">IF(I159="","",IFERROR(INDEX(TUYEN_NGAY,MATCH(I159,TUYEN_MA,0)),0))</f>
        <v/>
      </c>
      <c r="P159" s="24" t="str">
        <f aca="false">IF(OR(F159="",O159=""),"",MAX(0,F159-O159))</f>
        <v/>
      </c>
      <c r="Q159" s="20" t="str">
        <f aca="false">IF(I159="","",IFERROR(INDEX(TUYEN_DG,MATCH(I159,TUYEN_MA,0)),0))</f>
        <v/>
      </c>
      <c r="R159" s="20" t="str">
        <f aca="false">IF(P159="","",P159*HT_VUOTNGAY)</f>
        <v/>
      </c>
      <c r="S159" s="20" t="str">
        <f aca="false">IF(I159="","",(N(K159)+N(L159))*HT_DAU_KM)</f>
        <v/>
      </c>
      <c r="T159" s="22"/>
      <c r="U159" s="20" t="str">
        <f aca="false">IF(I159="","",N(T159)*IFERROR(INDEX(TUYEN_HTVC,MATCH(I159,TUYEN_MA,0)),0))</f>
        <v/>
      </c>
      <c r="V159" s="37" t="str">
        <f aca="false">IF(I159="","",Q159+R159+S159+U159)</f>
        <v/>
      </c>
      <c r="W159" s="22"/>
      <c r="X159" s="22"/>
      <c r="Y159" s="22"/>
    </row>
    <row r="160" customFormat="false" ht="15" hidden="false" customHeight="false" outlineLevel="0" collapsed="false">
      <c r="A160" s="24" t="str">
        <f aca="false">IF(B160="","",ROW()-4)</f>
        <v/>
      </c>
      <c r="B160" s="22"/>
      <c r="C160" s="24" t="str">
        <f aca="false">IF(B160="","",IFERROR(INDEX(NV_TEN,MATCH(B160,NV_MA,0)),"MÃ KHÔNG CÓ"))</f>
        <v/>
      </c>
      <c r="D160" s="46"/>
      <c r="E160" s="46"/>
      <c r="F160" s="24" t="str">
        <f aca="false">IF(OR(D160="",E160=""),"",E160-D160+1)</f>
        <v/>
      </c>
      <c r="G160" s="22"/>
      <c r="H160" s="22"/>
      <c r="I160" s="22"/>
      <c r="J160" s="24" t="str">
        <f aca="false">IF(I160="","",IFERROR(INDEX(TUYEN_MOTA,MATCH(I160,TUYEN_MA,0)),"TUYẾN KHÔNG CÓ"))</f>
        <v/>
      </c>
      <c r="K160" s="22"/>
      <c r="L160" s="22"/>
      <c r="M160" s="22"/>
      <c r="N160" s="22"/>
      <c r="O160" s="24" t="str">
        <f aca="false">IF(I160="","",IFERROR(INDEX(TUYEN_NGAY,MATCH(I160,TUYEN_MA,0)),0))</f>
        <v/>
      </c>
      <c r="P160" s="24" t="str">
        <f aca="false">IF(OR(F160="",O160=""),"",MAX(0,F160-O160))</f>
        <v/>
      </c>
      <c r="Q160" s="20" t="str">
        <f aca="false">IF(I160="","",IFERROR(INDEX(TUYEN_DG,MATCH(I160,TUYEN_MA,0)),0))</f>
        <v/>
      </c>
      <c r="R160" s="20" t="str">
        <f aca="false">IF(P160="","",P160*HT_VUOTNGAY)</f>
        <v/>
      </c>
      <c r="S160" s="20" t="str">
        <f aca="false">IF(I160="","",(N(K160)+N(L160))*HT_DAU_KM)</f>
        <v/>
      </c>
      <c r="T160" s="22"/>
      <c r="U160" s="20" t="str">
        <f aca="false">IF(I160="","",N(T160)*IFERROR(INDEX(TUYEN_HTVC,MATCH(I160,TUYEN_MA,0)),0))</f>
        <v/>
      </c>
      <c r="V160" s="37" t="str">
        <f aca="false">IF(I160="","",Q160+R160+S160+U160)</f>
        <v/>
      </c>
      <c r="W160" s="22"/>
      <c r="X160" s="22"/>
      <c r="Y160" s="22"/>
    </row>
    <row r="161" customFormat="false" ht="15" hidden="false" customHeight="false" outlineLevel="0" collapsed="false">
      <c r="A161" s="24" t="str">
        <f aca="false">IF(B161="","",ROW()-4)</f>
        <v/>
      </c>
      <c r="B161" s="22"/>
      <c r="C161" s="24" t="str">
        <f aca="false">IF(B161="","",IFERROR(INDEX(NV_TEN,MATCH(B161,NV_MA,0)),"MÃ KHÔNG CÓ"))</f>
        <v/>
      </c>
      <c r="D161" s="46"/>
      <c r="E161" s="46"/>
      <c r="F161" s="24" t="str">
        <f aca="false">IF(OR(D161="",E161=""),"",E161-D161+1)</f>
        <v/>
      </c>
      <c r="G161" s="22"/>
      <c r="H161" s="22"/>
      <c r="I161" s="22"/>
      <c r="J161" s="24" t="str">
        <f aca="false">IF(I161="","",IFERROR(INDEX(TUYEN_MOTA,MATCH(I161,TUYEN_MA,0)),"TUYẾN KHÔNG CÓ"))</f>
        <v/>
      </c>
      <c r="K161" s="22"/>
      <c r="L161" s="22"/>
      <c r="M161" s="22"/>
      <c r="N161" s="22"/>
      <c r="O161" s="24" t="str">
        <f aca="false">IF(I161="","",IFERROR(INDEX(TUYEN_NGAY,MATCH(I161,TUYEN_MA,0)),0))</f>
        <v/>
      </c>
      <c r="P161" s="24" t="str">
        <f aca="false">IF(OR(F161="",O161=""),"",MAX(0,F161-O161))</f>
        <v/>
      </c>
      <c r="Q161" s="20" t="str">
        <f aca="false">IF(I161="","",IFERROR(INDEX(TUYEN_DG,MATCH(I161,TUYEN_MA,0)),0))</f>
        <v/>
      </c>
      <c r="R161" s="20" t="str">
        <f aca="false">IF(P161="","",P161*HT_VUOTNGAY)</f>
        <v/>
      </c>
      <c r="S161" s="20" t="str">
        <f aca="false">IF(I161="","",(N(K161)+N(L161))*HT_DAU_KM)</f>
        <v/>
      </c>
      <c r="T161" s="22"/>
      <c r="U161" s="20" t="str">
        <f aca="false">IF(I161="","",N(T161)*IFERROR(INDEX(TUYEN_HTVC,MATCH(I161,TUYEN_MA,0)),0))</f>
        <v/>
      </c>
      <c r="V161" s="37" t="str">
        <f aca="false">IF(I161="","",Q161+R161+S161+U161)</f>
        <v/>
      </c>
      <c r="W161" s="22"/>
      <c r="X161" s="22"/>
      <c r="Y161" s="22"/>
    </row>
    <row r="162" customFormat="false" ht="15" hidden="false" customHeight="false" outlineLevel="0" collapsed="false">
      <c r="A162" s="24" t="str">
        <f aca="false">IF(B162="","",ROW()-4)</f>
        <v/>
      </c>
      <c r="B162" s="22"/>
      <c r="C162" s="24" t="str">
        <f aca="false">IF(B162="","",IFERROR(INDEX(NV_TEN,MATCH(B162,NV_MA,0)),"MÃ KHÔNG CÓ"))</f>
        <v/>
      </c>
      <c r="D162" s="46"/>
      <c r="E162" s="46"/>
      <c r="F162" s="24" t="str">
        <f aca="false">IF(OR(D162="",E162=""),"",E162-D162+1)</f>
        <v/>
      </c>
      <c r="G162" s="22"/>
      <c r="H162" s="22"/>
      <c r="I162" s="22"/>
      <c r="J162" s="24" t="str">
        <f aca="false">IF(I162="","",IFERROR(INDEX(TUYEN_MOTA,MATCH(I162,TUYEN_MA,0)),"TUYẾN KHÔNG CÓ"))</f>
        <v/>
      </c>
      <c r="K162" s="22"/>
      <c r="L162" s="22"/>
      <c r="M162" s="22"/>
      <c r="N162" s="22"/>
      <c r="O162" s="24" t="str">
        <f aca="false">IF(I162="","",IFERROR(INDEX(TUYEN_NGAY,MATCH(I162,TUYEN_MA,0)),0))</f>
        <v/>
      </c>
      <c r="P162" s="24" t="str">
        <f aca="false">IF(OR(F162="",O162=""),"",MAX(0,F162-O162))</f>
        <v/>
      </c>
      <c r="Q162" s="20" t="str">
        <f aca="false">IF(I162="","",IFERROR(INDEX(TUYEN_DG,MATCH(I162,TUYEN_MA,0)),0))</f>
        <v/>
      </c>
      <c r="R162" s="20" t="str">
        <f aca="false">IF(P162="","",P162*HT_VUOTNGAY)</f>
        <v/>
      </c>
      <c r="S162" s="20" t="str">
        <f aca="false">IF(I162="","",(N(K162)+N(L162))*HT_DAU_KM)</f>
        <v/>
      </c>
      <c r="T162" s="22"/>
      <c r="U162" s="20" t="str">
        <f aca="false">IF(I162="","",N(T162)*IFERROR(INDEX(TUYEN_HTVC,MATCH(I162,TUYEN_MA,0)),0))</f>
        <v/>
      </c>
      <c r="V162" s="37" t="str">
        <f aca="false">IF(I162="","",Q162+R162+S162+U162)</f>
        <v/>
      </c>
      <c r="W162" s="22"/>
      <c r="X162" s="22"/>
      <c r="Y162" s="22"/>
    </row>
    <row r="163" customFormat="false" ht="15" hidden="false" customHeight="false" outlineLevel="0" collapsed="false">
      <c r="A163" s="24" t="str">
        <f aca="false">IF(B163="","",ROW()-4)</f>
        <v/>
      </c>
      <c r="B163" s="22"/>
      <c r="C163" s="24" t="str">
        <f aca="false">IF(B163="","",IFERROR(INDEX(NV_TEN,MATCH(B163,NV_MA,0)),"MÃ KHÔNG CÓ"))</f>
        <v/>
      </c>
      <c r="D163" s="46"/>
      <c r="E163" s="46"/>
      <c r="F163" s="24" t="str">
        <f aca="false">IF(OR(D163="",E163=""),"",E163-D163+1)</f>
        <v/>
      </c>
      <c r="G163" s="22"/>
      <c r="H163" s="22"/>
      <c r="I163" s="22"/>
      <c r="J163" s="24" t="str">
        <f aca="false">IF(I163="","",IFERROR(INDEX(TUYEN_MOTA,MATCH(I163,TUYEN_MA,0)),"TUYẾN KHÔNG CÓ"))</f>
        <v/>
      </c>
      <c r="K163" s="22"/>
      <c r="L163" s="22"/>
      <c r="M163" s="22"/>
      <c r="N163" s="22"/>
      <c r="O163" s="24" t="str">
        <f aca="false">IF(I163="","",IFERROR(INDEX(TUYEN_NGAY,MATCH(I163,TUYEN_MA,0)),0))</f>
        <v/>
      </c>
      <c r="P163" s="24" t="str">
        <f aca="false">IF(OR(F163="",O163=""),"",MAX(0,F163-O163))</f>
        <v/>
      </c>
      <c r="Q163" s="20" t="str">
        <f aca="false">IF(I163="","",IFERROR(INDEX(TUYEN_DG,MATCH(I163,TUYEN_MA,0)),0))</f>
        <v/>
      </c>
      <c r="R163" s="20" t="str">
        <f aca="false">IF(P163="","",P163*HT_VUOTNGAY)</f>
        <v/>
      </c>
      <c r="S163" s="20" t="str">
        <f aca="false">IF(I163="","",(N(K163)+N(L163))*HT_DAU_KM)</f>
        <v/>
      </c>
      <c r="T163" s="22"/>
      <c r="U163" s="20" t="str">
        <f aca="false">IF(I163="","",N(T163)*IFERROR(INDEX(TUYEN_HTVC,MATCH(I163,TUYEN_MA,0)),0))</f>
        <v/>
      </c>
      <c r="V163" s="37" t="str">
        <f aca="false">IF(I163="","",Q163+R163+S163+U163)</f>
        <v/>
      </c>
      <c r="W163" s="22"/>
      <c r="X163" s="22"/>
      <c r="Y163" s="22"/>
    </row>
    <row r="164" customFormat="false" ht="15" hidden="false" customHeight="false" outlineLevel="0" collapsed="false">
      <c r="A164" s="24" t="str">
        <f aca="false">IF(B164="","",ROW()-4)</f>
        <v/>
      </c>
      <c r="B164" s="22"/>
      <c r="C164" s="24" t="str">
        <f aca="false">IF(B164="","",IFERROR(INDEX(NV_TEN,MATCH(B164,NV_MA,0)),"MÃ KHÔNG CÓ"))</f>
        <v/>
      </c>
      <c r="D164" s="46"/>
      <c r="E164" s="46"/>
      <c r="F164" s="24" t="str">
        <f aca="false">IF(OR(D164="",E164=""),"",E164-D164+1)</f>
        <v/>
      </c>
      <c r="G164" s="22"/>
      <c r="H164" s="22"/>
      <c r="I164" s="22"/>
      <c r="J164" s="24" t="str">
        <f aca="false">IF(I164="","",IFERROR(INDEX(TUYEN_MOTA,MATCH(I164,TUYEN_MA,0)),"TUYẾN KHÔNG CÓ"))</f>
        <v/>
      </c>
      <c r="K164" s="22"/>
      <c r="L164" s="22"/>
      <c r="M164" s="22"/>
      <c r="N164" s="22"/>
      <c r="O164" s="24" t="str">
        <f aca="false">IF(I164="","",IFERROR(INDEX(TUYEN_NGAY,MATCH(I164,TUYEN_MA,0)),0))</f>
        <v/>
      </c>
      <c r="P164" s="24" t="str">
        <f aca="false">IF(OR(F164="",O164=""),"",MAX(0,F164-O164))</f>
        <v/>
      </c>
      <c r="Q164" s="20" t="str">
        <f aca="false">IF(I164="","",IFERROR(INDEX(TUYEN_DG,MATCH(I164,TUYEN_MA,0)),0))</f>
        <v/>
      </c>
      <c r="R164" s="20" t="str">
        <f aca="false">IF(P164="","",P164*HT_VUOTNGAY)</f>
        <v/>
      </c>
      <c r="S164" s="20" t="str">
        <f aca="false">IF(I164="","",(N(K164)+N(L164))*HT_DAU_KM)</f>
        <v/>
      </c>
      <c r="T164" s="22"/>
      <c r="U164" s="20" t="str">
        <f aca="false">IF(I164="","",N(T164)*IFERROR(INDEX(TUYEN_HTVC,MATCH(I164,TUYEN_MA,0)),0))</f>
        <v/>
      </c>
      <c r="V164" s="37" t="str">
        <f aca="false">IF(I164="","",Q164+R164+S164+U164)</f>
        <v/>
      </c>
      <c r="W164" s="22"/>
      <c r="X164" s="22"/>
      <c r="Y164" s="22"/>
    </row>
    <row r="165" customFormat="false" ht="15" hidden="false" customHeight="false" outlineLevel="0" collapsed="false">
      <c r="A165" s="24" t="str">
        <f aca="false">IF(B165="","",ROW()-4)</f>
        <v/>
      </c>
      <c r="B165" s="22"/>
      <c r="C165" s="24" t="str">
        <f aca="false">IF(B165="","",IFERROR(INDEX(NV_TEN,MATCH(B165,NV_MA,0)),"MÃ KHÔNG CÓ"))</f>
        <v/>
      </c>
      <c r="D165" s="46"/>
      <c r="E165" s="46"/>
      <c r="F165" s="24" t="str">
        <f aca="false">IF(OR(D165="",E165=""),"",E165-D165+1)</f>
        <v/>
      </c>
      <c r="G165" s="22"/>
      <c r="H165" s="22"/>
      <c r="I165" s="22"/>
      <c r="J165" s="24" t="str">
        <f aca="false">IF(I165="","",IFERROR(INDEX(TUYEN_MOTA,MATCH(I165,TUYEN_MA,0)),"TUYẾN KHÔNG CÓ"))</f>
        <v/>
      </c>
      <c r="K165" s="22"/>
      <c r="L165" s="22"/>
      <c r="M165" s="22"/>
      <c r="N165" s="22"/>
      <c r="O165" s="24" t="str">
        <f aca="false">IF(I165="","",IFERROR(INDEX(TUYEN_NGAY,MATCH(I165,TUYEN_MA,0)),0))</f>
        <v/>
      </c>
      <c r="P165" s="24" t="str">
        <f aca="false">IF(OR(F165="",O165=""),"",MAX(0,F165-O165))</f>
        <v/>
      </c>
      <c r="Q165" s="20" t="str">
        <f aca="false">IF(I165="","",IFERROR(INDEX(TUYEN_DG,MATCH(I165,TUYEN_MA,0)),0))</f>
        <v/>
      </c>
      <c r="R165" s="20" t="str">
        <f aca="false">IF(P165="","",P165*HT_VUOTNGAY)</f>
        <v/>
      </c>
      <c r="S165" s="20" t="str">
        <f aca="false">IF(I165="","",(N(K165)+N(L165))*HT_DAU_KM)</f>
        <v/>
      </c>
      <c r="T165" s="22"/>
      <c r="U165" s="20" t="str">
        <f aca="false">IF(I165="","",N(T165)*IFERROR(INDEX(TUYEN_HTVC,MATCH(I165,TUYEN_MA,0)),0))</f>
        <v/>
      </c>
      <c r="V165" s="37" t="str">
        <f aca="false">IF(I165="","",Q165+R165+S165+U165)</f>
        <v/>
      </c>
      <c r="W165" s="22"/>
      <c r="X165" s="22"/>
      <c r="Y165" s="22"/>
    </row>
    <row r="166" customFormat="false" ht="15" hidden="false" customHeight="false" outlineLevel="0" collapsed="false">
      <c r="A166" s="24" t="str">
        <f aca="false">IF(B166="","",ROW()-4)</f>
        <v/>
      </c>
      <c r="B166" s="22"/>
      <c r="C166" s="24" t="str">
        <f aca="false">IF(B166="","",IFERROR(INDEX(NV_TEN,MATCH(B166,NV_MA,0)),"MÃ KHÔNG CÓ"))</f>
        <v/>
      </c>
      <c r="D166" s="46"/>
      <c r="E166" s="46"/>
      <c r="F166" s="24" t="str">
        <f aca="false">IF(OR(D166="",E166=""),"",E166-D166+1)</f>
        <v/>
      </c>
      <c r="G166" s="22"/>
      <c r="H166" s="22"/>
      <c r="I166" s="22"/>
      <c r="J166" s="24" t="str">
        <f aca="false">IF(I166="","",IFERROR(INDEX(TUYEN_MOTA,MATCH(I166,TUYEN_MA,0)),"TUYẾN KHÔNG CÓ"))</f>
        <v/>
      </c>
      <c r="K166" s="22"/>
      <c r="L166" s="22"/>
      <c r="M166" s="22"/>
      <c r="N166" s="22"/>
      <c r="O166" s="24" t="str">
        <f aca="false">IF(I166="","",IFERROR(INDEX(TUYEN_NGAY,MATCH(I166,TUYEN_MA,0)),0))</f>
        <v/>
      </c>
      <c r="P166" s="24" t="str">
        <f aca="false">IF(OR(F166="",O166=""),"",MAX(0,F166-O166))</f>
        <v/>
      </c>
      <c r="Q166" s="20" t="str">
        <f aca="false">IF(I166="","",IFERROR(INDEX(TUYEN_DG,MATCH(I166,TUYEN_MA,0)),0))</f>
        <v/>
      </c>
      <c r="R166" s="20" t="str">
        <f aca="false">IF(P166="","",P166*HT_VUOTNGAY)</f>
        <v/>
      </c>
      <c r="S166" s="20" t="str">
        <f aca="false">IF(I166="","",(N(K166)+N(L166))*HT_DAU_KM)</f>
        <v/>
      </c>
      <c r="T166" s="22"/>
      <c r="U166" s="20" t="str">
        <f aca="false">IF(I166="","",N(T166)*IFERROR(INDEX(TUYEN_HTVC,MATCH(I166,TUYEN_MA,0)),0))</f>
        <v/>
      </c>
      <c r="V166" s="37" t="str">
        <f aca="false">IF(I166="","",Q166+R166+S166+U166)</f>
        <v/>
      </c>
      <c r="W166" s="22"/>
      <c r="X166" s="22"/>
      <c r="Y166" s="22"/>
    </row>
    <row r="167" customFormat="false" ht="15" hidden="false" customHeight="false" outlineLevel="0" collapsed="false">
      <c r="A167" s="24" t="str">
        <f aca="false">IF(B167="","",ROW()-4)</f>
        <v/>
      </c>
      <c r="B167" s="22"/>
      <c r="C167" s="24" t="str">
        <f aca="false">IF(B167="","",IFERROR(INDEX(NV_TEN,MATCH(B167,NV_MA,0)),"MÃ KHÔNG CÓ"))</f>
        <v/>
      </c>
      <c r="D167" s="46"/>
      <c r="E167" s="46"/>
      <c r="F167" s="24" t="str">
        <f aca="false">IF(OR(D167="",E167=""),"",E167-D167+1)</f>
        <v/>
      </c>
      <c r="G167" s="22"/>
      <c r="H167" s="22"/>
      <c r="I167" s="22"/>
      <c r="J167" s="24" t="str">
        <f aca="false">IF(I167="","",IFERROR(INDEX(TUYEN_MOTA,MATCH(I167,TUYEN_MA,0)),"TUYẾN KHÔNG CÓ"))</f>
        <v/>
      </c>
      <c r="K167" s="22"/>
      <c r="L167" s="22"/>
      <c r="M167" s="22"/>
      <c r="N167" s="22"/>
      <c r="O167" s="24" t="str">
        <f aca="false">IF(I167="","",IFERROR(INDEX(TUYEN_NGAY,MATCH(I167,TUYEN_MA,0)),0))</f>
        <v/>
      </c>
      <c r="P167" s="24" t="str">
        <f aca="false">IF(OR(F167="",O167=""),"",MAX(0,F167-O167))</f>
        <v/>
      </c>
      <c r="Q167" s="20" t="str">
        <f aca="false">IF(I167="","",IFERROR(INDEX(TUYEN_DG,MATCH(I167,TUYEN_MA,0)),0))</f>
        <v/>
      </c>
      <c r="R167" s="20" t="str">
        <f aca="false">IF(P167="","",P167*HT_VUOTNGAY)</f>
        <v/>
      </c>
      <c r="S167" s="20" t="str">
        <f aca="false">IF(I167="","",(N(K167)+N(L167))*HT_DAU_KM)</f>
        <v/>
      </c>
      <c r="T167" s="22"/>
      <c r="U167" s="20" t="str">
        <f aca="false">IF(I167="","",N(T167)*IFERROR(INDEX(TUYEN_HTVC,MATCH(I167,TUYEN_MA,0)),0))</f>
        <v/>
      </c>
      <c r="V167" s="37" t="str">
        <f aca="false">IF(I167="","",Q167+R167+S167+U167)</f>
        <v/>
      </c>
      <c r="W167" s="22"/>
      <c r="X167" s="22"/>
      <c r="Y167" s="22"/>
    </row>
    <row r="168" customFormat="false" ht="15" hidden="false" customHeight="false" outlineLevel="0" collapsed="false">
      <c r="A168" s="24" t="str">
        <f aca="false">IF(B168="","",ROW()-4)</f>
        <v/>
      </c>
      <c r="B168" s="22"/>
      <c r="C168" s="24" t="str">
        <f aca="false">IF(B168="","",IFERROR(INDEX(NV_TEN,MATCH(B168,NV_MA,0)),"MÃ KHÔNG CÓ"))</f>
        <v/>
      </c>
      <c r="D168" s="46"/>
      <c r="E168" s="46"/>
      <c r="F168" s="24" t="str">
        <f aca="false">IF(OR(D168="",E168=""),"",E168-D168+1)</f>
        <v/>
      </c>
      <c r="G168" s="22"/>
      <c r="H168" s="22"/>
      <c r="I168" s="22"/>
      <c r="J168" s="24" t="str">
        <f aca="false">IF(I168="","",IFERROR(INDEX(TUYEN_MOTA,MATCH(I168,TUYEN_MA,0)),"TUYẾN KHÔNG CÓ"))</f>
        <v/>
      </c>
      <c r="K168" s="22"/>
      <c r="L168" s="22"/>
      <c r="M168" s="22"/>
      <c r="N168" s="22"/>
      <c r="O168" s="24" t="str">
        <f aca="false">IF(I168="","",IFERROR(INDEX(TUYEN_NGAY,MATCH(I168,TUYEN_MA,0)),0))</f>
        <v/>
      </c>
      <c r="P168" s="24" t="str">
        <f aca="false">IF(OR(F168="",O168=""),"",MAX(0,F168-O168))</f>
        <v/>
      </c>
      <c r="Q168" s="20" t="str">
        <f aca="false">IF(I168="","",IFERROR(INDEX(TUYEN_DG,MATCH(I168,TUYEN_MA,0)),0))</f>
        <v/>
      </c>
      <c r="R168" s="20" t="str">
        <f aca="false">IF(P168="","",P168*HT_VUOTNGAY)</f>
        <v/>
      </c>
      <c r="S168" s="20" t="str">
        <f aca="false">IF(I168="","",(N(K168)+N(L168))*HT_DAU_KM)</f>
        <v/>
      </c>
      <c r="T168" s="22"/>
      <c r="U168" s="20" t="str">
        <f aca="false">IF(I168="","",N(T168)*IFERROR(INDEX(TUYEN_HTVC,MATCH(I168,TUYEN_MA,0)),0))</f>
        <v/>
      </c>
      <c r="V168" s="37" t="str">
        <f aca="false">IF(I168="","",Q168+R168+S168+U168)</f>
        <v/>
      </c>
      <c r="W168" s="22"/>
      <c r="X168" s="22"/>
      <c r="Y168" s="22"/>
    </row>
    <row r="169" customFormat="false" ht="15" hidden="false" customHeight="false" outlineLevel="0" collapsed="false">
      <c r="A169" s="24" t="str">
        <f aca="false">IF(B169="","",ROW()-4)</f>
        <v/>
      </c>
      <c r="B169" s="22"/>
      <c r="C169" s="24" t="str">
        <f aca="false">IF(B169="","",IFERROR(INDEX(NV_TEN,MATCH(B169,NV_MA,0)),"MÃ KHÔNG CÓ"))</f>
        <v/>
      </c>
      <c r="D169" s="46"/>
      <c r="E169" s="46"/>
      <c r="F169" s="24" t="str">
        <f aca="false">IF(OR(D169="",E169=""),"",E169-D169+1)</f>
        <v/>
      </c>
      <c r="G169" s="22"/>
      <c r="H169" s="22"/>
      <c r="I169" s="22"/>
      <c r="J169" s="24" t="str">
        <f aca="false">IF(I169="","",IFERROR(INDEX(TUYEN_MOTA,MATCH(I169,TUYEN_MA,0)),"TUYẾN KHÔNG CÓ"))</f>
        <v/>
      </c>
      <c r="K169" s="22"/>
      <c r="L169" s="22"/>
      <c r="M169" s="22"/>
      <c r="N169" s="22"/>
      <c r="O169" s="24" t="str">
        <f aca="false">IF(I169="","",IFERROR(INDEX(TUYEN_NGAY,MATCH(I169,TUYEN_MA,0)),0))</f>
        <v/>
      </c>
      <c r="P169" s="24" t="str">
        <f aca="false">IF(OR(F169="",O169=""),"",MAX(0,F169-O169))</f>
        <v/>
      </c>
      <c r="Q169" s="20" t="str">
        <f aca="false">IF(I169="","",IFERROR(INDEX(TUYEN_DG,MATCH(I169,TUYEN_MA,0)),0))</f>
        <v/>
      </c>
      <c r="R169" s="20" t="str">
        <f aca="false">IF(P169="","",P169*HT_VUOTNGAY)</f>
        <v/>
      </c>
      <c r="S169" s="20" t="str">
        <f aca="false">IF(I169="","",(N(K169)+N(L169))*HT_DAU_KM)</f>
        <v/>
      </c>
      <c r="T169" s="22"/>
      <c r="U169" s="20" t="str">
        <f aca="false">IF(I169="","",N(T169)*IFERROR(INDEX(TUYEN_HTVC,MATCH(I169,TUYEN_MA,0)),0))</f>
        <v/>
      </c>
      <c r="V169" s="37" t="str">
        <f aca="false">IF(I169="","",Q169+R169+S169+U169)</f>
        <v/>
      </c>
      <c r="W169" s="22"/>
      <c r="X169" s="22"/>
      <c r="Y169" s="22"/>
    </row>
    <row r="170" customFormat="false" ht="15" hidden="false" customHeight="false" outlineLevel="0" collapsed="false">
      <c r="A170" s="24" t="str">
        <f aca="false">IF(B170="","",ROW()-4)</f>
        <v/>
      </c>
      <c r="B170" s="22"/>
      <c r="C170" s="24" t="str">
        <f aca="false">IF(B170="","",IFERROR(INDEX(NV_TEN,MATCH(B170,NV_MA,0)),"MÃ KHÔNG CÓ"))</f>
        <v/>
      </c>
      <c r="D170" s="46"/>
      <c r="E170" s="46"/>
      <c r="F170" s="24" t="str">
        <f aca="false">IF(OR(D170="",E170=""),"",E170-D170+1)</f>
        <v/>
      </c>
      <c r="G170" s="22"/>
      <c r="H170" s="22"/>
      <c r="I170" s="22"/>
      <c r="J170" s="24" t="str">
        <f aca="false">IF(I170="","",IFERROR(INDEX(TUYEN_MOTA,MATCH(I170,TUYEN_MA,0)),"TUYẾN KHÔNG CÓ"))</f>
        <v/>
      </c>
      <c r="K170" s="22"/>
      <c r="L170" s="22"/>
      <c r="M170" s="22"/>
      <c r="N170" s="22"/>
      <c r="O170" s="24" t="str">
        <f aca="false">IF(I170="","",IFERROR(INDEX(TUYEN_NGAY,MATCH(I170,TUYEN_MA,0)),0))</f>
        <v/>
      </c>
      <c r="P170" s="24" t="str">
        <f aca="false">IF(OR(F170="",O170=""),"",MAX(0,F170-O170))</f>
        <v/>
      </c>
      <c r="Q170" s="20" t="str">
        <f aca="false">IF(I170="","",IFERROR(INDEX(TUYEN_DG,MATCH(I170,TUYEN_MA,0)),0))</f>
        <v/>
      </c>
      <c r="R170" s="20" t="str">
        <f aca="false">IF(P170="","",P170*HT_VUOTNGAY)</f>
        <v/>
      </c>
      <c r="S170" s="20" t="str">
        <f aca="false">IF(I170="","",(N(K170)+N(L170))*HT_DAU_KM)</f>
        <v/>
      </c>
      <c r="T170" s="22"/>
      <c r="U170" s="20" t="str">
        <f aca="false">IF(I170="","",N(T170)*IFERROR(INDEX(TUYEN_HTVC,MATCH(I170,TUYEN_MA,0)),0))</f>
        <v/>
      </c>
      <c r="V170" s="37" t="str">
        <f aca="false">IF(I170="","",Q170+R170+S170+U170)</f>
        <v/>
      </c>
      <c r="W170" s="22"/>
      <c r="X170" s="22"/>
      <c r="Y170" s="22"/>
    </row>
    <row r="171" customFormat="false" ht="15" hidden="false" customHeight="false" outlineLevel="0" collapsed="false">
      <c r="A171" s="24" t="str">
        <f aca="false">IF(B171="","",ROW()-4)</f>
        <v/>
      </c>
      <c r="B171" s="22"/>
      <c r="C171" s="24" t="str">
        <f aca="false">IF(B171="","",IFERROR(INDEX(NV_TEN,MATCH(B171,NV_MA,0)),"MÃ KHÔNG CÓ"))</f>
        <v/>
      </c>
      <c r="D171" s="46"/>
      <c r="E171" s="46"/>
      <c r="F171" s="24" t="str">
        <f aca="false">IF(OR(D171="",E171=""),"",E171-D171+1)</f>
        <v/>
      </c>
      <c r="G171" s="22"/>
      <c r="H171" s="22"/>
      <c r="I171" s="22"/>
      <c r="J171" s="24" t="str">
        <f aca="false">IF(I171="","",IFERROR(INDEX(TUYEN_MOTA,MATCH(I171,TUYEN_MA,0)),"TUYẾN KHÔNG CÓ"))</f>
        <v/>
      </c>
      <c r="K171" s="22"/>
      <c r="L171" s="22"/>
      <c r="M171" s="22"/>
      <c r="N171" s="22"/>
      <c r="O171" s="24" t="str">
        <f aca="false">IF(I171="","",IFERROR(INDEX(TUYEN_NGAY,MATCH(I171,TUYEN_MA,0)),0))</f>
        <v/>
      </c>
      <c r="P171" s="24" t="str">
        <f aca="false">IF(OR(F171="",O171=""),"",MAX(0,F171-O171))</f>
        <v/>
      </c>
      <c r="Q171" s="20" t="str">
        <f aca="false">IF(I171="","",IFERROR(INDEX(TUYEN_DG,MATCH(I171,TUYEN_MA,0)),0))</f>
        <v/>
      </c>
      <c r="R171" s="20" t="str">
        <f aca="false">IF(P171="","",P171*HT_VUOTNGAY)</f>
        <v/>
      </c>
      <c r="S171" s="20" t="str">
        <f aca="false">IF(I171="","",(N(K171)+N(L171))*HT_DAU_KM)</f>
        <v/>
      </c>
      <c r="T171" s="22"/>
      <c r="U171" s="20" t="str">
        <f aca="false">IF(I171="","",N(T171)*IFERROR(INDEX(TUYEN_HTVC,MATCH(I171,TUYEN_MA,0)),0))</f>
        <v/>
      </c>
      <c r="V171" s="37" t="str">
        <f aca="false">IF(I171="","",Q171+R171+S171+U171)</f>
        <v/>
      </c>
      <c r="W171" s="22"/>
      <c r="X171" s="22"/>
      <c r="Y171" s="22"/>
    </row>
    <row r="172" customFormat="false" ht="15" hidden="false" customHeight="false" outlineLevel="0" collapsed="false">
      <c r="A172" s="24" t="str">
        <f aca="false">IF(B172="","",ROW()-4)</f>
        <v/>
      </c>
      <c r="B172" s="22"/>
      <c r="C172" s="24" t="str">
        <f aca="false">IF(B172="","",IFERROR(INDEX(NV_TEN,MATCH(B172,NV_MA,0)),"MÃ KHÔNG CÓ"))</f>
        <v/>
      </c>
      <c r="D172" s="46"/>
      <c r="E172" s="46"/>
      <c r="F172" s="24" t="str">
        <f aca="false">IF(OR(D172="",E172=""),"",E172-D172+1)</f>
        <v/>
      </c>
      <c r="G172" s="22"/>
      <c r="H172" s="22"/>
      <c r="I172" s="22"/>
      <c r="J172" s="24" t="str">
        <f aca="false">IF(I172="","",IFERROR(INDEX(TUYEN_MOTA,MATCH(I172,TUYEN_MA,0)),"TUYẾN KHÔNG CÓ"))</f>
        <v/>
      </c>
      <c r="K172" s="22"/>
      <c r="L172" s="22"/>
      <c r="M172" s="22"/>
      <c r="N172" s="22"/>
      <c r="O172" s="24" t="str">
        <f aca="false">IF(I172="","",IFERROR(INDEX(TUYEN_NGAY,MATCH(I172,TUYEN_MA,0)),0))</f>
        <v/>
      </c>
      <c r="P172" s="24" t="str">
        <f aca="false">IF(OR(F172="",O172=""),"",MAX(0,F172-O172))</f>
        <v/>
      </c>
      <c r="Q172" s="20" t="str">
        <f aca="false">IF(I172="","",IFERROR(INDEX(TUYEN_DG,MATCH(I172,TUYEN_MA,0)),0))</f>
        <v/>
      </c>
      <c r="R172" s="20" t="str">
        <f aca="false">IF(P172="","",P172*HT_VUOTNGAY)</f>
        <v/>
      </c>
      <c r="S172" s="20" t="str">
        <f aca="false">IF(I172="","",(N(K172)+N(L172))*HT_DAU_KM)</f>
        <v/>
      </c>
      <c r="T172" s="22"/>
      <c r="U172" s="20" t="str">
        <f aca="false">IF(I172="","",N(T172)*IFERROR(INDEX(TUYEN_HTVC,MATCH(I172,TUYEN_MA,0)),0))</f>
        <v/>
      </c>
      <c r="V172" s="37" t="str">
        <f aca="false">IF(I172="","",Q172+R172+S172+U172)</f>
        <v/>
      </c>
      <c r="W172" s="22"/>
      <c r="X172" s="22"/>
      <c r="Y172" s="22"/>
    </row>
    <row r="173" customFormat="false" ht="15" hidden="false" customHeight="false" outlineLevel="0" collapsed="false">
      <c r="A173" s="24" t="str">
        <f aca="false">IF(B173="","",ROW()-4)</f>
        <v/>
      </c>
      <c r="B173" s="22"/>
      <c r="C173" s="24" t="str">
        <f aca="false">IF(B173="","",IFERROR(INDEX(NV_TEN,MATCH(B173,NV_MA,0)),"MÃ KHÔNG CÓ"))</f>
        <v/>
      </c>
      <c r="D173" s="46"/>
      <c r="E173" s="46"/>
      <c r="F173" s="24" t="str">
        <f aca="false">IF(OR(D173="",E173=""),"",E173-D173+1)</f>
        <v/>
      </c>
      <c r="G173" s="22"/>
      <c r="H173" s="22"/>
      <c r="I173" s="22"/>
      <c r="J173" s="24" t="str">
        <f aca="false">IF(I173="","",IFERROR(INDEX(TUYEN_MOTA,MATCH(I173,TUYEN_MA,0)),"TUYẾN KHÔNG CÓ"))</f>
        <v/>
      </c>
      <c r="K173" s="22"/>
      <c r="L173" s="22"/>
      <c r="M173" s="22"/>
      <c r="N173" s="22"/>
      <c r="O173" s="24" t="str">
        <f aca="false">IF(I173="","",IFERROR(INDEX(TUYEN_NGAY,MATCH(I173,TUYEN_MA,0)),0))</f>
        <v/>
      </c>
      <c r="P173" s="24" t="str">
        <f aca="false">IF(OR(F173="",O173=""),"",MAX(0,F173-O173))</f>
        <v/>
      </c>
      <c r="Q173" s="20" t="str">
        <f aca="false">IF(I173="","",IFERROR(INDEX(TUYEN_DG,MATCH(I173,TUYEN_MA,0)),0))</f>
        <v/>
      </c>
      <c r="R173" s="20" t="str">
        <f aca="false">IF(P173="","",P173*HT_VUOTNGAY)</f>
        <v/>
      </c>
      <c r="S173" s="20" t="str">
        <f aca="false">IF(I173="","",(N(K173)+N(L173))*HT_DAU_KM)</f>
        <v/>
      </c>
      <c r="T173" s="22"/>
      <c r="U173" s="20" t="str">
        <f aca="false">IF(I173="","",N(T173)*IFERROR(INDEX(TUYEN_HTVC,MATCH(I173,TUYEN_MA,0)),0))</f>
        <v/>
      </c>
      <c r="V173" s="37" t="str">
        <f aca="false">IF(I173="","",Q173+R173+S173+U173)</f>
        <v/>
      </c>
      <c r="W173" s="22"/>
      <c r="X173" s="22"/>
      <c r="Y173" s="22"/>
    </row>
    <row r="174" customFormat="false" ht="15" hidden="false" customHeight="false" outlineLevel="0" collapsed="false">
      <c r="A174" s="24" t="str">
        <f aca="false">IF(B174="","",ROW()-4)</f>
        <v/>
      </c>
      <c r="B174" s="22"/>
      <c r="C174" s="24" t="str">
        <f aca="false">IF(B174="","",IFERROR(INDEX(NV_TEN,MATCH(B174,NV_MA,0)),"MÃ KHÔNG CÓ"))</f>
        <v/>
      </c>
      <c r="D174" s="46"/>
      <c r="E174" s="46"/>
      <c r="F174" s="24" t="str">
        <f aca="false">IF(OR(D174="",E174=""),"",E174-D174+1)</f>
        <v/>
      </c>
      <c r="G174" s="22"/>
      <c r="H174" s="22"/>
      <c r="I174" s="22"/>
      <c r="J174" s="24" t="str">
        <f aca="false">IF(I174="","",IFERROR(INDEX(TUYEN_MOTA,MATCH(I174,TUYEN_MA,0)),"TUYẾN KHÔNG CÓ"))</f>
        <v/>
      </c>
      <c r="K174" s="22"/>
      <c r="L174" s="22"/>
      <c r="M174" s="22"/>
      <c r="N174" s="22"/>
      <c r="O174" s="24" t="str">
        <f aca="false">IF(I174="","",IFERROR(INDEX(TUYEN_NGAY,MATCH(I174,TUYEN_MA,0)),0))</f>
        <v/>
      </c>
      <c r="P174" s="24" t="str">
        <f aca="false">IF(OR(F174="",O174=""),"",MAX(0,F174-O174))</f>
        <v/>
      </c>
      <c r="Q174" s="20" t="str">
        <f aca="false">IF(I174="","",IFERROR(INDEX(TUYEN_DG,MATCH(I174,TUYEN_MA,0)),0))</f>
        <v/>
      </c>
      <c r="R174" s="20" t="str">
        <f aca="false">IF(P174="","",P174*HT_VUOTNGAY)</f>
        <v/>
      </c>
      <c r="S174" s="20" t="str">
        <f aca="false">IF(I174="","",(N(K174)+N(L174))*HT_DAU_KM)</f>
        <v/>
      </c>
      <c r="T174" s="22"/>
      <c r="U174" s="20" t="str">
        <f aca="false">IF(I174="","",N(T174)*IFERROR(INDEX(TUYEN_HTVC,MATCH(I174,TUYEN_MA,0)),0))</f>
        <v/>
      </c>
      <c r="V174" s="37" t="str">
        <f aca="false">IF(I174="","",Q174+R174+S174+U174)</f>
        <v/>
      </c>
      <c r="W174" s="22"/>
      <c r="X174" s="22"/>
      <c r="Y174" s="22"/>
    </row>
    <row r="175" customFormat="false" ht="15" hidden="false" customHeight="false" outlineLevel="0" collapsed="false">
      <c r="A175" s="24" t="str">
        <f aca="false">IF(B175="","",ROW()-4)</f>
        <v/>
      </c>
      <c r="B175" s="22"/>
      <c r="C175" s="24" t="str">
        <f aca="false">IF(B175="","",IFERROR(INDEX(NV_TEN,MATCH(B175,NV_MA,0)),"MÃ KHÔNG CÓ"))</f>
        <v/>
      </c>
      <c r="D175" s="46"/>
      <c r="E175" s="46"/>
      <c r="F175" s="24" t="str">
        <f aca="false">IF(OR(D175="",E175=""),"",E175-D175+1)</f>
        <v/>
      </c>
      <c r="G175" s="22"/>
      <c r="H175" s="22"/>
      <c r="I175" s="22"/>
      <c r="J175" s="24" t="str">
        <f aca="false">IF(I175="","",IFERROR(INDEX(TUYEN_MOTA,MATCH(I175,TUYEN_MA,0)),"TUYẾN KHÔNG CÓ"))</f>
        <v/>
      </c>
      <c r="K175" s="22"/>
      <c r="L175" s="22"/>
      <c r="M175" s="22"/>
      <c r="N175" s="22"/>
      <c r="O175" s="24" t="str">
        <f aca="false">IF(I175="","",IFERROR(INDEX(TUYEN_NGAY,MATCH(I175,TUYEN_MA,0)),0))</f>
        <v/>
      </c>
      <c r="P175" s="24" t="str">
        <f aca="false">IF(OR(F175="",O175=""),"",MAX(0,F175-O175))</f>
        <v/>
      </c>
      <c r="Q175" s="20" t="str">
        <f aca="false">IF(I175="","",IFERROR(INDEX(TUYEN_DG,MATCH(I175,TUYEN_MA,0)),0))</f>
        <v/>
      </c>
      <c r="R175" s="20" t="str">
        <f aca="false">IF(P175="","",P175*HT_VUOTNGAY)</f>
        <v/>
      </c>
      <c r="S175" s="20" t="str">
        <f aca="false">IF(I175="","",(N(K175)+N(L175))*HT_DAU_KM)</f>
        <v/>
      </c>
      <c r="T175" s="22"/>
      <c r="U175" s="20" t="str">
        <f aca="false">IF(I175="","",N(T175)*IFERROR(INDEX(TUYEN_HTVC,MATCH(I175,TUYEN_MA,0)),0))</f>
        <v/>
      </c>
      <c r="V175" s="37" t="str">
        <f aca="false">IF(I175="","",Q175+R175+S175+U175)</f>
        <v/>
      </c>
      <c r="W175" s="22"/>
      <c r="X175" s="22"/>
      <c r="Y175" s="22"/>
    </row>
    <row r="176" customFormat="false" ht="15" hidden="false" customHeight="false" outlineLevel="0" collapsed="false">
      <c r="A176" s="24" t="str">
        <f aca="false">IF(B176="","",ROW()-4)</f>
        <v/>
      </c>
      <c r="B176" s="22"/>
      <c r="C176" s="24" t="str">
        <f aca="false">IF(B176="","",IFERROR(INDEX(NV_TEN,MATCH(B176,NV_MA,0)),"MÃ KHÔNG CÓ"))</f>
        <v/>
      </c>
      <c r="D176" s="46"/>
      <c r="E176" s="46"/>
      <c r="F176" s="24" t="str">
        <f aca="false">IF(OR(D176="",E176=""),"",E176-D176+1)</f>
        <v/>
      </c>
      <c r="G176" s="22"/>
      <c r="H176" s="22"/>
      <c r="I176" s="22"/>
      <c r="J176" s="24" t="str">
        <f aca="false">IF(I176="","",IFERROR(INDEX(TUYEN_MOTA,MATCH(I176,TUYEN_MA,0)),"TUYẾN KHÔNG CÓ"))</f>
        <v/>
      </c>
      <c r="K176" s="22"/>
      <c r="L176" s="22"/>
      <c r="M176" s="22"/>
      <c r="N176" s="22"/>
      <c r="O176" s="24" t="str">
        <f aca="false">IF(I176="","",IFERROR(INDEX(TUYEN_NGAY,MATCH(I176,TUYEN_MA,0)),0))</f>
        <v/>
      </c>
      <c r="P176" s="24" t="str">
        <f aca="false">IF(OR(F176="",O176=""),"",MAX(0,F176-O176))</f>
        <v/>
      </c>
      <c r="Q176" s="20" t="str">
        <f aca="false">IF(I176="","",IFERROR(INDEX(TUYEN_DG,MATCH(I176,TUYEN_MA,0)),0))</f>
        <v/>
      </c>
      <c r="R176" s="20" t="str">
        <f aca="false">IF(P176="","",P176*HT_VUOTNGAY)</f>
        <v/>
      </c>
      <c r="S176" s="20" t="str">
        <f aca="false">IF(I176="","",(N(K176)+N(L176))*HT_DAU_KM)</f>
        <v/>
      </c>
      <c r="T176" s="22"/>
      <c r="U176" s="20" t="str">
        <f aca="false">IF(I176="","",N(T176)*IFERROR(INDEX(TUYEN_HTVC,MATCH(I176,TUYEN_MA,0)),0))</f>
        <v/>
      </c>
      <c r="V176" s="37" t="str">
        <f aca="false">IF(I176="","",Q176+R176+S176+U176)</f>
        <v/>
      </c>
      <c r="W176" s="22"/>
      <c r="X176" s="22"/>
      <c r="Y176" s="22"/>
    </row>
    <row r="177" customFormat="false" ht="15" hidden="false" customHeight="false" outlineLevel="0" collapsed="false">
      <c r="A177" s="24" t="str">
        <f aca="false">IF(B177="","",ROW()-4)</f>
        <v/>
      </c>
      <c r="B177" s="22"/>
      <c r="C177" s="24" t="str">
        <f aca="false">IF(B177="","",IFERROR(INDEX(NV_TEN,MATCH(B177,NV_MA,0)),"MÃ KHÔNG CÓ"))</f>
        <v/>
      </c>
      <c r="D177" s="46"/>
      <c r="E177" s="46"/>
      <c r="F177" s="24" t="str">
        <f aca="false">IF(OR(D177="",E177=""),"",E177-D177+1)</f>
        <v/>
      </c>
      <c r="G177" s="22"/>
      <c r="H177" s="22"/>
      <c r="I177" s="22"/>
      <c r="J177" s="24" t="str">
        <f aca="false">IF(I177="","",IFERROR(INDEX(TUYEN_MOTA,MATCH(I177,TUYEN_MA,0)),"TUYẾN KHÔNG CÓ"))</f>
        <v/>
      </c>
      <c r="K177" s="22"/>
      <c r="L177" s="22"/>
      <c r="M177" s="22"/>
      <c r="N177" s="22"/>
      <c r="O177" s="24" t="str">
        <f aca="false">IF(I177="","",IFERROR(INDEX(TUYEN_NGAY,MATCH(I177,TUYEN_MA,0)),0))</f>
        <v/>
      </c>
      <c r="P177" s="24" t="str">
        <f aca="false">IF(OR(F177="",O177=""),"",MAX(0,F177-O177))</f>
        <v/>
      </c>
      <c r="Q177" s="20" t="str">
        <f aca="false">IF(I177="","",IFERROR(INDEX(TUYEN_DG,MATCH(I177,TUYEN_MA,0)),0))</f>
        <v/>
      </c>
      <c r="R177" s="20" t="str">
        <f aca="false">IF(P177="","",P177*HT_VUOTNGAY)</f>
        <v/>
      </c>
      <c r="S177" s="20" t="str">
        <f aca="false">IF(I177="","",(N(K177)+N(L177))*HT_DAU_KM)</f>
        <v/>
      </c>
      <c r="T177" s="22"/>
      <c r="U177" s="20" t="str">
        <f aca="false">IF(I177="","",N(T177)*IFERROR(INDEX(TUYEN_HTVC,MATCH(I177,TUYEN_MA,0)),0))</f>
        <v/>
      </c>
      <c r="V177" s="37" t="str">
        <f aca="false">IF(I177="","",Q177+R177+S177+U177)</f>
        <v/>
      </c>
      <c r="W177" s="22"/>
      <c r="X177" s="22"/>
      <c r="Y177" s="22"/>
    </row>
    <row r="178" customFormat="false" ht="15" hidden="false" customHeight="false" outlineLevel="0" collapsed="false">
      <c r="A178" s="24" t="str">
        <f aca="false">IF(B178="","",ROW()-4)</f>
        <v/>
      </c>
      <c r="B178" s="22"/>
      <c r="C178" s="24" t="str">
        <f aca="false">IF(B178="","",IFERROR(INDEX(NV_TEN,MATCH(B178,NV_MA,0)),"MÃ KHÔNG CÓ"))</f>
        <v/>
      </c>
      <c r="D178" s="46"/>
      <c r="E178" s="46"/>
      <c r="F178" s="24" t="str">
        <f aca="false">IF(OR(D178="",E178=""),"",E178-D178+1)</f>
        <v/>
      </c>
      <c r="G178" s="22"/>
      <c r="H178" s="22"/>
      <c r="I178" s="22"/>
      <c r="J178" s="24" t="str">
        <f aca="false">IF(I178="","",IFERROR(INDEX(TUYEN_MOTA,MATCH(I178,TUYEN_MA,0)),"TUYẾN KHÔNG CÓ"))</f>
        <v/>
      </c>
      <c r="K178" s="22"/>
      <c r="L178" s="22"/>
      <c r="M178" s="22"/>
      <c r="N178" s="22"/>
      <c r="O178" s="24" t="str">
        <f aca="false">IF(I178="","",IFERROR(INDEX(TUYEN_NGAY,MATCH(I178,TUYEN_MA,0)),0))</f>
        <v/>
      </c>
      <c r="P178" s="24" t="str">
        <f aca="false">IF(OR(F178="",O178=""),"",MAX(0,F178-O178))</f>
        <v/>
      </c>
      <c r="Q178" s="20" t="str">
        <f aca="false">IF(I178="","",IFERROR(INDEX(TUYEN_DG,MATCH(I178,TUYEN_MA,0)),0))</f>
        <v/>
      </c>
      <c r="R178" s="20" t="str">
        <f aca="false">IF(P178="","",P178*HT_VUOTNGAY)</f>
        <v/>
      </c>
      <c r="S178" s="20" t="str">
        <f aca="false">IF(I178="","",(N(K178)+N(L178))*HT_DAU_KM)</f>
        <v/>
      </c>
      <c r="T178" s="22"/>
      <c r="U178" s="20" t="str">
        <f aca="false">IF(I178="","",N(T178)*IFERROR(INDEX(TUYEN_HTVC,MATCH(I178,TUYEN_MA,0)),0))</f>
        <v/>
      </c>
      <c r="V178" s="37" t="str">
        <f aca="false">IF(I178="","",Q178+R178+S178+U178)</f>
        <v/>
      </c>
      <c r="W178" s="22"/>
      <c r="X178" s="22"/>
      <c r="Y178" s="22"/>
    </row>
    <row r="179" customFormat="false" ht="15" hidden="false" customHeight="false" outlineLevel="0" collapsed="false">
      <c r="A179" s="24" t="str">
        <f aca="false">IF(B179="","",ROW()-4)</f>
        <v/>
      </c>
      <c r="B179" s="22"/>
      <c r="C179" s="24" t="str">
        <f aca="false">IF(B179="","",IFERROR(INDEX(NV_TEN,MATCH(B179,NV_MA,0)),"MÃ KHÔNG CÓ"))</f>
        <v/>
      </c>
      <c r="D179" s="46"/>
      <c r="E179" s="46"/>
      <c r="F179" s="24" t="str">
        <f aca="false">IF(OR(D179="",E179=""),"",E179-D179+1)</f>
        <v/>
      </c>
      <c r="G179" s="22"/>
      <c r="H179" s="22"/>
      <c r="I179" s="22"/>
      <c r="J179" s="24" t="str">
        <f aca="false">IF(I179="","",IFERROR(INDEX(TUYEN_MOTA,MATCH(I179,TUYEN_MA,0)),"TUYẾN KHÔNG CÓ"))</f>
        <v/>
      </c>
      <c r="K179" s="22"/>
      <c r="L179" s="22"/>
      <c r="M179" s="22"/>
      <c r="N179" s="22"/>
      <c r="O179" s="24" t="str">
        <f aca="false">IF(I179="","",IFERROR(INDEX(TUYEN_NGAY,MATCH(I179,TUYEN_MA,0)),0))</f>
        <v/>
      </c>
      <c r="P179" s="24" t="str">
        <f aca="false">IF(OR(F179="",O179=""),"",MAX(0,F179-O179))</f>
        <v/>
      </c>
      <c r="Q179" s="20" t="str">
        <f aca="false">IF(I179="","",IFERROR(INDEX(TUYEN_DG,MATCH(I179,TUYEN_MA,0)),0))</f>
        <v/>
      </c>
      <c r="R179" s="20" t="str">
        <f aca="false">IF(P179="","",P179*HT_VUOTNGAY)</f>
        <v/>
      </c>
      <c r="S179" s="20" t="str">
        <f aca="false">IF(I179="","",(N(K179)+N(L179))*HT_DAU_KM)</f>
        <v/>
      </c>
      <c r="T179" s="22"/>
      <c r="U179" s="20" t="str">
        <f aca="false">IF(I179="","",N(T179)*IFERROR(INDEX(TUYEN_HTVC,MATCH(I179,TUYEN_MA,0)),0))</f>
        <v/>
      </c>
      <c r="V179" s="37" t="str">
        <f aca="false">IF(I179="","",Q179+R179+S179+U179)</f>
        <v/>
      </c>
      <c r="W179" s="22"/>
      <c r="X179" s="22"/>
      <c r="Y179" s="22"/>
    </row>
    <row r="180" customFormat="false" ht="15" hidden="false" customHeight="false" outlineLevel="0" collapsed="false">
      <c r="A180" s="24" t="str">
        <f aca="false">IF(B180="","",ROW()-4)</f>
        <v/>
      </c>
      <c r="B180" s="22"/>
      <c r="C180" s="24" t="str">
        <f aca="false">IF(B180="","",IFERROR(INDEX(NV_TEN,MATCH(B180,NV_MA,0)),"MÃ KHÔNG CÓ"))</f>
        <v/>
      </c>
      <c r="D180" s="46"/>
      <c r="E180" s="46"/>
      <c r="F180" s="24" t="str">
        <f aca="false">IF(OR(D180="",E180=""),"",E180-D180+1)</f>
        <v/>
      </c>
      <c r="G180" s="22"/>
      <c r="H180" s="22"/>
      <c r="I180" s="22"/>
      <c r="J180" s="24" t="str">
        <f aca="false">IF(I180="","",IFERROR(INDEX(TUYEN_MOTA,MATCH(I180,TUYEN_MA,0)),"TUYẾN KHÔNG CÓ"))</f>
        <v/>
      </c>
      <c r="K180" s="22"/>
      <c r="L180" s="22"/>
      <c r="M180" s="22"/>
      <c r="N180" s="22"/>
      <c r="O180" s="24" t="str">
        <f aca="false">IF(I180="","",IFERROR(INDEX(TUYEN_NGAY,MATCH(I180,TUYEN_MA,0)),0))</f>
        <v/>
      </c>
      <c r="P180" s="24" t="str">
        <f aca="false">IF(OR(F180="",O180=""),"",MAX(0,F180-O180))</f>
        <v/>
      </c>
      <c r="Q180" s="20" t="str">
        <f aca="false">IF(I180="","",IFERROR(INDEX(TUYEN_DG,MATCH(I180,TUYEN_MA,0)),0))</f>
        <v/>
      </c>
      <c r="R180" s="20" t="str">
        <f aca="false">IF(P180="","",P180*HT_VUOTNGAY)</f>
        <v/>
      </c>
      <c r="S180" s="20" t="str">
        <f aca="false">IF(I180="","",(N(K180)+N(L180))*HT_DAU_KM)</f>
        <v/>
      </c>
      <c r="T180" s="22"/>
      <c r="U180" s="20" t="str">
        <f aca="false">IF(I180="","",N(T180)*IFERROR(INDEX(TUYEN_HTVC,MATCH(I180,TUYEN_MA,0)),0))</f>
        <v/>
      </c>
      <c r="V180" s="37" t="str">
        <f aca="false">IF(I180="","",Q180+R180+S180+U180)</f>
        <v/>
      </c>
      <c r="W180" s="22"/>
      <c r="X180" s="22"/>
      <c r="Y180" s="22"/>
    </row>
    <row r="181" customFormat="false" ht="15" hidden="false" customHeight="false" outlineLevel="0" collapsed="false">
      <c r="A181" s="24" t="str">
        <f aca="false">IF(B181="","",ROW()-4)</f>
        <v/>
      </c>
      <c r="B181" s="22"/>
      <c r="C181" s="24" t="str">
        <f aca="false">IF(B181="","",IFERROR(INDEX(NV_TEN,MATCH(B181,NV_MA,0)),"MÃ KHÔNG CÓ"))</f>
        <v/>
      </c>
      <c r="D181" s="46"/>
      <c r="E181" s="46"/>
      <c r="F181" s="24" t="str">
        <f aca="false">IF(OR(D181="",E181=""),"",E181-D181+1)</f>
        <v/>
      </c>
      <c r="G181" s="22"/>
      <c r="H181" s="22"/>
      <c r="I181" s="22"/>
      <c r="J181" s="24" t="str">
        <f aca="false">IF(I181="","",IFERROR(INDEX(TUYEN_MOTA,MATCH(I181,TUYEN_MA,0)),"TUYẾN KHÔNG CÓ"))</f>
        <v/>
      </c>
      <c r="K181" s="22"/>
      <c r="L181" s="22"/>
      <c r="M181" s="22"/>
      <c r="N181" s="22"/>
      <c r="O181" s="24" t="str">
        <f aca="false">IF(I181="","",IFERROR(INDEX(TUYEN_NGAY,MATCH(I181,TUYEN_MA,0)),0))</f>
        <v/>
      </c>
      <c r="P181" s="24" t="str">
        <f aca="false">IF(OR(F181="",O181=""),"",MAX(0,F181-O181))</f>
        <v/>
      </c>
      <c r="Q181" s="20" t="str">
        <f aca="false">IF(I181="","",IFERROR(INDEX(TUYEN_DG,MATCH(I181,TUYEN_MA,0)),0))</f>
        <v/>
      </c>
      <c r="R181" s="20" t="str">
        <f aca="false">IF(P181="","",P181*HT_VUOTNGAY)</f>
        <v/>
      </c>
      <c r="S181" s="20" t="str">
        <f aca="false">IF(I181="","",(N(K181)+N(L181))*HT_DAU_KM)</f>
        <v/>
      </c>
      <c r="T181" s="22"/>
      <c r="U181" s="20" t="str">
        <f aca="false">IF(I181="","",N(T181)*IFERROR(INDEX(TUYEN_HTVC,MATCH(I181,TUYEN_MA,0)),0))</f>
        <v/>
      </c>
      <c r="V181" s="37" t="str">
        <f aca="false">IF(I181="","",Q181+R181+S181+U181)</f>
        <v/>
      </c>
      <c r="W181" s="22"/>
      <c r="X181" s="22"/>
      <c r="Y181" s="22"/>
    </row>
    <row r="182" customFormat="false" ht="15" hidden="false" customHeight="false" outlineLevel="0" collapsed="false">
      <c r="A182" s="24" t="str">
        <f aca="false">IF(B182="","",ROW()-4)</f>
        <v/>
      </c>
      <c r="B182" s="22"/>
      <c r="C182" s="24" t="str">
        <f aca="false">IF(B182="","",IFERROR(INDEX(NV_TEN,MATCH(B182,NV_MA,0)),"MÃ KHÔNG CÓ"))</f>
        <v/>
      </c>
      <c r="D182" s="46"/>
      <c r="E182" s="46"/>
      <c r="F182" s="24" t="str">
        <f aca="false">IF(OR(D182="",E182=""),"",E182-D182+1)</f>
        <v/>
      </c>
      <c r="G182" s="22"/>
      <c r="H182" s="22"/>
      <c r="I182" s="22"/>
      <c r="J182" s="24" t="str">
        <f aca="false">IF(I182="","",IFERROR(INDEX(TUYEN_MOTA,MATCH(I182,TUYEN_MA,0)),"TUYẾN KHÔNG CÓ"))</f>
        <v/>
      </c>
      <c r="K182" s="22"/>
      <c r="L182" s="22"/>
      <c r="M182" s="22"/>
      <c r="N182" s="22"/>
      <c r="O182" s="24" t="str">
        <f aca="false">IF(I182="","",IFERROR(INDEX(TUYEN_NGAY,MATCH(I182,TUYEN_MA,0)),0))</f>
        <v/>
      </c>
      <c r="P182" s="24" t="str">
        <f aca="false">IF(OR(F182="",O182=""),"",MAX(0,F182-O182))</f>
        <v/>
      </c>
      <c r="Q182" s="20" t="str">
        <f aca="false">IF(I182="","",IFERROR(INDEX(TUYEN_DG,MATCH(I182,TUYEN_MA,0)),0))</f>
        <v/>
      </c>
      <c r="R182" s="20" t="str">
        <f aca="false">IF(P182="","",P182*HT_VUOTNGAY)</f>
        <v/>
      </c>
      <c r="S182" s="20" t="str">
        <f aca="false">IF(I182="","",(N(K182)+N(L182))*HT_DAU_KM)</f>
        <v/>
      </c>
      <c r="T182" s="22"/>
      <c r="U182" s="20" t="str">
        <f aca="false">IF(I182="","",N(T182)*IFERROR(INDEX(TUYEN_HTVC,MATCH(I182,TUYEN_MA,0)),0))</f>
        <v/>
      </c>
      <c r="V182" s="37" t="str">
        <f aca="false">IF(I182="","",Q182+R182+S182+U182)</f>
        <v/>
      </c>
      <c r="W182" s="22"/>
      <c r="X182" s="22"/>
      <c r="Y182" s="22"/>
    </row>
    <row r="183" customFormat="false" ht="15" hidden="false" customHeight="false" outlineLevel="0" collapsed="false">
      <c r="A183" s="24" t="str">
        <f aca="false">IF(B183="","",ROW()-4)</f>
        <v/>
      </c>
      <c r="B183" s="22"/>
      <c r="C183" s="24" t="str">
        <f aca="false">IF(B183="","",IFERROR(INDEX(NV_TEN,MATCH(B183,NV_MA,0)),"MÃ KHÔNG CÓ"))</f>
        <v/>
      </c>
      <c r="D183" s="46"/>
      <c r="E183" s="46"/>
      <c r="F183" s="24" t="str">
        <f aca="false">IF(OR(D183="",E183=""),"",E183-D183+1)</f>
        <v/>
      </c>
      <c r="G183" s="22"/>
      <c r="H183" s="22"/>
      <c r="I183" s="22"/>
      <c r="J183" s="24" t="str">
        <f aca="false">IF(I183="","",IFERROR(INDEX(TUYEN_MOTA,MATCH(I183,TUYEN_MA,0)),"TUYẾN KHÔNG CÓ"))</f>
        <v/>
      </c>
      <c r="K183" s="22"/>
      <c r="L183" s="22"/>
      <c r="M183" s="22"/>
      <c r="N183" s="22"/>
      <c r="O183" s="24" t="str">
        <f aca="false">IF(I183="","",IFERROR(INDEX(TUYEN_NGAY,MATCH(I183,TUYEN_MA,0)),0))</f>
        <v/>
      </c>
      <c r="P183" s="24" t="str">
        <f aca="false">IF(OR(F183="",O183=""),"",MAX(0,F183-O183))</f>
        <v/>
      </c>
      <c r="Q183" s="20" t="str">
        <f aca="false">IF(I183="","",IFERROR(INDEX(TUYEN_DG,MATCH(I183,TUYEN_MA,0)),0))</f>
        <v/>
      </c>
      <c r="R183" s="20" t="str">
        <f aca="false">IF(P183="","",P183*HT_VUOTNGAY)</f>
        <v/>
      </c>
      <c r="S183" s="20" t="str">
        <f aca="false">IF(I183="","",(N(K183)+N(L183))*HT_DAU_KM)</f>
        <v/>
      </c>
      <c r="T183" s="22"/>
      <c r="U183" s="20" t="str">
        <f aca="false">IF(I183="","",N(T183)*IFERROR(INDEX(TUYEN_HTVC,MATCH(I183,TUYEN_MA,0)),0))</f>
        <v/>
      </c>
      <c r="V183" s="37" t="str">
        <f aca="false">IF(I183="","",Q183+R183+S183+U183)</f>
        <v/>
      </c>
      <c r="W183" s="22"/>
      <c r="X183" s="22"/>
      <c r="Y183" s="22"/>
    </row>
    <row r="184" customFormat="false" ht="15" hidden="false" customHeight="false" outlineLevel="0" collapsed="false">
      <c r="A184" s="24" t="str">
        <f aca="false">IF(B184="","",ROW()-4)</f>
        <v/>
      </c>
      <c r="B184" s="22"/>
      <c r="C184" s="24" t="str">
        <f aca="false">IF(B184="","",IFERROR(INDEX(NV_TEN,MATCH(B184,NV_MA,0)),"MÃ KHÔNG CÓ"))</f>
        <v/>
      </c>
      <c r="D184" s="46"/>
      <c r="E184" s="46"/>
      <c r="F184" s="24" t="str">
        <f aca="false">IF(OR(D184="",E184=""),"",E184-D184+1)</f>
        <v/>
      </c>
      <c r="G184" s="22"/>
      <c r="H184" s="22"/>
      <c r="I184" s="22"/>
      <c r="J184" s="24" t="str">
        <f aca="false">IF(I184="","",IFERROR(INDEX(TUYEN_MOTA,MATCH(I184,TUYEN_MA,0)),"TUYẾN KHÔNG CÓ"))</f>
        <v/>
      </c>
      <c r="K184" s="22"/>
      <c r="L184" s="22"/>
      <c r="M184" s="22"/>
      <c r="N184" s="22"/>
      <c r="O184" s="24" t="str">
        <f aca="false">IF(I184="","",IFERROR(INDEX(TUYEN_NGAY,MATCH(I184,TUYEN_MA,0)),0))</f>
        <v/>
      </c>
      <c r="P184" s="24" t="str">
        <f aca="false">IF(OR(F184="",O184=""),"",MAX(0,F184-O184))</f>
        <v/>
      </c>
      <c r="Q184" s="20" t="str">
        <f aca="false">IF(I184="","",IFERROR(INDEX(TUYEN_DG,MATCH(I184,TUYEN_MA,0)),0))</f>
        <v/>
      </c>
      <c r="R184" s="20" t="str">
        <f aca="false">IF(P184="","",P184*HT_VUOTNGAY)</f>
        <v/>
      </c>
      <c r="S184" s="20" t="str">
        <f aca="false">IF(I184="","",(N(K184)+N(L184))*HT_DAU_KM)</f>
        <v/>
      </c>
      <c r="T184" s="22"/>
      <c r="U184" s="20" t="str">
        <f aca="false">IF(I184="","",N(T184)*IFERROR(INDEX(TUYEN_HTVC,MATCH(I184,TUYEN_MA,0)),0))</f>
        <v/>
      </c>
      <c r="V184" s="37" t="str">
        <f aca="false">IF(I184="","",Q184+R184+S184+U184)</f>
        <v/>
      </c>
      <c r="W184" s="22"/>
      <c r="X184" s="22"/>
      <c r="Y184" s="22"/>
    </row>
    <row r="185" customFormat="false" ht="15" hidden="false" customHeight="false" outlineLevel="0" collapsed="false">
      <c r="A185" s="24" t="str">
        <f aca="false">IF(B185="","",ROW()-4)</f>
        <v/>
      </c>
      <c r="B185" s="22"/>
      <c r="C185" s="24" t="str">
        <f aca="false">IF(B185="","",IFERROR(INDEX(NV_TEN,MATCH(B185,NV_MA,0)),"MÃ KHÔNG CÓ"))</f>
        <v/>
      </c>
      <c r="D185" s="46"/>
      <c r="E185" s="46"/>
      <c r="F185" s="24" t="str">
        <f aca="false">IF(OR(D185="",E185=""),"",E185-D185+1)</f>
        <v/>
      </c>
      <c r="G185" s="22"/>
      <c r="H185" s="22"/>
      <c r="I185" s="22"/>
      <c r="J185" s="24" t="str">
        <f aca="false">IF(I185="","",IFERROR(INDEX(TUYEN_MOTA,MATCH(I185,TUYEN_MA,0)),"TUYẾN KHÔNG CÓ"))</f>
        <v/>
      </c>
      <c r="K185" s="22"/>
      <c r="L185" s="22"/>
      <c r="M185" s="22"/>
      <c r="N185" s="22"/>
      <c r="O185" s="24" t="str">
        <f aca="false">IF(I185="","",IFERROR(INDEX(TUYEN_NGAY,MATCH(I185,TUYEN_MA,0)),0))</f>
        <v/>
      </c>
      <c r="P185" s="24" t="str">
        <f aca="false">IF(OR(F185="",O185=""),"",MAX(0,F185-O185))</f>
        <v/>
      </c>
      <c r="Q185" s="20" t="str">
        <f aca="false">IF(I185="","",IFERROR(INDEX(TUYEN_DG,MATCH(I185,TUYEN_MA,0)),0))</f>
        <v/>
      </c>
      <c r="R185" s="20" t="str">
        <f aca="false">IF(P185="","",P185*HT_VUOTNGAY)</f>
        <v/>
      </c>
      <c r="S185" s="20" t="str">
        <f aca="false">IF(I185="","",(N(K185)+N(L185))*HT_DAU_KM)</f>
        <v/>
      </c>
      <c r="T185" s="22"/>
      <c r="U185" s="20" t="str">
        <f aca="false">IF(I185="","",N(T185)*IFERROR(INDEX(TUYEN_HTVC,MATCH(I185,TUYEN_MA,0)),0))</f>
        <v/>
      </c>
      <c r="V185" s="37" t="str">
        <f aca="false">IF(I185="","",Q185+R185+S185+U185)</f>
        <v/>
      </c>
      <c r="W185" s="22"/>
      <c r="X185" s="22"/>
      <c r="Y185" s="22"/>
    </row>
    <row r="186" customFormat="false" ht="15" hidden="false" customHeight="false" outlineLevel="0" collapsed="false">
      <c r="A186" s="24" t="str">
        <f aca="false">IF(B186="","",ROW()-4)</f>
        <v/>
      </c>
      <c r="B186" s="22"/>
      <c r="C186" s="24" t="str">
        <f aca="false">IF(B186="","",IFERROR(INDEX(NV_TEN,MATCH(B186,NV_MA,0)),"MÃ KHÔNG CÓ"))</f>
        <v/>
      </c>
      <c r="D186" s="46"/>
      <c r="E186" s="46"/>
      <c r="F186" s="24" t="str">
        <f aca="false">IF(OR(D186="",E186=""),"",E186-D186+1)</f>
        <v/>
      </c>
      <c r="G186" s="22"/>
      <c r="H186" s="22"/>
      <c r="I186" s="22"/>
      <c r="J186" s="24" t="str">
        <f aca="false">IF(I186="","",IFERROR(INDEX(TUYEN_MOTA,MATCH(I186,TUYEN_MA,0)),"TUYẾN KHÔNG CÓ"))</f>
        <v/>
      </c>
      <c r="K186" s="22"/>
      <c r="L186" s="22"/>
      <c r="M186" s="22"/>
      <c r="N186" s="22"/>
      <c r="O186" s="24" t="str">
        <f aca="false">IF(I186="","",IFERROR(INDEX(TUYEN_NGAY,MATCH(I186,TUYEN_MA,0)),0))</f>
        <v/>
      </c>
      <c r="P186" s="24" t="str">
        <f aca="false">IF(OR(F186="",O186=""),"",MAX(0,F186-O186))</f>
        <v/>
      </c>
      <c r="Q186" s="20" t="str">
        <f aca="false">IF(I186="","",IFERROR(INDEX(TUYEN_DG,MATCH(I186,TUYEN_MA,0)),0))</f>
        <v/>
      </c>
      <c r="R186" s="20" t="str">
        <f aca="false">IF(P186="","",P186*HT_VUOTNGAY)</f>
        <v/>
      </c>
      <c r="S186" s="20" t="str">
        <f aca="false">IF(I186="","",(N(K186)+N(L186))*HT_DAU_KM)</f>
        <v/>
      </c>
      <c r="T186" s="22"/>
      <c r="U186" s="20" t="str">
        <f aca="false">IF(I186="","",N(T186)*IFERROR(INDEX(TUYEN_HTVC,MATCH(I186,TUYEN_MA,0)),0))</f>
        <v/>
      </c>
      <c r="V186" s="37" t="str">
        <f aca="false">IF(I186="","",Q186+R186+S186+U186)</f>
        <v/>
      </c>
      <c r="W186" s="22"/>
      <c r="X186" s="22"/>
      <c r="Y186" s="22"/>
    </row>
    <row r="187" customFormat="false" ht="15" hidden="false" customHeight="false" outlineLevel="0" collapsed="false">
      <c r="A187" s="24" t="str">
        <f aca="false">IF(B187="","",ROW()-4)</f>
        <v/>
      </c>
      <c r="B187" s="22"/>
      <c r="C187" s="24" t="str">
        <f aca="false">IF(B187="","",IFERROR(INDEX(NV_TEN,MATCH(B187,NV_MA,0)),"MÃ KHÔNG CÓ"))</f>
        <v/>
      </c>
      <c r="D187" s="46"/>
      <c r="E187" s="46"/>
      <c r="F187" s="24" t="str">
        <f aca="false">IF(OR(D187="",E187=""),"",E187-D187+1)</f>
        <v/>
      </c>
      <c r="G187" s="22"/>
      <c r="H187" s="22"/>
      <c r="I187" s="22"/>
      <c r="J187" s="24" t="str">
        <f aca="false">IF(I187="","",IFERROR(INDEX(TUYEN_MOTA,MATCH(I187,TUYEN_MA,0)),"TUYẾN KHÔNG CÓ"))</f>
        <v/>
      </c>
      <c r="K187" s="22"/>
      <c r="L187" s="22"/>
      <c r="M187" s="22"/>
      <c r="N187" s="22"/>
      <c r="O187" s="24" t="str">
        <f aca="false">IF(I187="","",IFERROR(INDEX(TUYEN_NGAY,MATCH(I187,TUYEN_MA,0)),0))</f>
        <v/>
      </c>
      <c r="P187" s="24" t="str">
        <f aca="false">IF(OR(F187="",O187=""),"",MAX(0,F187-O187))</f>
        <v/>
      </c>
      <c r="Q187" s="20" t="str">
        <f aca="false">IF(I187="","",IFERROR(INDEX(TUYEN_DG,MATCH(I187,TUYEN_MA,0)),0))</f>
        <v/>
      </c>
      <c r="R187" s="20" t="str">
        <f aca="false">IF(P187="","",P187*HT_VUOTNGAY)</f>
        <v/>
      </c>
      <c r="S187" s="20" t="str">
        <f aca="false">IF(I187="","",(N(K187)+N(L187))*HT_DAU_KM)</f>
        <v/>
      </c>
      <c r="T187" s="22"/>
      <c r="U187" s="20" t="str">
        <f aca="false">IF(I187="","",N(T187)*IFERROR(INDEX(TUYEN_HTVC,MATCH(I187,TUYEN_MA,0)),0))</f>
        <v/>
      </c>
      <c r="V187" s="37" t="str">
        <f aca="false">IF(I187="","",Q187+R187+S187+U187)</f>
        <v/>
      </c>
      <c r="W187" s="22"/>
      <c r="X187" s="22"/>
      <c r="Y187" s="22"/>
    </row>
    <row r="188" customFormat="false" ht="15" hidden="false" customHeight="false" outlineLevel="0" collapsed="false">
      <c r="A188" s="24" t="str">
        <f aca="false">IF(B188="","",ROW()-4)</f>
        <v/>
      </c>
      <c r="B188" s="22"/>
      <c r="C188" s="24" t="str">
        <f aca="false">IF(B188="","",IFERROR(INDEX(NV_TEN,MATCH(B188,NV_MA,0)),"MÃ KHÔNG CÓ"))</f>
        <v/>
      </c>
      <c r="D188" s="46"/>
      <c r="E188" s="46"/>
      <c r="F188" s="24" t="str">
        <f aca="false">IF(OR(D188="",E188=""),"",E188-D188+1)</f>
        <v/>
      </c>
      <c r="G188" s="22"/>
      <c r="H188" s="22"/>
      <c r="I188" s="22"/>
      <c r="J188" s="24" t="str">
        <f aca="false">IF(I188="","",IFERROR(INDEX(TUYEN_MOTA,MATCH(I188,TUYEN_MA,0)),"TUYẾN KHÔNG CÓ"))</f>
        <v/>
      </c>
      <c r="K188" s="22"/>
      <c r="L188" s="22"/>
      <c r="M188" s="22"/>
      <c r="N188" s="22"/>
      <c r="O188" s="24" t="str">
        <f aca="false">IF(I188="","",IFERROR(INDEX(TUYEN_NGAY,MATCH(I188,TUYEN_MA,0)),0))</f>
        <v/>
      </c>
      <c r="P188" s="24" t="str">
        <f aca="false">IF(OR(F188="",O188=""),"",MAX(0,F188-O188))</f>
        <v/>
      </c>
      <c r="Q188" s="20" t="str">
        <f aca="false">IF(I188="","",IFERROR(INDEX(TUYEN_DG,MATCH(I188,TUYEN_MA,0)),0))</f>
        <v/>
      </c>
      <c r="R188" s="20" t="str">
        <f aca="false">IF(P188="","",P188*HT_VUOTNGAY)</f>
        <v/>
      </c>
      <c r="S188" s="20" t="str">
        <f aca="false">IF(I188="","",(N(K188)+N(L188))*HT_DAU_KM)</f>
        <v/>
      </c>
      <c r="T188" s="22"/>
      <c r="U188" s="20" t="str">
        <f aca="false">IF(I188="","",N(T188)*IFERROR(INDEX(TUYEN_HTVC,MATCH(I188,TUYEN_MA,0)),0))</f>
        <v/>
      </c>
      <c r="V188" s="37" t="str">
        <f aca="false">IF(I188="","",Q188+R188+S188+U188)</f>
        <v/>
      </c>
      <c r="W188" s="22"/>
      <c r="X188" s="22"/>
      <c r="Y188" s="22"/>
    </row>
    <row r="189" customFormat="false" ht="15" hidden="false" customHeight="false" outlineLevel="0" collapsed="false">
      <c r="A189" s="24" t="str">
        <f aca="false">IF(B189="","",ROW()-4)</f>
        <v/>
      </c>
      <c r="B189" s="22"/>
      <c r="C189" s="24" t="str">
        <f aca="false">IF(B189="","",IFERROR(INDEX(NV_TEN,MATCH(B189,NV_MA,0)),"MÃ KHÔNG CÓ"))</f>
        <v/>
      </c>
      <c r="D189" s="46"/>
      <c r="E189" s="46"/>
      <c r="F189" s="24" t="str">
        <f aca="false">IF(OR(D189="",E189=""),"",E189-D189+1)</f>
        <v/>
      </c>
      <c r="G189" s="22"/>
      <c r="H189" s="22"/>
      <c r="I189" s="22"/>
      <c r="J189" s="24" t="str">
        <f aca="false">IF(I189="","",IFERROR(INDEX(TUYEN_MOTA,MATCH(I189,TUYEN_MA,0)),"TUYẾN KHÔNG CÓ"))</f>
        <v/>
      </c>
      <c r="K189" s="22"/>
      <c r="L189" s="22"/>
      <c r="M189" s="22"/>
      <c r="N189" s="22"/>
      <c r="O189" s="24" t="str">
        <f aca="false">IF(I189="","",IFERROR(INDEX(TUYEN_NGAY,MATCH(I189,TUYEN_MA,0)),0))</f>
        <v/>
      </c>
      <c r="P189" s="24" t="str">
        <f aca="false">IF(OR(F189="",O189=""),"",MAX(0,F189-O189))</f>
        <v/>
      </c>
      <c r="Q189" s="20" t="str">
        <f aca="false">IF(I189="","",IFERROR(INDEX(TUYEN_DG,MATCH(I189,TUYEN_MA,0)),0))</f>
        <v/>
      </c>
      <c r="R189" s="20" t="str">
        <f aca="false">IF(P189="","",P189*HT_VUOTNGAY)</f>
        <v/>
      </c>
      <c r="S189" s="20" t="str">
        <f aca="false">IF(I189="","",(N(K189)+N(L189))*HT_DAU_KM)</f>
        <v/>
      </c>
      <c r="T189" s="22"/>
      <c r="U189" s="20" t="str">
        <f aca="false">IF(I189="","",N(T189)*IFERROR(INDEX(TUYEN_HTVC,MATCH(I189,TUYEN_MA,0)),0))</f>
        <v/>
      </c>
      <c r="V189" s="37" t="str">
        <f aca="false">IF(I189="","",Q189+R189+S189+U189)</f>
        <v/>
      </c>
      <c r="W189" s="22"/>
      <c r="X189" s="22"/>
      <c r="Y189" s="22"/>
    </row>
    <row r="190" customFormat="false" ht="15" hidden="false" customHeight="false" outlineLevel="0" collapsed="false">
      <c r="A190" s="24" t="str">
        <f aca="false">IF(B190="","",ROW()-4)</f>
        <v/>
      </c>
      <c r="B190" s="22"/>
      <c r="C190" s="24" t="str">
        <f aca="false">IF(B190="","",IFERROR(INDEX(NV_TEN,MATCH(B190,NV_MA,0)),"MÃ KHÔNG CÓ"))</f>
        <v/>
      </c>
      <c r="D190" s="46"/>
      <c r="E190" s="46"/>
      <c r="F190" s="24" t="str">
        <f aca="false">IF(OR(D190="",E190=""),"",E190-D190+1)</f>
        <v/>
      </c>
      <c r="G190" s="22"/>
      <c r="H190" s="22"/>
      <c r="I190" s="22"/>
      <c r="J190" s="24" t="str">
        <f aca="false">IF(I190="","",IFERROR(INDEX(TUYEN_MOTA,MATCH(I190,TUYEN_MA,0)),"TUYẾN KHÔNG CÓ"))</f>
        <v/>
      </c>
      <c r="K190" s="22"/>
      <c r="L190" s="22"/>
      <c r="M190" s="22"/>
      <c r="N190" s="22"/>
      <c r="O190" s="24" t="str">
        <f aca="false">IF(I190="","",IFERROR(INDEX(TUYEN_NGAY,MATCH(I190,TUYEN_MA,0)),0))</f>
        <v/>
      </c>
      <c r="P190" s="24" t="str">
        <f aca="false">IF(OR(F190="",O190=""),"",MAX(0,F190-O190))</f>
        <v/>
      </c>
      <c r="Q190" s="20" t="str">
        <f aca="false">IF(I190="","",IFERROR(INDEX(TUYEN_DG,MATCH(I190,TUYEN_MA,0)),0))</f>
        <v/>
      </c>
      <c r="R190" s="20" t="str">
        <f aca="false">IF(P190="","",P190*HT_VUOTNGAY)</f>
        <v/>
      </c>
      <c r="S190" s="20" t="str">
        <f aca="false">IF(I190="","",(N(K190)+N(L190))*HT_DAU_KM)</f>
        <v/>
      </c>
      <c r="T190" s="22"/>
      <c r="U190" s="20" t="str">
        <f aca="false">IF(I190="","",N(T190)*IFERROR(INDEX(TUYEN_HTVC,MATCH(I190,TUYEN_MA,0)),0))</f>
        <v/>
      </c>
      <c r="V190" s="37" t="str">
        <f aca="false">IF(I190="","",Q190+R190+S190+U190)</f>
        <v/>
      </c>
      <c r="W190" s="22"/>
      <c r="X190" s="22"/>
      <c r="Y190" s="22"/>
    </row>
    <row r="191" customFormat="false" ht="15" hidden="false" customHeight="false" outlineLevel="0" collapsed="false">
      <c r="A191" s="24" t="str">
        <f aca="false">IF(B191="","",ROW()-4)</f>
        <v/>
      </c>
      <c r="B191" s="22"/>
      <c r="C191" s="24" t="str">
        <f aca="false">IF(B191="","",IFERROR(INDEX(NV_TEN,MATCH(B191,NV_MA,0)),"MÃ KHÔNG CÓ"))</f>
        <v/>
      </c>
      <c r="D191" s="46"/>
      <c r="E191" s="46"/>
      <c r="F191" s="24" t="str">
        <f aca="false">IF(OR(D191="",E191=""),"",E191-D191+1)</f>
        <v/>
      </c>
      <c r="G191" s="22"/>
      <c r="H191" s="22"/>
      <c r="I191" s="22"/>
      <c r="J191" s="24" t="str">
        <f aca="false">IF(I191="","",IFERROR(INDEX(TUYEN_MOTA,MATCH(I191,TUYEN_MA,0)),"TUYẾN KHÔNG CÓ"))</f>
        <v/>
      </c>
      <c r="K191" s="22"/>
      <c r="L191" s="22"/>
      <c r="M191" s="22"/>
      <c r="N191" s="22"/>
      <c r="O191" s="24" t="str">
        <f aca="false">IF(I191="","",IFERROR(INDEX(TUYEN_NGAY,MATCH(I191,TUYEN_MA,0)),0))</f>
        <v/>
      </c>
      <c r="P191" s="24" t="str">
        <f aca="false">IF(OR(F191="",O191=""),"",MAX(0,F191-O191))</f>
        <v/>
      </c>
      <c r="Q191" s="20" t="str">
        <f aca="false">IF(I191="","",IFERROR(INDEX(TUYEN_DG,MATCH(I191,TUYEN_MA,0)),0))</f>
        <v/>
      </c>
      <c r="R191" s="20" t="str">
        <f aca="false">IF(P191="","",P191*HT_VUOTNGAY)</f>
        <v/>
      </c>
      <c r="S191" s="20" t="str">
        <f aca="false">IF(I191="","",(N(K191)+N(L191))*HT_DAU_KM)</f>
        <v/>
      </c>
      <c r="T191" s="22"/>
      <c r="U191" s="20" t="str">
        <f aca="false">IF(I191="","",N(T191)*IFERROR(INDEX(TUYEN_HTVC,MATCH(I191,TUYEN_MA,0)),0))</f>
        <v/>
      </c>
      <c r="V191" s="37" t="str">
        <f aca="false">IF(I191="","",Q191+R191+S191+U191)</f>
        <v/>
      </c>
      <c r="W191" s="22"/>
      <c r="X191" s="22"/>
      <c r="Y191" s="22"/>
    </row>
    <row r="192" customFormat="false" ht="15" hidden="false" customHeight="false" outlineLevel="0" collapsed="false">
      <c r="A192" s="24" t="str">
        <f aca="false">IF(B192="","",ROW()-4)</f>
        <v/>
      </c>
      <c r="B192" s="22"/>
      <c r="C192" s="24" t="str">
        <f aca="false">IF(B192="","",IFERROR(INDEX(NV_TEN,MATCH(B192,NV_MA,0)),"MÃ KHÔNG CÓ"))</f>
        <v/>
      </c>
      <c r="D192" s="46"/>
      <c r="E192" s="46"/>
      <c r="F192" s="24" t="str">
        <f aca="false">IF(OR(D192="",E192=""),"",E192-D192+1)</f>
        <v/>
      </c>
      <c r="G192" s="22"/>
      <c r="H192" s="22"/>
      <c r="I192" s="22"/>
      <c r="J192" s="24" t="str">
        <f aca="false">IF(I192="","",IFERROR(INDEX(TUYEN_MOTA,MATCH(I192,TUYEN_MA,0)),"TUYẾN KHÔNG CÓ"))</f>
        <v/>
      </c>
      <c r="K192" s="22"/>
      <c r="L192" s="22"/>
      <c r="M192" s="22"/>
      <c r="N192" s="22"/>
      <c r="O192" s="24" t="str">
        <f aca="false">IF(I192="","",IFERROR(INDEX(TUYEN_NGAY,MATCH(I192,TUYEN_MA,0)),0))</f>
        <v/>
      </c>
      <c r="P192" s="24" t="str">
        <f aca="false">IF(OR(F192="",O192=""),"",MAX(0,F192-O192))</f>
        <v/>
      </c>
      <c r="Q192" s="20" t="str">
        <f aca="false">IF(I192="","",IFERROR(INDEX(TUYEN_DG,MATCH(I192,TUYEN_MA,0)),0))</f>
        <v/>
      </c>
      <c r="R192" s="20" t="str">
        <f aca="false">IF(P192="","",P192*HT_VUOTNGAY)</f>
        <v/>
      </c>
      <c r="S192" s="20" t="str">
        <f aca="false">IF(I192="","",(N(K192)+N(L192))*HT_DAU_KM)</f>
        <v/>
      </c>
      <c r="T192" s="22"/>
      <c r="U192" s="20" t="str">
        <f aca="false">IF(I192="","",N(T192)*IFERROR(INDEX(TUYEN_HTVC,MATCH(I192,TUYEN_MA,0)),0))</f>
        <v/>
      </c>
      <c r="V192" s="37" t="str">
        <f aca="false">IF(I192="","",Q192+R192+S192+U192)</f>
        <v/>
      </c>
      <c r="W192" s="22"/>
      <c r="X192" s="22"/>
      <c r="Y192" s="22"/>
    </row>
    <row r="193" customFormat="false" ht="15" hidden="false" customHeight="false" outlineLevel="0" collapsed="false">
      <c r="A193" s="24" t="str">
        <f aca="false">IF(B193="","",ROW()-4)</f>
        <v/>
      </c>
      <c r="B193" s="22"/>
      <c r="C193" s="24" t="str">
        <f aca="false">IF(B193="","",IFERROR(INDEX(NV_TEN,MATCH(B193,NV_MA,0)),"MÃ KHÔNG CÓ"))</f>
        <v/>
      </c>
      <c r="D193" s="46"/>
      <c r="E193" s="46"/>
      <c r="F193" s="24" t="str">
        <f aca="false">IF(OR(D193="",E193=""),"",E193-D193+1)</f>
        <v/>
      </c>
      <c r="G193" s="22"/>
      <c r="H193" s="22"/>
      <c r="I193" s="22"/>
      <c r="J193" s="24" t="str">
        <f aca="false">IF(I193="","",IFERROR(INDEX(TUYEN_MOTA,MATCH(I193,TUYEN_MA,0)),"TUYẾN KHÔNG CÓ"))</f>
        <v/>
      </c>
      <c r="K193" s="22"/>
      <c r="L193" s="22"/>
      <c r="M193" s="22"/>
      <c r="N193" s="22"/>
      <c r="O193" s="24" t="str">
        <f aca="false">IF(I193="","",IFERROR(INDEX(TUYEN_NGAY,MATCH(I193,TUYEN_MA,0)),0))</f>
        <v/>
      </c>
      <c r="P193" s="24" t="str">
        <f aca="false">IF(OR(F193="",O193=""),"",MAX(0,F193-O193))</f>
        <v/>
      </c>
      <c r="Q193" s="20" t="str">
        <f aca="false">IF(I193="","",IFERROR(INDEX(TUYEN_DG,MATCH(I193,TUYEN_MA,0)),0))</f>
        <v/>
      </c>
      <c r="R193" s="20" t="str">
        <f aca="false">IF(P193="","",P193*HT_VUOTNGAY)</f>
        <v/>
      </c>
      <c r="S193" s="20" t="str">
        <f aca="false">IF(I193="","",(N(K193)+N(L193))*HT_DAU_KM)</f>
        <v/>
      </c>
      <c r="T193" s="22"/>
      <c r="U193" s="20" t="str">
        <f aca="false">IF(I193="","",N(T193)*IFERROR(INDEX(TUYEN_HTVC,MATCH(I193,TUYEN_MA,0)),0))</f>
        <v/>
      </c>
      <c r="V193" s="37" t="str">
        <f aca="false">IF(I193="","",Q193+R193+S193+U193)</f>
        <v/>
      </c>
      <c r="W193" s="22"/>
      <c r="X193" s="22"/>
      <c r="Y193" s="22"/>
    </row>
    <row r="194" customFormat="false" ht="15" hidden="false" customHeight="false" outlineLevel="0" collapsed="false">
      <c r="A194" s="24" t="str">
        <f aca="false">IF(B194="","",ROW()-4)</f>
        <v/>
      </c>
      <c r="B194" s="22"/>
      <c r="C194" s="24" t="str">
        <f aca="false">IF(B194="","",IFERROR(INDEX(NV_TEN,MATCH(B194,NV_MA,0)),"MÃ KHÔNG CÓ"))</f>
        <v/>
      </c>
      <c r="D194" s="46"/>
      <c r="E194" s="46"/>
      <c r="F194" s="24" t="str">
        <f aca="false">IF(OR(D194="",E194=""),"",E194-D194+1)</f>
        <v/>
      </c>
      <c r="G194" s="22"/>
      <c r="H194" s="22"/>
      <c r="I194" s="22"/>
      <c r="J194" s="24" t="str">
        <f aca="false">IF(I194="","",IFERROR(INDEX(TUYEN_MOTA,MATCH(I194,TUYEN_MA,0)),"TUYẾN KHÔNG CÓ"))</f>
        <v/>
      </c>
      <c r="K194" s="22"/>
      <c r="L194" s="22"/>
      <c r="M194" s="22"/>
      <c r="N194" s="22"/>
      <c r="O194" s="24" t="str">
        <f aca="false">IF(I194="","",IFERROR(INDEX(TUYEN_NGAY,MATCH(I194,TUYEN_MA,0)),0))</f>
        <v/>
      </c>
      <c r="P194" s="24" t="str">
        <f aca="false">IF(OR(F194="",O194=""),"",MAX(0,F194-O194))</f>
        <v/>
      </c>
      <c r="Q194" s="20" t="str">
        <f aca="false">IF(I194="","",IFERROR(INDEX(TUYEN_DG,MATCH(I194,TUYEN_MA,0)),0))</f>
        <v/>
      </c>
      <c r="R194" s="20" t="str">
        <f aca="false">IF(P194="","",P194*HT_VUOTNGAY)</f>
        <v/>
      </c>
      <c r="S194" s="20" t="str">
        <f aca="false">IF(I194="","",(N(K194)+N(L194))*HT_DAU_KM)</f>
        <v/>
      </c>
      <c r="T194" s="22"/>
      <c r="U194" s="20" t="str">
        <f aca="false">IF(I194="","",N(T194)*IFERROR(INDEX(TUYEN_HTVC,MATCH(I194,TUYEN_MA,0)),0))</f>
        <v/>
      </c>
      <c r="V194" s="37" t="str">
        <f aca="false">IF(I194="","",Q194+R194+S194+U194)</f>
        <v/>
      </c>
      <c r="W194" s="22"/>
      <c r="X194" s="22"/>
      <c r="Y194" s="22"/>
    </row>
    <row r="195" customFormat="false" ht="15" hidden="false" customHeight="false" outlineLevel="0" collapsed="false">
      <c r="A195" s="24" t="str">
        <f aca="false">IF(B195="","",ROW()-4)</f>
        <v/>
      </c>
      <c r="B195" s="22"/>
      <c r="C195" s="24" t="str">
        <f aca="false">IF(B195="","",IFERROR(INDEX(NV_TEN,MATCH(B195,NV_MA,0)),"MÃ KHÔNG CÓ"))</f>
        <v/>
      </c>
      <c r="D195" s="46"/>
      <c r="E195" s="46"/>
      <c r="F195" s="24" t="str">
        <f aca="false">IF(OR(D195="",E195=""),"",E195-D195+1)</f>
        <v/>
      </c>
      <c r="G195" s="22"/>
      <c r="H195" s="22"/>
      <c r="I195" s="22"/>
      <c r="J195" s="24" t="str">
        <f aca="false">IF(I195="","",IFERROR(INDEX(TUYEN_MOTA,MATCH(I195,TUYEN_MA,0)),"TUYẾN KHÔNG CÓ"))</f>
        <v/>
      </c>
      <c r="K195" s="22"/>
      <c r="L195" s="22"/>
      <c r="M195" s="22"/>
      <c r="N195" s="22"/>
      <c r="O195" s="24" t="str">
        <f aca="false">IF(I195="","",IFERROR(INDEX(TUYEN_NGAY,MATCH(I195,TUYEN_MA,0)),0))</f>
        <v/>
      </c>
      <c r="P195" s="24" t="str">
        <f aca="false">IF(OR(F195="",O195=""),"",MAX(0,F195-O195))</f>
        <v/>
      </c>
      <c r="Q195" s="20" t="str">
        <f aca="false">IF(I195="","",IFERROR(INDEX(TUYEN_DG,MATCH(I195,TUYEN_MA,0)),0))</f>
        <v/>
      </c>
      <c r="R195" s="20" t="str">
        <f aca="false">IF(P195="","",P195*HT_VUOTNGAY)</f>
        <v/>
      </c>
      <c r="S195" s="20" t="str">
        <f aca="false">IF(I195="","",(N(K195)+N(L195))*HT_DAU_KM)</f>
        <v/>
      </c>
      <c r="T195" s="22"/>
      <c r="U195" s="20" t="str">
        <f aca="false">IF(I195="","",N(T195)*IFERROR(INDEX(TUYEN_HTVC,MATCH(I195,TUYEN_MA,0)),0))</f>
        <v/>
      </c>
      <c r="V195" s="37" t="str">
        <f aca="false">IF(I195="","",Q195+R195+S195+U195)</f>
        <v/>
      </c>
      <c r="W195" s="22"/>
      <c r="X195" s="22"/>
      <c r="Y195" s="22"/>
    </row>
    <row r="196" customFormat="false" ht="15" hidden="false" customHeight="false" outlineLevel="0" collapsed="false">
      <c r="A196" s="24" t="str">
        <f aca="false">IF(B196="","",ROW()-4)</f>
        <v/>
      </c>
      <c r="B196" s="22"/>
      <c r="C196" s="24" t="str">
        <f aca="false">IF(B196="","",IFERROR(INDEX(NV_TEN,MATCH(B196,NV_MA,0)),"MÃ KHÔNG CÓ"))</f>
        <v/>
      </c>
      <c r="D196" s="46"/>
      <c r="E196" s="46"/>
      <c r="F196" s="24" t="str">
        <f aca="false">IF(OR(D196="",E196=""),"",E196-D196+1)</f>
        <v/>
      </c>
      <c r="G196" s="22"/>
      <c r="H196" s="22"/>
      <c r="I196" s="22"/>
      <c r="J196" s="24" t="str">
        <f aca="false">IF(I196="","",IFERROR(INDEX(TUYEN_MOTA,MATCH(I196,TUYEN_MA,0)),"TUYẾN KHÔNG CÓ"))</f>
        <v/>
      </c>
      <c r="K196" s="22"/>
      <c r="L196" s="22"/>
      <c r="M196" s="22"/>
      <c r="N196" s="22"/>
      <c r="O196" s="24" t="str">
        <f aca="false">IF(I196="","",IFERROR(INDEX(TUYEN_NGAY,MATCH(I196,TUYEN_MA,0)),0))</f>
        <v/>
      </c>
      <c r="P196" s="24" t="str">
        <f aca="false">IF(OR(F196="",O196=""),"",MAX(0,F196-O196))</f>
        <v/>
      </c>
      <c r="Q196" s="20" t="str">
        <f aca="false">IF(I196="","",IFERROR(INDEX(TUYEN_DG,MATCH(I196,TUYEN_MA,0)),0))</f>
        <v/>
      </c>
      <c r="R196" s="20" t="str">
        <f aca="false">IF(P196="","",P196*HT_VUOTNGAY)</f>
        <v/>
      </c>
      <c r="S196" s="20" t="str">
        <f aca="false">IF(I196="","",(N(K196)+N(L196))*HT_DAU_KM)</f>
        <v/>
      </c>
      <c r="T196" s="22"/>
      <c r="U196" s="20" t="str">
        <f aca="false">IF(I196="","",N(T196)*IFERROR(INDEX(TUYEN_HTVC,MATCH(I196,TUYEN_MA,0)),0))</f>
        <v/>
      </c>
      <c r="V196" s="37" t="str">
        <f aca="false">IF(I196="","",Q196+R196+S196+U196)</f>
        <v/>
      </c>
      <c r="W196" s="22"/>
      <c r="X196" s="22"/>
      <c r="Y196" s="22"/>
    </row>
    <row r="197" customFormat="false" ht="15" hidden="false" customHeight="false" outlineLevel="0" collapsed="false">
      <c r="A197" s="24" t="str">
        <f aca="false">IF(B197="","",ROW()-4)</f>
        <v/>
      </c>
      <c r="B197" s="22"/>
      <c r="C197" s="24" t="str">
        <f aca="false">IF(B197="","",IFERROR(INDEX(NV_TEN,MATCH(B197,NV_MA,0)),"MÃ KHÔNG CÓ"))</f>
        <v/>
      </c>
      <c r="D197" s="46"/>
      <c r="E197" s="46"/>
      <c r="F197" s="24" t="str">
        <f aca="false">IF(OR(D197="",E197=""),"",E197-D197+1)</f>
        <v/>
      </c>
      <c r="G197" s="22"/>
      <c r="H197" s="22"/>
      <c r="I197" s="22"/>
      <c r="J197" s="24" t="str">
        <f aca="false">IF(I197="","",IFERROR(INDEX(TUYEN_MOTA,MATCH(I197,TUYEN_MA,0)),"TUYẾN KHÔNG CÓ"))</f>
        <v/>
      </c>
      <c r="K197" s="22"/>
      <c r="L197" s="22"/>
      <c r="M197" s="22"/>
      <c r="N197" s="22"/>
      <c r="O197" s="24" t="str">
        <f aca="false">IF(I197="","",IFERROR(INDEX(TUYEN_NGAY,MATCH(I197,TUYEN_MA,0)),0))</f>
        <v/>
      </c>
      <c r="P197" s="24" t="str">
        <f aca="false">IF(OR(F197="",O197=""),"",MAX(0,F197-O197))</f>
        <v/>
      </c>
      <c r="Q197" s="20" t="str">
        <f aca="false">IF(I197="","",IFERROR(INDEX(TUYEN_DG,MATCH(I197,TUYEN_MA,0)),0))</f>
        <v/>
      </c>
      <c r="R197" s="20" t="str">
        <f aca="false">IF(P197="","",P197*HT_VUOTNGAY)</f>
        <v/>
      </c>
      <c r="S197" s="20" t="str">
        <f aca="false">IF(I197="","",(N(K197)+N(L197))*HT_DAU_KM)</f>
        <v/>
      </c>
      <c r="T197" s="22"/>
      <c r="U197" s="20" t="str">
        <f aca="false">IF(I197="","",N(T197)*IFERROR(INDEX(TUYEN_HTVC,MATCH(I197,TUYEN_MA,0)),0))</f>
        <v/>
      </c>
      <c r="V197" s="37" t="str">
        <f aca="false">IF(I197="","",Q197+R197+S197+U197)</f>
        <v/>
      </c>
      <c r="W197" s="22"/>
      <c r="X197" s="22"/>
      <c r="Y197" s="22"/>
    </row>
    <row r="198" customFormat="false" ht="15" hidden="false" customHeight="false" outlineLevel="0" collapsed="false">
      <c r="A198" s="24" t="str">
        <f aca="false">IF(B198="","",ROW()-4)</f>
        <v/>
      </c>
      <c r="B198" s="22"/>
      <c r="C198" s="24" t="str">
        <f aca="false">IF(B198="","",IFERROR(INDEX(NV_TEN,MATCH(B198,NV_MA,0)),"MÃ KHÔNG CÓ"))</f>
        <v/>
      </c>
      <c r="D198" s="46"/>
      <c r="E198" s="46"/>
      <c r="F198" s="24" t="str">
        <f aca="false">IF(OR(D198="",E198=""),"",E198-D198+1)</f>
        <v/>
      </c>
      <c r="G198" s="22"/>
      <c r="H198" s="22"/>
      <c r="I198" s="22"/>
      <c r="J198" s="24" t="str">
        <f aca="false">IF(I198="","",IFERROR(INDEX(TUYEN_MOTA,MATCH(I198,TUYEN_MA,0)),"TUYẾN KHÔNG CÓ"))</f>
        <v/>
      </c>
      <c r="K198" s="22"/>
      <c r="L198" s="22"/>
      <c r="M198" s="22"/>
      <c r="N198" s="22"/>
      <c r="O198" s="24" t="str">
        <f aca="false">IF(I198="","",IFERROR(INDEX(TUYEN_NGAY,MATCH(I198,TUYEN_MA,0)),0))</f>
        <v/>
      </c>
      <c r="P198" s="24" t="str">
        <f aca="false">IF(OR(F198="",O198=""),"",MAX(0,F198-O198))</f>
        <v/>
      </c>
      <c r="Q198" s="20" t="str">
        <f aca="false">IF(I198="","",IFERROR(INDEX(TUYEN_DG,MATCH(I198,TUYEN_MA,0)),0))</f>
        <v/>
      </c>
      <c r="R198" s="20" t="str">
        <f aca="false">IF(P198="","",P198*HT_VUOTNGAY)</f>
        <v/>
      </c>
      <c r="S198" s="20" t="str">
        <f aca="false">IF(I198="","",(N(K198)+N(L198))*HT_DAU_KM)</f>
        <v/>
      </c>
      <c r="T198" s="22"/>
      <c r="U198" s="20" t="str">
        <f aca="false">IF(I198="","",N(T198)*IFERROR(INDEX(TUYEN_HTVC,MATCH(I198,TUYEN_MA,0)),0))</f>
        <v/>
      </c>
      <c r="V198" s="37" t="str">
        <f aca="false">IF(I198="","",Q198+R198+S198+U198)</f>
        <v/>
      </c>
      <c r="W198" s="22"/>
      <c r="X198" s="22"/>
      <c r="Y198" s="22"/>
    </row>
    <row r="199" customFormat="false" ht="15" hidden="false" customHeight="false" outlineLevel="0" collapsed="false">
      <c r="A199" s="24" t="str">
        <f aca="false">IF(B199="","",ROW()-4)</f>
        <v/>
      </c>
      <c r="B199" s="22"/>
      <c r="C199" s="24" t="str">
        <f aca="false">IF(B199="","",IFERROR(INDEX(NV_TEN,MATCH(B199,NV_MA,0)),"MÃ KHÔNG CÓ"))</f>
        <v/>
      </c>
      <c r="D199" s="46"/>
      <c r="E199" s="46"/>
      <c r="F199" s="24" t="str">
        <f aca="false">IF(OR(D199="",E199=""),"",E199-D199+1)</f>
        <v/>
      </c>
      <c r="G199" s="22"/>
      <c r="H199" s="22"/>
      <c r="I199" s="22"/>
      <c r="J199" s="24" t="str">
        <f aca="false">IF(I199="","",IFERROR(INDEX(TUYEN_MOTA,MATCH(I199,TUYEN_MA,0)),"TUYẾN KHÔNG CÓ"))</f>
        <v/>
      </c>
      <c r="K199" s="22"/>
      <c r="L199" s="22"/>
      <c r="M199" s="22"/>
      <c r="N199" s="22"/>
      <c r="O199" s="24" t="str">
        <f aca="false">IF(I199="","",IFERROR(INDEX(TUYEN_NGAY,MATCH(I199,TUYEN_MA,0)),0))</f>
        <v/>
      </c>
      <c r="P199" s="24" t="str">
        <f aca="false">IF(OR(F199="",O199=""),"",MAX(0,F199-O199))</f>
        <v/>
      </c>
      <c r="Q199" s="20" t="str">
        <f aca="false">IF(I199="","",IFERROR(INDEX(TUYEN_DG,MATCH(I199,TUYEN_MA,0)),0))</f>
        <v/>
      </c>
      <c r="R199" s="20" t="str">
        <f aca="false">IF(P199="","",P199*HT_VUOTNGAY)</f>
        <v/>
      </c>
      <c r="S199" s="20" t="str">
        <f aca="false">IF(I199="","",(N(K199)+N(L199))*HT_DAU_KM)</f>
        <v/>
      </c>
      <c r="T199" s="22"/>
      <c r="U199" s="20" t="str">
        <f aca="false">IF(I199="","",N(T199)*IFERROR(INDEX(TUYEN_HTVC,MATCH(I199,TUYEN_MA,0)),0))</f>
        <v/>
      </c>
      <c r="V199" s="37" t="str">
        <f aca="false">IF(I199="","",Q199+R199+S199+U199)</f>
        <v/>
      </c>
      <c r="W199" s="22"/>
      <c r="X199" s="22"/>
      <c r="Y199" s="22"/>
    </row>
  </sheetData>
  <sheetProtection sheet="true" formatColumns="false" formatRows="false" insertRows="false" sort="false" autoFilter="false"/>
  <dataValidations count="1">
    <dataValidation allowBlank="true" errorStyle="stop" operator="between" showDropDown="false" showErrorMessage="false" showInputMessage="false" sqref="W5:X300" type="list">
      <formula1>"v,x"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38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462</v>
      </c>
    </row>
    <row r="2" customFormat="false" ht="15" hidden="false" customHeight="false" outlineLevel="0" collapsed="false">
      <c r="A2" s="2" t="s">
        <v>463</v>
      </c>
    </row>
    <row r="4" customFormat="false" ht="39.75" hidden="false" customHeight="true" outlineLevel="0" collapsed="false">
      <c r="A4" s="18" t="s">
        <v>108</v>
      </c>
      <c r="B4" s="18" t="s">
        <v>239</v>
      </c>
      <c r="C4" s="18" t="s">
        <v>403</v>
      </c>
      <c r="D4" s="18" t="s">
        <v>404</v>
      </c>
      <c r="E4" s="18" t="s">
        <v>402</v>
      </c>
      <c r="F4" s="18" t="s">
        <v>464</v>
      </c>
      <c r="G4" s="18" t="s">
        <v>465</v>
      </c>
      <c r="H4" s="18" t="s">
        <v>466</v>
      </c>
      <c r="I4" s="18" t="s">
        <v>467</v>
      </c>
      <c r="J4" s="18" t="s">
        <v>468</v>
      </c>
      <c r="K4" s="18" t="s">
        <v>469</v>
      </c>
      <c r="L4" s="18" t="s">
        <v>470</v>
      </c>
      <c r="M4" s="18" t="s">
        <v>117</v>
      </c>
    </row>
    <row r="5" customFormat="false" ht="15" hidden="false" customHeight="false" outlineLevel="0" collapsed="false">
      <c r="A5" s="24" t="n">
        <v>1</v>
      </c>
      <c r="B5" s="46" t="n">
        <v>46057</v>
      </c>
      <c r="C5" s="22" t="s">
        <v>221</v>
      </c>
      <c r="D5" s="24" t="str">
        <f aca="false">IF(C5="","",IFERROR(INDEX(NV_TEN,MATCH(C5,NV_MA,0)),"MÃ KHÔNG CÓ"))</f>
        <v>Hoàng Hòa</v>
      </c>
      <c r="E5" s="22"/>
      <c r="F5" s="22" t="s">
        <v>471</v>
      </c>
      <c r="G5" s="22" t="s">
        <v>472</v>
      </c>
      <c r="H5" s="22" t="s">
        <v>473</v>
      </c>
      <c r="I5" s="11" t="n">
        <v>5000000</v>
      </c>
      <c r="J5" s="22" t="s">
        <v>474</v>
      </c>
      <c r="K5" s="20" t="n">
        <f aca="false">IF(I5="","",IF(H5="LAK",I5*TYGIA_LAK,I5))</f>
        <v>5750000</v>
      </c>
      <c r="L5" s="22" t="s">
        <v>428</v>
      </c>
      <c r="M5" s="22"/>
    </row>
    <row r="6" customFormat="false" ht="15" hidden="false" customHeight="false" outlineLevel="0" collapsed="false">
      <c r="A6" s="24" t="n">
        <v>2</v>
      </c>
      <c r="B6" s="46" t="n">
        <v>46059</v>
      </c>
      <c r="C6" s="22" t="s">
        <v>221</v>
      </c>
      <c r="D6" s="24" t="str">
        <f aca="false">IF(C6="","",IFERROR(INDEX(NV_TEN,MATCH(C6,NV_MA,0)),"MÃ KHÔNG CÓ"))</f>
        <v>Hoàng Hòa</v>
      </c>
      <c r="E6" s="22"/>
      <c r="F6" s="22" t="s">
        <v>475</v>
      </c>
      <c r="G6" s="22" t="s">
        <v>476</v>
      </c>
      <c r="H6" s="22" t="s">
        <v>473</v>
      </c>
      <c r="I6" s="11" t="n">
        <v>600000</v>
      </c>
      <c r="J6" s="22" t="s">
        <v>474</v>
      </c>
      <c r="K6" s="20" t="n">
        <f aca="false">IF(I6="","",IF(H6="LAK",I6*TYGIA_LAK,I6))</f>
        <v>690000</v>
      </c>
      <c r="L6" s="22" t="s">
        <v>442</v>
      </c>
      <c r="M6" s="22"/>
    </row>
    <row r="7" customFormat="false" ht="15" hidden="false" customHeight="false" outlineLevel="0" collapsed="false">
      <c r="A7" s="24" t="n">
        <v>3</v>
      </c>
      <c r="B7" s="46" t="n">
        <v>46059</v>
      </c>
      <c r="C7" s="22" t="s">
        <v>221</v>
      </c>
      <c r="D7" s="24" t="str">
        <f aca="false">IF(C7="","",IFERROR(INDEX(NV_TEN,MATCH(C7,NV_MA,0)),"MÃ KHÔNG CÓ"))</f>
        <v>Hoàng Hòa</v>
      </c>
      <c r="E7" s="22"/>
      <c r="F7" s="22" t="s">
        <v>477</v>
      </c>
      <c r="G7" s="22" t="s">
        <v>476</v>
      </c>
      <c r="H7" s="22" t="s">
        <v>473</v>
      </c>
      <c r="I7" s="11" t="n">
        <v>1000000</v>
      </c>
      <c r="J7" s="22" t="s">
        <v>474</v>
      </c>
      <c r="K7" s="20" t="n">
        <f aca="false">IF(I7="","",IF(H7="LAK",I7*TYGIA_LAK,I7))</f>
        <v>1150000</v>
      </c>
      <c r="L7" s="22"/>
      <c r="M7" s="22"/>
    </row>
    <row r="8" customFormat="false" ht="15" hidden="false" customHeight="false" outlineLevel="0" collapsed="false">
      <c r="A8" s="24" t="n">
        <v>4</v>
      </c>
      <c r="B8" s="46" t="n">
        <v>46059</v>
      </c>
      <c r="C8" s="22" t="s">
        <v>221</v>
      </c>
      <c r="D8" s="24" t="str">
        <f aca="false">IF(C8="","",IFERROR(INDEX(NV_TEN,MATCH(C8,NV_MA,0)),"MÃ KHÔNG CÓ"))</f>
        <v>Hoàng Hòa</v>
      </c>
      <c r="E8" s="22"/>
      <c r="F8" s="22" t="s">
        <v>478</v>
      </c>
      <c r="G8" s="22" t="s">
        <v>476</v>
      </c>
      <c r="H8" s="22" t="s">
        <v>473</v>
      </c>
      <c r="I8" s="11" t="n">
        <v>1000000</v>
      </c>
      <c r="J8" s="22" t="s">
        <v>474</v>
      </c>
      <c r="K8" s="20" t="n">
        <f aca="false">IF(I8="","",IF(H8="LAK",I8*TYGIA_LAK,I8))</f>
        <v>1150000</v>
      </c>
      <c r="L8" s="22"/>
      <c r="M8" s="22"/>
    </row>
    <row r="9" customFormat="false" ht="15" hidden="false" customHeight="false" outlineLevel="0" collapsed="false">
      <c r="A9" s="24" t="n">
        <v>5</v>
      </c>
      <c r="B9" s="46" t="n">
        <v>46059</v>
      </c>
      <c r="C9" s="22" t="s">
        <v>221</v>
      </c>
      <c r="D9" s="24" t="str">
        <f aca="false">IF(C9="","",IFERROR(INDEX(NV_TEN,MATCH(C9,NV_MA,0)),"MÃ KHÔNG CÓ"))</f>
        <v>Hoàng Hòa</v>
      </c>
      <c r="E9" s="22"/>
      <c r="F9" s="22" t="s">
        <v>479</v>
      </c>
      <c r="G9" s="22" t="s">
        <v>476</v>
      </c>
      <c r="H9" s="22" t="s">
        <v>473</v>
      </c>
      <c r="I9" s="11" t="n">
        <v>500000</v>
      </c>
      <c r="J9" s="22" t="s">
        <v>474</v>
      </c>
      <c r="K9" s="20" t="n">
        <f aca="false">IF(I9="","",IF(H9="LAK",I9*TYGIA_LAK,I9))</f>
        <v>575000</v>
      </c>
      <c r="L9" s="22"/>
      <c r="M9" s="22"/>
    </row>
    <row r="10" customFormat="false" ht="15" hidden="false" customHeight="false" outlineLevel="0" collapsed="false">
      <c r="A10" s="24" t="n">
        <v>6</v>
      </c>
      <c r="B10" s="46" t="n">
        <v>46059</v>
      </c>
      <c r="C10" s="22" t="s">
        <v>221</v>
      </c>
      <c r="D10" s="24" t="str">
        <f aca="false">IF(C10="","",IFERROR(INDEX(NV_TEN,MATCH(C10,NV_MA,0)),"MÃ KHÔNG CÓ"))</f>
        <v>Hoàng Hòa</v>
      </c>
      <c r="E10" s="22"/>
      <c r="F10" s="22" t="s">
        <v>480</v>
      </c>
      <c r="G10" s="22" t="s">
        <v>476</v>
      </c>
      <c r="H10" s="22" t="s">
        <v>473</v>
      </c>
      <c r="I10" s="11" t="n">
        <v>200000</v>
      </c>
      <c r="J10" s="22" t="s">
        <v>474</v>
      </c>
      <c r="K10" s="20" t="n">
        <f aca="false">IF(I10="","",IF(H10="LAK",I10*TYGIA_LAK,I10))</f>
        <v>230000</v>
      </c>
      <c r="L10" s="22"/>
      <c r="M10" s="22"/>
    </row>
    <row r="11" customFormat="false" ht="15" hidden="false" customHeight="false" outlineLevel="0" collapsed="false">
      <c r="A11" s="24" t="n">
        <v>7</v>
      </c>
      <c r="B11" s="46" t="n">
        <v>46059</v>
      </c>
      <c r="C11" s="22" t="s">
        <v>221</v>
      </c>
      <c r="D11" s="24" t="str">
        <f aca="false">IF(C11="","",IFERROR(INDEX(NV_TEN,MATCH(C11,NV_MA,0)),"MÃ KHÔNG CÓ"))</f>
        <v>Hoàng Hòa</v>
      </c>
      <c r="E11" s="22"/>
      <c r="F11" s="22" t="s">
        <v>481</v>
      </c>
      <c r="G11" s="22" t="s">
        <v>476</v>
      </c>
      <c r="H11" s="22" t="s">
        <v>473</v>
      </c>
      <c r="I11" s="11" t="n">
        <v>600000</v>
      </c>
      <c r="J11" s="22" t="s">
        <v>474</v>
      </c>
      <c r="K11" s="20" t="n">
        <f aca="false">IF(I11="","",IF(H11="LAK",I11*TYGIA_LAK,I11))</f>
        <v>690000</v>
      </c>
      <c r="L11" s="22"/>
      <c r="M11" s="22"/>
    </row>
    <row r="12" customFormat="false" ht="15" hidden="false" customHeight="false" outlineLevel="0" collapsed="false">
      <c r="A12" s="24" t="n">
        <v>8</v>
      </c>
      <c r="B12" s="46" t="n">
        <v>46059</v>
      </c>
      <c r="C12" s="22" t="s">
        <v>221</v>
      </c>
      <c r="D12" s="24" t="str">
        <f aca="false">IF(C12="","",IFERROR(INDEX(NV_TEN,MATCH(C12,NV_MA,0)),"MÃ KHÔNG CÓ"))</f>
        <v>Hoàng Hòa</v>
      </c>
      <c r="E12" s="22"/>
      <c r="F12" s="22" t="s">
        <v>482</v>
      </c>
      <c r="G12" s="22" t="s">
        <v>476</v>
      </c>
      <c r="H12" s="22" t="s">
        <v>473</v>
      </c>
      <c r="I12" s="11" t="n">
        <v>2000000</v>
      </c>
      <c r="J12" s="22" t="s">
        <v>474</v>
      </c>
      <c r="K12" s="20" t="n">
        <f aca="false">IF(I12="","",IF(H12="LAK",I12*TYGIA_LAK,I12))</f>
        <v>2300000</v>
      </c>
      <c r="L12" s="22"/>
      <c r="M12" s="22"/>
    </row>
    <row r="13" customFormat="false" ht="15" hidden="false" customHeight="false" outlineLevel="0" collapsed="false">
      <c r="A13" s="24" t="n">
        <v>9</v>
      </c>
      <c r="B13" s="46" t="n">
        <v>46059</v>
      </c>
      <c r="C13" s="22" t="s">
        <v>221</v>
      </c>
      <c r="D13" s="24" t="str">
        <f aca="false">IF(C13="","",IFERROR(INDEX(NV_TEN,MATCH(C13,NV_MA,0)),"MÃ KHÔNG CÓ"))</f>
        <v>Hoàng Hòa</v>
      </c>
      <c r="E13" s="22"/>
      <c r="F13" s="22" t="s">
        <v>483</v>
      </c>
      <c r="G13" s="22" t="s">
        <v>476</v>
      </c>
      <c r="H13" s="22" t="s">
        <v>473</v>
      </c>
      <c r="I13" s="11" t="n">
        <v>800000</v>
      </c>
      <c r="J13" s="22" t="s">
        <v>474</v>
      </c>
      <c r="K13" s="20" t="n">
        <f aca="false">IF(I13="","",IF(H13="LAK",I13*TYGIA_LAK,I13))</f>
        <v>920000</v>
      </c>
      <c r="L13" s="22"/>
      <c r="M13" s="22"/>
    </row>
    <row r="14" customFormat="false" ht="15" hidden="false" customHeight="false" outlineLevel="0" collapsed="false">
      <c r="A14" s="24" t="n">
        <v>10</v>
      </c>
      <c r="B14" s="46" t="n">
        <v>46059</v>
      </c>
      <c r="C14" s="22" t="s">
        <v>221</v>
      </c>
      <c r="D14" s="24" t="str">
        <f aca="false">IF(C14="","",IFERROR(INDEX(NV_TEN,MATCH(C14,NV_MA,0)),"MÃ KHÔNG CÓ"))</f>
        <v>Hoàng Hòa</v>
      </c>
      <c r="E14" s="22"/>
      <c r="F14" s="22" t="s">
        <v>484</v>
      </c>
      <c r="G14" s="22" t="s">
        <v>476</v>
      </c>
      <c r="H14" s="22" t="s">
        <v>473</v>
      </c>
      <c r="I14" s="11" t="n">
        <v>200000</v>
      </c>
      <c r="J14" s="22" t="s">
        <v>474</v>
      </c>
      <c r="K14" s="20" t="n">
        <f aca="false">IF(I14="","",IF(H14="LAK",I14*TYGIA_LAK,I14))</f>
        <v>230000</v>
      </c>
      <c r="L14" s="22"/>
      <c r="M14" s="22"/>
    </row>
    <row r="15" customFormat="false" ht="15" hidden="false" customHeight="false" outlineLevel="0" collapsed="false">
      <c r="A15" s="24" t="n">
        <v>11</v>
      </c>
      <c r="B15" s="46" t="n">
        <v>46059</v>
      </c>
      <c r="C15" s="22" t="s">
        <v>221</v>
      </c>
      <c r="D15" s="24" t="str">
        <f aca="false">IF(C15="","",IFERROR(INDEX(NV_TEN,MATCH(C15,NV_MA,0)),"MÃ KHÔNG CÓ"))</f>
        <v>Hoàng Hòa</v>
      </c>
      <c r="E15" s="22"/>
      <c r="F15" s="22" t="s">
        <v>485</v>
      </c>
      <c r="G15" s="22" t="s">
        <v>476</v>
      </c>
      <c r="H15" s="22" t="s">
        <v>473</v>
      </c>
      <c r="I15" s="11" t="n">
        <v>200000</v>
      </c>
      <c r="J15" s="22" t="s">
        <v>474</v>
      </c>
      <c r="K15" s="20" t="n">
        <f aca="false">IF(I15="","",IF(H15="LAK",I15*TYGIA_LAK,I15))</f>
        <v>230000</v>
      </c>
      <c r="L15" s="22"/>
      <c r="M15" s="22"/>
    </row>
    <row r="16" customFormat="false" ht="15" hidden="false" customHeight="false" outlineLevel="0" collapsed="false">
      <c r="A16" s="24" t="n">
        <v>12</v>
      </c>
      <c r="B16" s="46" t="n">
        <v>46059</v>
      </c>
      <c r="C16" s="22" t="s">
        <v>221</v>
      </c>
      <c r="D16" s="24" t="str">
        <f aca="false">IF(C16="","",IFERROR(INDEX(NV_TEN,MATCH(C16,NV_MA,0)),"MÃ KHÔNG CÓ"))</f>
        <v>Hoàng Hòa</v>
      </c>
      <c r="E16" s="22"/>
      <c r="F16" s="22" t="s">
        <v>486</v>
      </c>
      <c r="G16" s="22" t="s">
        <v>476</v>
      </c>
      <c r="H16" s="22" t="s">
        <v>487</v>
      </c>
      <c r="I16" s="11" t="n">
        <v>2000000</v>
      </c>
      <c r="J16" s="22" t="s">
        <v>474</v>
      </c>
      <c r="K16" s="20" t="n">
        <f aca="false">IF(I16="","",IF(H16="LAK",I16*TYGIA_LAK,I16))</f>
        <v>2000000</v>
      </c>
      <c r="L16" s="22"/>
      <c r="M16" s="22"/>
    </row>
    <row r="17" customFormat="false" ht="15" hidden="false" customHeight="false" outlineLevel="0" collapsed="false">
      <c r="A17" s="24" t="n">
        <v>13</v>
      </c>
      <c r="B17" s="46" t="n">
        <v>46059</v>
      </c>
      <c r="C17" s="22" t="s">
        <v>221</v>
      </c>
      <c r="D17" s="24" t="str">
        <f aca="false">IF(C17="","",IFERROR(INDEX(NV_TEN,MATCH(C17,NV_MA,0)),"MÃ KHÔNG CÓ"))</f>
        <v>Hoàng Hòa</v>
      </c>
      <c r="E17" s="22"/>
      <c r="F17" s="22" t="s">
        <v>488</v>
      </c>
      <c r="G17" s="22" t="s">
        <v>476</v>
      </c>
      <c r="H17" s="22" t="s">
        <v>487</v>
      </c>
      <c r="I17" s="11" t="n">
        <v>150000</v>
      </c>
      <c r="J17" s="22" t="s">
        <v>474</v>
      </c>
      <c r="K17" s="20" t="n">
        <f aca="false">IF(I17="","",IF(H17="LAK",I17*TYGIA_LAK,I17))</f>
        <v>150000</v>
      </c>
      <c r="L17" s="22" t="s">
        <v>442</v>
      </c>
      <c r="M17" s="22"/>
    </row>
    <row r="18" customFormat="false" ht="15" hidden="false" customHeight="false" outlineLevel="0" collapsed="false">
      <c r="A18" s="24" t="n">
        <v>14</v>
      </c>
      <c r="B18" s="46" t="n">
        <v>46062</v>
      </c>
      <c r="C18" s="22" t="s">
        <v>221</v>
      </c>
      <c r="D18" s="24" t="str">
        <f aca="false">IF(C18="","",IFERROR(INDEX(NV_TEN,MATCH(C18,NV_MA,0)),"MÃ KHÔNG CÓ"))</f>
        <v>Hoàng Hòa</v>
      </c>
      <c r="E18" s="22" t="n">
        <v>1</v>
      </c>
      <c r="F18" s="22" t="s">
        <v>489</v>
      </c>
      <c r="G18" s="22" t="s">
        <v>476</v>
      </c>
      <c r="H18" s="22" t="s">
        <v>487</v>
      </c>
      <c r="I18" s="11" t="n">
        <v>400000</v>
      </c>
      <c r="J18" s="22" t="s">
        <v>474</v>
      </c>
      <c r="K18" s="20" t="n">
        <f aca="false">IF(I18="","",IF(H18="LAK",I18*TYGIA_LAK,I18))</f>
        <v>400000</v>
      </c>
      <c r="L18" s="22"/>
      <c r="M18" s="22"/>
    </row>
    <row r="19" customFormat="false" ht="15" hidden="false" customHeight="false" outlineLevel="0" collapsed="false">
      <c r="A19" s="24" t="n">
        <v>15</v>
      </c>
      <c r="B19" s="46" t="n">
        <v>46062</v>
      </c>
      <c r="C19" s="22" t="s">
        <v>221</v>
      </c>
      <c r="D19" s="24" t="str">
        <f aca="false">IF(C19="","",IFERROR(INDEX(NV_TEN,MATCH(C19,NV_MA,0)),"MÃ KHÔNG CÓ"))</f>
        <v>Hoàng Hòa</v>
      </c>
      <c r="E19" s="22" t="n">
        <v>1</v>
      </c>
      <c r="F19" s="22" t="s">
        <v>490</v>
      </c>
      <c r="G19" s="22" t="s">
        <v>476</v>
      </c>
      <c r="H19" s="22" t="s">
        <v>487</v>
      </c>
      <c r="I19" s="11" t="n">
        <v>275000</v>
      </c>
      <c r="J19" s="22" t="s">
        <v>474</v>
      </c>
      <c r="K19" s="20" t="n">
        <f aca="false">IF(I19="","",IF(H19="LAK",I19*TYGIA_LAK,I19))</f>
        <v>275000</v>
      </c>
      <c r="L19" s="22" t="s">
        <v>428</v>
      </c>
      <c r="M19" s="22"/>
    </row>
    <row r="20" customFormat="false" ht="15" hidden="false" customHeight="false" outlineLevel="0" collapsed="false">
      <c r="A20" s="24" t="n">
        <v>16</v>
      </c>
      <c r="B20" s="46" t="n">
        <v>46063</v>
      </c>
      <c r="C20" s="22" t="s">
        <v>221</v>
      </c>
      <c r="D20" s="24" t="str">
        <f aca="false">IF(C20="","",IFERROR(INDEX(NV_TEN,MATCH(C20,NV_MA,0)),"MÃ KHÔNG CÓ"))</f>
        <v>Hoàng Hòa</v>
      </c>
      <c r="E20" s="22" t="n">
        <v>2</v>
      </c>
      <c r="F20" s="22" t="s">
        <v>489</v>
      </c>
      <c r="G20" s="22" t="s">
        <v>476</v>
      </c>
      <c r="H20" s="22" t="s">
        <v>487</v>
      </c>
      <c r="I20" s="11" t="n">
        <v>400000</v>
      </c>
      <c r="J20" s="22" t="s">
        <v>474</v>
      </c>
      <c r="K20" s="20" t="n">
        <f aca="false">IF(I20="","",IF(H20="LAK",I20*TYGIA_LAK,I20))</f>
        <v>400000</v>
      </c>
      <c r="L20" s="22"/>
      <c r="M20" s="22"/>
    </row>
    <row r="21" customFormat="false" ht="15" hidden="false" customHeight="false" outlineLevel="0" collapsed="false">
      <c r="A21" s="24" t="n">
        <v>17</v>
      </c>
      <c r="B21" s="46" t="n">
        <v>46063</v>
      </c>
      <c r="C21" s="22" t="s">
        <v>221</v>
      </c>
      <c r="D21" s="24" t="str">
        <f aca="false">IF(C21="","",IFERROR(INDEX(NV_TEN,MATCH(C21,NV_MA,0)),"MÃ KHÔNG CÓ"))</f>
        <v>Hoàng Hòa</v>
      </c>
      <c r="E21" s="22" t="n">
        <v>2</v>
      </c>
      <c r="F21" s="22" t="s">
        <v>491</v>
      </c>
      <c r="G21" s="22" t="s">
        <v>476</v>
      </c>
      <c r="H21" s="22" t="s">
        <v>487</v>
      </c>
      <c r="I21" s="11" t="n">
        <v>500000</v>
      </c>
      <c r="J21" s="22" t="s">
        <v>474</v>
      </c>
      <c r="K21" s="20" t="n">
        <f aca="false">IF(I21="","",IF(H21="LAK",I21*TYGIA_LAK,I21))</f>
        <v>500000</v>
      </c>
      <c r="L21" s="22" t="s">
        <v>428</v>
      </c>
      <c r="M21" s="22"/>
    </row>
    <row r="22" customFormat="false" ht="15" hidden="false" customHeight="false" outlineLevel="0" collapsed="false">
      <c r="A22" s="24" t="n">
        <v>18</v>
      </c>
      <c r="B22" s="46" t="n">
        <v>46063</v>
      </c>
      <c r="C22" s="22" t="s">
        <v>221</v>
      </c>
      <c r="D22" s="24" t="str">
        <f aca="false">IF(C22="","",IFERROR(INDEX(NV_TEN,MATCH(C22,NV_MA,0)),"MÃ KHÔNG CÓ"))</f>
        <v>Hoàng Hòa</v>
      </c>
      <c r="E22" s="22" t="n">
        <v>2</v>
      </c>
      <c r="F22" s="22" t="s">
        <v>492</v>
      </c>
      <c r="G22" s="22" t="s">
        <v>476</v>
      </c>
      <c r="H22" s="22" t="s">
        <v>487</v>
      </c>
      <c r="I22" s="11" t="n">
        <v>200000</v>
      </c>
      <c r="J22" s="22" t="s">
        <v>474</v>
      </c>
      <c r="K22" s="20" t="n">
        <f aca="false">IF(I22="","",IF(H22="LAK",I22*TYGIA_LAK,I22))</f>
        <v>200000</v>
      </c>
      <c r="L22" s="22"/>
      <c r="M22" s="22"/>
    </row>
    <row r="23" customFormat="false" ht="15" hidden="false" customHeight="false" outlineLevel="0" collapsed="false">
      <c r="A23" s="24" t="n">
        <v>19</v>
      </c>
      <c r="B23" s="46" t="n">
        <v>46063</v>
      </c>
      <c r="C23" s="22" t="s">
        <v>221</v>
      </c>
      <c r="D23" s="24" t="str">
        <f aca="false">IF(C23="","",IFERROR(INDEX(NV_TEN,MATCH(C23,NV_MA,0)),"MÃ KHÔNG CÓ"))</f>
        <v>Hoàng Hòa</v>
      </c>
      <c r="E23" s="22" t="n">
        <v>2</v>
      </c>
      <c r="F23" s="22" t="s">
        <v>493</v>
      </c>
      <c r="G23" s="22" t="s">
        <v>476</v>
      </c>
      <c r="H23" s="22" t="s">
        <v>487</v>
      </c>
      <c r="I23" s="11" t="n">
        <v>400000</v>
      </c>
      <c r="J23" s="22" t="s">
        <v>474</v>
      </c>
      <c r="K23" s="20" t="n">
        <f aca="false">IF(I23="","",IF(H23="LAK",I23*TYGIA_LAK,I23))</f>
        <v>400000</v>
      </c>
      <c r="L23" s="22"/>
      <c r="M23" s="22"/>
    </row>
    <row r="24" customFormat="false" ht="15" hidden="false" customHeight="false" outlineLevel="0" collapsed="false">
      <c r="A24" s="24" t="n">
        <v>20</v>
      </c>
      <c r="B24" s="46" t="n">
        <v>46063</v>
      </c>
      <c r="C24" s="22" t="s">
        <v>221</v>
      </c>
      <c r="D24" s="24" t="str">
        <f aca="false">IF(C24="","",IFERROR(INDEX(NV_TEN,MATCH(C24,NV_MA,0)),"MÃ KHÔNG CÓ"))</f>
        <v>Hoàng Hòa</v>
      </c>
      <c r="E24" s="22" t="n">
        <v>2</v>
      </c>
      <c r="F24" s="22" t="s">
        <v>494</v>
      </c>
      <c r="G24" s="22" t="s">
        <v>476</v>
      </c>
      <c r="H24" s="22" t="s">
        <v>487</v>
      </c>
      <c r="I24" s="11" t="n">
        <v>400000</v>
      </c>
      <c r="J24" s="22" t="s">
        <v>474</v>
      </c>
      <c r="K24" s="20" t="n">
        <f aca="false">IF(I24="","",IF(H24="LAK",I24*TYGIA_LAK,I24))</f>
        <v>400000</v>
      </c>
      <c r="L24" s="22"/>
      <c r="M24" s="22"/>
    </row>
    <row r="25" customFormat="false" ht="15" hidden="false" customHeight="false" outlineLevel="0" collapsed="false">
      <c r="A25" s="24" t="n">
        <v>21</v>
      </c>
      <c r="B25" s="46" t="n">
        <v>46063</v>
      </c>
      <c r="C25" s="22" t="s">
        <v>221</v>
      </c>
      <c r="D25" s="24" t="str">
        <f aca="false">IF(C25="","",IFERROR(INDEX(NV_TEN,MATCH(C25,NV_MA,0)),"MÃ KHÔNG CÓ"))</f>
        <v>Hoàng Hòa</v>
      </c>
      <c r="E25" s="22" t="n">
        <v>2</v>
      </c>
      <c r="F25" s="22" t="s">
        <v>495</v>
      </c>
      <c r="G25" s="22" t="s">
        <v>476</v>
      </c>
      <c r="H25" s="22" t="s">
        <v>487</v>
      </c>
      <c r="I25" s="11" t="n">
        <v>500000</v>
      </c>
      <c r="J25" s="22" t="s">
        <v>474</v>
      </c>
      <c r="K25" s="20" t="n">
        <f aca="false">IF(I25="","",IF(H25="LAK",I25*TYGIA_LAK,I25))</f>
        <v>500000</v>
      </c>
      <c r="L25" s="22" t="s">
        <v>428</v>
      </c>
      <c r="M25" s="22"/>
    </row>
    <row r="26" customFormat="false" ht="15" hidden="false" customHeight="false" outlineLevel="0" collapsed="false">
      <c r="A26" s="24" t="n">
        <v>22</v>
      </c>
      <c r="B26" s="46" t="n">
        <v>46063</v>
      </c>
      <c r="C26" s="22" t="s">
        <v>221</v>
      </c>
      <c r="D26" s="24" t="str">
        <f aca="false">IF(C26="","",IFERROR(INDEX(NV_TEN,MATCH(C26,NV_MA,0)),"MÃ KHÔNG CÓ"))</f>
        <v>Hoàng Hòa</v>
      </c>
      <c r="E26" s="22" t="n">
        <v>2</v>
      </c>
      <c r="F26" s="22" t="s">
        <v>489</v>
      </c>
      <c r="G26" s="22" t="s">
        <v>476</v>
      </c>
      <c r="H26" s="22" t="s">
        <v>487</v>
      </c>
      <c r="I26" s="11" t="n">
        <v>400000</v>
      </c>
      <c r="J26" s="22" t="s">
        <v>474</v>
      </c>
      <c r="K26" s="20" t="n">
        <f aca="false">IF(I26="","",IF(H26="LAK",I26*TYGIA_LAK,I26))</f>
        <v>400000</v>
      </c>
      <c r="L26" s="22"/>
      <c r="M26" s="22"/>
    </row>
    <row r="27" customFormat="false" ht="15" hidden="false" customHeight="false" outlineLevel="0" collapsed="false">
      <c r="A27" s="24" t="n">
        <v>23</v>
      </c>
      <c r="B27" s="46" t="n">
        <v>46067</v>
      </c>
      <c r="C27" s="22" t="s">
        <v>221</v>
      </c>
      <c r="D27" s="24" t="str">
        <f aca="false">IF(C27="","",IFERROR(INDEX(NV_TEN,MATCH(C27,NV_MA,0)),"MÃ KHÔNG CÓ"))</f>
        <v>Hoàng Hòa</v>
      </c>
      <c r="E27" s="22" t="n">
        <v>3</v>
      </c>
      <c r="F27" s="22" t="s">
        <v>489</v>
      </c>
      <c r="G27" s="22" t="s">
        <v>476</v>
      </c>
      <c r="H27" s="22" t="s">
        <v>487</v>
      </c>
      <c r="I27" s="11" t="n">
        <v>400000</v>
      </c>
      <c r="J27" s="22" t="s">
        <v>474</v>
      </c>
      <c r="K27" s="20" t="n">
        <f aca="false">IF(I27="","",IF(H27="LAK",I27*TYGIA_LAK,I27))</f>
        <v>400000</v>
      </c>
      <c r="L27" s="22"/>
      <c r="M27" s="22"/>
    </row>
    <row r="28" customFormat="false" ht="15" hidden="false" customHeight="false" outlineLevel="0" collapsed="false">
      <c r="A28" s="24" t="n">
        <v>24</v>
      </c>
      <c r="B28" s="46" t="n">
        <v>46073</v>
      </c>
      <c r="C28" s="22" t="s">
        <v>221</v>
      </c>
      <c r="D28" s="24" t="str">
        <f aca="false">IF(C28="","",IFERROR(INDEX(NV_TEN,MATCH(C28,NV_MA,0)),"MÃ KHÔNG CÓ"))</f>
        <v>Hoàng Hòa</v>
      </c>
      <c r="E28" s="22" t="n">
        <v>4</v>
      </c>
      <c r="F28" s="22" t="s">
        <v>477</v>
      </c>
      <c r="G28" s="22" t="s">
        <v>476</v>
      </c>
      <c r="H28" s="22" t="s">
        <v>473</v>
      </c>
      <c r="I28" s="11" t="n">
        <v>1000000</v>
      </c>
      <c r="J28" s="22" t="s">
        <v>474</v>
      </c>
      <c r="K28" s="20" t="n">
        <f aca="false">IF(I28="","",IF(H28="LAK",I28*TYGIA_LAK,I28))</f>
        <v>1150000</v>
      </c>
      <c r="L28" s="22"/>
      <c r="M28" s="22"/>
    </row>
    <row r="29" customFormat="false" ht="15" hidden="false" customHeight="false" outlineLevel="0" collapsed="false">
      <c r="A29" s="24" t="n">
        <v>25</v>
      </c>
      <c r="B29" s="46" t="n">
        <v>46073</v>
      </c>
      <c r="C29" s="22" t="s">
        <v>221</v>
      </c>
      <c r="D29" s="24" t="str">
        <f aca="false">IF(C29="","",IFERROR(INDEX(NV_TEN,MATCH(C29,NV_MA,0)),"MÃ KHÔNG CÓ"))</f>
        <v>Hoàng Hòa</v>
      </c>
      <c r="E29" s="22" t="n">
        <v>4</v>
      </c>
      <c r="F29" s="22" t="s">
        <v>478</v>
      </c>
      <c r="G29" s="22" t="s">
        <v>476</v>
      </c>
      <c r="H29" s="22" t="s">
        <v>473</v>
      </c>
      <c r="I29" s="11" t="n">
        <v>1000000</v>
      </c>
      <c r="J29" s="22" t="s">
        <v>474</v>
      </c>
      <c r="K29" s="20" t="n">
        <f aca="false">IF(I29="","",IF(H29="LAK",I29*TYGIA_LAK,I29))</f>
        <v>1150000</v>
      </c>
      <c r="L29" s="22"/>
      <c r="M29" s="22"/>
    </row>
    <row r="30" customFormat="false" ht="15" hidden="false" customHeight="false" outlineLevel="0" collapsed="false">
      <c r="A30" s="24" t="n">
        <v>26</v>
      </c>
      <c r="B30" s="46" t="n">
        <v>46073</v>
      </c>
      <c r="C30" s="22" t="s">
        <v>221</v>
      </c>
      <c r="D30" s="24" t="str">
        <f aca="false">IF(C30="","",IFERROR(INDEX(NV_TEN,MATCH(C30,NV_MA,0)),"MÃ KHÔNG CÓ"))</f>
        <v>Hoàng Hòa</v>
      </c>
      <c r="E30" s="22" t="n">
        <v>4</v>
      </c>
      <c r="F30" s="22" t="s">
        <v>479</v>
      </c>
      <c r="G30" s="22" t="s">
        <v>476</v>
      </c>
      <c r="H30" s="22" t="s">
        <v>473</v>
      </c>
      <c r="I30" s="11" t="n">
        <v>500000</v>
      </c>
      <c r="J30" s="22" t="s">
        <v>474</v>
      </c>
      <c r="K30" s="20" t="n">
        <f aca="false">IF(I30="","",IF(H30="LAK",I30*TYGIA_LAK,I30))</f>
        <v>575000</v>
      </c>
      <c r="L30" s="22"/>
      <c r="M30" s="22"/>
    </row>
    <row r="31" customFormat="false" ht="15" hidden="false" customHeight="false" outlineLevel="0" collapsed="false">
      <c r="A31" s="24" t="n">
        <v>27</v>
      </c>
      <c r="B31" s="46" t="n">
        <v>46073</v>
      </c>
      <c r="C31" s="22" t="s">
        <v>221</v>
      </c>
      <c r="D31" s="24" t="str">
        <f aca="false">IF(C31="","",IFERROR(INDEX(NV_TEN,MATCH(C31,NV_MA,0)),"MÃ KHÔNG CÓ"))</f>
        <v>Hoàng Hòa</v>
      </c>
      <c r="E31" s="22" t="n">
        <v>4</v>
      </c>
      <c r="F31" s="22" t="s">
        <v>480</v>
      </c>
      <c r="G31" s="22" t="s">
        <v>476</v>
      </c>
      <c r="H31" s="22" t="s">
        <v>473</v>
      </c>
      <c r="I31" s="11" t="n">
        <v>200000</v>
      </c>
      <c r="J31" s="22" t="s">
        <v>474</v>
      </c>
      <c r="K31" s="20" t="n">
        <f aca="false">IF(I31="","",IF(H31="LAK",I31*TYGIA_LAK,I31))</f>
        <v>230000</v>
      </c>
      <c r="L31" s="22"/>
      <c r="M31" s="22"/>
    </row>
    <row r="32" customFormat="false" ht="15" hidden="false" customHeight="false" outlineLevel="0" collapsed="false">
      <c r="A32" s="24" t="n">
        <v>28</v>
      </c>
      <c r="B32" s="46" t="n">
        <v>46073</v>
      </c>
      <c r="C32" s="22" t="s">
        <v>221</v>
      </c>
      <c r="D32" s="24" t="str">
        <f aca="false">IF(C32="","",IFERROR(INDEX(NV_TEN,MATCH(C32,NV_MA,0)),"MÃ KHÔNG CÓ"))</f>
        <v>Hoàng Hòa</v>
      </c>
      <c r="E32" s="22" t="n">
        <v>4</v>
      </c>
      <c r="F32" s="22" t="s">
        <v>481</v>
      </c>
      <c r="G32" s="22" t="s">
        <v>476</v>
      </c>
      <c r="H32" s="22" t="s">
        <v>473</v>
      </c>
      <c r="I32" s="11" t="n">
        <v>850000</v>
      </c>
      <c r="J32" s="22" t="s">
        <v>474</v>
      </c>
      <c r="K32" s="20" t="n">
        <f aca="false">IF(I32="","",IF(H32="LAK",I32*TYGIA_LAK,I32))</f>
        <v>977500</v>
      </c>
      <c r="L32" s="22"/>
      <c r="M32" s="22"/>
    </row>
    <row r="33" customFormat="false" ht="15" hidden="false" customHeight="false" outlineLevel="0" collapsed="false">
      <c r="A33" s="24" t="n">
        <v>29</v>
      </c>
      <c r="B33" s="46" t="n">
        <v>46073</v>
      </c>
      <c r="C33" s="22" t="s">
        <v>221</v>
      </c>
      <c r="D33" s="24" t="str">
        <f aca="false">IF(C33="","",IFERROR(INDEX(NV_TEN,MATCH(C33,NV_MA,0)),"MÃ KHÔNG CÓ"))</f>
        <v>Hoàng Hòa</v>
      </c>
      <c r="E33" s="22" t="n">
        <v>4</v>
      </c>
      <c r="F33" s="22" t="s">
        <v>482</v>
      </c>
      <c r="G33" s="22" t="s">
        <v>476</v>
      </c>
      <c r="H33" s="22" t="s">
        <v>473</v>
      </c>
      <c r="I33" s="11" t="n">
        <v>2000000</v>
      </c>
      <c r="J33" s="22" t="s">
        <v>474</v>
      </c>
      <c r="K33" s="20" t="n">
        <f aca="false">IF(I33="","",IF(H33="LAK",I33*TYGIA_LAK,I33))</f>
        <v>2300000</v>
      </c>
      <c r="L33" s="22"/>
      <c r="M33" s="22"/>
    </row>
    <row r="34" customFormat="false" ht="15" hidden="false" customHeight="false" outlineLevel="0" collapsed="false">
      <c r="A34" s="24" t="n">
        <v>30</v>
      </c>
      <c r="B34" s="46" t="n">
        <v>46073</v>
      </c>
      <c r="C34" s="22" t="s">
        <v>221</v>
      </c>
      <c r="D34" s="24" t="str">
        <f aca="false">IF(C34="","",IFERROR(INDEX(NV_TEN,MATCH(C34,NV_MA,0)),"MÃ KHÔNG CÓ"))</f>
        <v>Hoàng Hòa</v>
      </c>
      <c r="E34" s="22" t="n">
        <v>4</v>
      </c>
      <c r="F34" s="22" t="s">
        <v>483</v>
      </c>
      <c r="G34" s="22" t="s">
        <v>476</v>
      </c>
      <c r="H34" s="22" t="s">
        <v>473</v>
      </c>
      <c r="I34" s="11" t="n">
        <v>1000000</v>
      </c>
      <c r="J34" s="22" t="s">
        <v>474</v>
      </c>
      <c r="K34" s="20" t="n">
        <f aca="false">IF(I34="","",IF(H34="LAK",I34*TYGIA_LAK,I34))</f>
        <v>1150000</v>
      </c>
      <c r="L34" s="22"/>
      <c r="M34" s="22"/>
    </row>
    <row r="35" customFormat="false" ht="15" hidden="false" customHeight="false" outlineLevel="0" collapsed="false">
      <c r="A35" s="24" t="n">
        <v>31</v>
      </c>
      <c r="B35" s="46" t="n">
        <v>46073</v>
      </c>
      <c r="C35" s="22" t="s">
        <v>221</v>
      </c>
      <c r="D35" s="24" t="str">
        <f aca="false">IF(C35="","",IFERROR(INDEX(NV_TEN,MATCH(C35,NV_MA,0)),"MÃ KHÔNG CÓ"))</f>
        <v>Hoàng Hòa</v>
      </c>
      <c r="E35" s="22" t="n">
        <v>4</v>
      </c>
      <c r="F35" s="22" t="s">
        <v>484</v>
      </c>
      <c r="G35" s="22" t="s">
        <v>476</v>
      </c>
      <c r="H35" s="22" t="s">
        <v>473</v>
      </c>
      <c r="I35" s="11" t="n">
        <v>200000</v>
      </c>
      <c r="J35" s="22" t="s">
        <v>474</v>
      </c>
      <c r="K35" s="20" t="n">
        <f aca="false">IF(I35="","",IF(H35="LAK",I35*TYGIA_LAK,I35))</f>
        <v>230000</v>
      </c>
      <c r="L35" s="22"/>
      <c r="M35" s="22"/>
    </row>
    <row r="36" customFormat="false" ht="15" hidden="false" customHeight="false" outlineLevel="0" collapsed="false">
      <c r="A36" s="24" t="n">
        <v>32</v>
      </c>
      <c r="B36" s="46" t="n">
        <v>46073</v>
      </c>
      <c r="C36" s="22" t="s">
        <v>221</v>
      </c>
      <c r="D36" s="24" t="str">
        <f aca="false">IF(C36="","",IFERROR(INDEX(NV_TEN,MATCH(C36,NV_MA,0)),"MÃ KHÔNG CÓ"))</f>
        <v>Hoàng Hòa</v>
      </c>
      <c r="E36" s="22" t="n">
        <v>4</v>
      </c>
      <c r="F36" s="22" t="s">
        <v>485</v>
      </c>
      <c r="G36" s="22" t="s">
        <v>476</v>
      </c>
      <c r="H36" s="22" t="s">
        <v>473</v>
      </c>
      <c r="I36" s="11" t="n">
        <v>200000</v>
      </c>
      <c r="J36" s="22" t="s">
        <v>474</v>
      </c>
      <c r="K36" s="20" t="n">
        <f aca="false">IF(I36="","",IF(H36="LAK",I36*TYGIA_LAK,I36))</f>
        <v>230000</v>
      </c>
      <c r="L36" s="22"/>
      <c r="M36" s="22"/>
    </row>
    <row r="37" customFormat="false" ht="15" hidden="false" customHeight="false" outlineLevel="0" collapsed="false">
      <c r="A37" s="24" t="n">
        <v>33</v>
      </c>
      <c r="B37" s="46" t="n">
        <v>46073</v>
      </c>
      <c r="C37" s="22" t="s">
        <v>221</v>
      </c>
      <c r="D37" s="24" t="str">
        <f aca="false">IF(C37="","",IFERROR(INDEX(NV_TEN,MATCH(C37,NV_MA,0)),"MÃ KHÔNG CÓ"))</f>
        <v>Hoàng Hòa</v>
      </c>
      <c r="E37" s="22" t="n">
        <v>4</v>
      </c>
      <c r="F37" s="22" t="s">
        <v>495</v>
      </c>
      <c r="G37" s="22" t="s">
        <v>476</v>
      </c>
      <c r="H37" s="22" t="s">
        <v>487</v>
      </c>
      <c r="I37" s="11" t="n">
        <v>600000</v>
      </c>
      <c r="J37" s="22" t="s">
        <v>474</v>
      </c>
      <c r="K37" s="20" t="n">
        <f aca="false">IF(I37="","",IF(H37="LAK",I37*TYGIA_LAK,I37))</f>
        <v>600000</v>
      </c>
      <c r="L37" s="22" t="s">
        <v>428</v>
      </c>
      <c r="M37" s="22"/>
    </row>
    <row r="38" customFormat="false" ht="15" hidden="false" customHeight="false" outlineLevel="0" collapsed="false">
      <c r="A38" s="24" t="n">
        <v>34</v>
      </c>
      <c r="B38" s="46" t="n">
        <v>46073</v>
      </c>
      <c r="C38" s="22" t="s">
        <v>221</v>
      </c>
      <c r="D38" s="24" t="str">
        <f aca="false">IF(C38="","",IFERROR(INDEX(NV_TEN,MATCH(C38,NV_MA,0)),"MÃ KHÔNG CÓ"))</f>
        <v>Hoàng Hòa</v>
      </c>
      <c r="E38" s="22" t="n">
        <v>4</v>
      </c>
      <c r="F38" s="22" t="s">
        <v>496</v>
      </c>
      <c r="G38" s="22" t="s">
        <v>476</v>
      </c>
      <c r="H38" s="22" t="s">
        <v>487</v>
      </c>
      <c r="I38" s="11" t="n">
        <v>1000000</v>
      </c>
      <c r="J38" s="22" t="s">
        <v>474</v>
      </c>
      <c r="K38" s="20" t="n">
        <f aca="false">IF(I38="","",IF(H38="LAK",I38*TYGIA_LAK,I38))</f>
        <v>1000000</v>
      </c>
      <c r="L38" s="22"/>
      <c r="M38" s="22"/>
    </row>
    <row r="39" customFormat="false" ht="15" hidden="false" customHeight="false" outlineLevel="0" collapsed="false">
      <c r="A39" s="24" t="n">
        <v>35</v>
      </c>
      <c r="B39" s="46" t="n">
        <v>46073</v>
      </c>
      <c r="C39" s="22" t="s">
        <v>221</v>
      </c>
      <c r="D39" s="24" t="str">
        <f aca="false">IF(C39="","",IFERROR(INDEX(NV_TEN,MATCH(C39,NV_MA,0)),"MÃ KHÔNG CÓ"))</f>
        <v>Hoàng Hòa</v>
      </c>
      <c r="E39" s="22" t="n">
        <v>4</v>
      </c>
      <c r="F39" s="22" t="s">
        <v>497</v>
      </c>
      <c r="G39" s="22" t="s">
        <v>476</v>
      </c>
      <c r="H39" s="22" t="s">
        <v>487</v>
      </c>
      <c r="I39" s="11" t="n">
        <v>500000</v>
      </c>
      <c r="J39" s="22" t="s">
        <v>474</v>
      </c>
      <c r="K39" s="20" t="n">
        <f aca="false">IF(I39="","",IF(H39="LAK",I39*TYGIA_LAK,I39))</f>
        <v>500000</v>
      </c>
      <c r="L39" s="22"/>
      <c r="M39" s="22"/>
    </row>
    <row r="40" customFormat="false" ht="15" hidden="false" customHeight="false" outlineLevel="0" collapsed="false">
      <c r="A40" s="24" t="n">
        <v>36</v>
      </c>
      <c r="B40" s="46" t="n">
        <v>46073</v>
      </c>
      <c r="C40" s="22" t="s">
        <v>221</v>
      </c>
      <c r="D40" s="24" t="str">
        <f aca="false">IF(C40="","",IFERROR(INDEX(NV_TEN,MATCH(C40,NV_MA,0)),"MÃ KHÔNG CÓ"))</f>
        <v>Hoàng Hòa</v>
      </c>
      <c r="E40" s="22" t="n">
        <v>4</v>
      </c>
      <c r="F40" s="22" t="s">
        <v>498</v>
      </c>
      <c r="G40" s="22" t="s">
        <v>476</v>
      </c>
      <c r="H40" s="22" t="s">
        <v>487</v>
      </c>
      <c r="I40" s="11" t="n">
        <v>500000</v>
      </c>
      <c r="J40" s="22" t="s">
        <v>474</v>
      </c>
      <c r="K40" s="20" t="n">
        <f aca="false">IF(I40="","",IF(H40="LAK",I40*TYGIA_LAK,I40))</f>
        <v>500000</v>
      </c>
      <c r="L40" s="22"/>
      <c r="M40" s="22"/>
    </row>
    <row r="41" customFormat="false" ht="15" hidden="false" customHeight="false" outlineLevel="0" collapsed="false">
      <c r="A41" s="24" t="n">
        <v>37</v>
      </c>
      <c r="B41" s="46" t="n">
        <v>46073</v>
      </c>
      <c r="C41" s="22" t="s">
        <v>221</v>
      </c>
      <c r="D41" s="24" t="str">
        <f aca="false">IF(C41="","",IFERROR(INDEX(NV_TEN,MATCH(C41,NV_MA,0)),"MÃ KHÔNG CÓ"))</f>
        <v>Hoàng Hòa</v>
      </c>
      <c r="E41" s="22" t="n">
        <v>4</v>
      </c>
      <c r="F41" s="22" t="s">
        <v>488</v>
      </c>
      <c r="G41" s="22" t="s">
        <v>476</v>
      </c>
      <c r="H41" s="22" t="s">
        <v>487</v>
      </c>
      <c r="I41" s="11" t="n">
        <v>150000</v>
      </c>
      <c r="J41" s="22" t="s">
        <v>499</v>
      </c>
      <c r="K41" s="20" t="n">
        <f aca="false">IF(I41="","",IF(H41="LAK",I41*TYGIA_LAK,I41))</f>
        <v>150000</v>
      </c>
      <c r="L41" s="22" t="s">
        <v>442</v>
      </c>
      <c r="M41" s="22" t="s">
        <v>500</v>
      </c>
    </row>
    <row r="42" customFormat="false" ht="15" hidden="false" customHeight="false" outlineLevel="0" collapsed="false">
      <c r="A42" s="24" t="n">
        <v>38</v>
      </c>
      <c r="B42" s="46" t="n">
        <v>46073</v>
      </c>
      <c r="C42" s="22" t="s">
        <v>221</v>
      </c>
      <c r="D42" s="24" t="str">
        <f aca="false">IF(C42="","",IFERROR(INDEX(NV_TEN,MATCH(C42,NV_MA,0)),"MÃ KHÔNG CÓ"))</f>
        <v>Hoàng Hòa</v>
      </c>
      <c r="E42" s="22" t="n">
        <v>4</v>
      </c>
      <c r="F42" s="22" t="s">
        <v>501</v>
      </c>
      <c r="G42" s="22" t="s">
        <v>476</v>
      </c>
      <c r="H42" s="22" t="s">
        <v>487</v>
      </c>
      <c r="I42" s="11" t="n">
        <v>300000</v>
      </c>
      <c r="J42" s="22" t="s">
        <v>474</v>
      </c>
      <c r="K42" s="20" t="n">
        <f aca="false">IF(I42="","",IF(H42="LAK",I42*TYGIA_LAK,I42))</f>
        <v>300000</v>
      </c>
      <c r="L42" s="22" t="s">
        <v>428</v>
      </c>
      <c r="M42" s="22"/>
    </row>
    <row r="43" customFormat="false" ht="15" hidden="false" customHeight="false" outlineLevel="0" collapsed="false">
      <c r="A43" s="24" t="n">
        <v>39</v>
      </c>
      <c r="B43" s="46" t="n">
        <v>46059</v>
      </c>
      <c r="C43" s="22" t="s">
        <v>227</v>
      </c>
      <c r="D43" s="24" t="str">
        <f aca="false">IF(C43="","",IFERROR(INDEX(NV_TEN,MATCH(C43,NV_MA,0)),"MÃ KHÔNG CÓ"))</f>
        <v>Bùi Văn Nghĩa</v>
      </c>
      <c r="E43" s="22" t="n">
        <v>5</v>
      </c>
      <c r="F43" s="22" t="s">
        <v>502</v>
      </c>
      <c r="G43" s="22" t="s">
        <v>472</v>
      </c>
      <c r="H43" s="22" t="s">
        <v>487</v>
      </c>
      <c r="I43" s="11" t="n">
        <v>5000000</v>
      </c>
      <c r="J43" s="22" t="s">
        <v>474</v>
      </c>
      <c r="K43" s="20" t="n">
        <f aca="false">IF(I43="","",IF(H43="LAK",I43*TYGIA_LAK,I43))</f>
        <v>5000000</v>
      </c>
      <c r="L43" s="22"/>
      <c r="M43" s="22"/>
    </row>
    <row r="44" customFormat="false" ht="15" hidden="false" customHeight="false" outlineLevel="0" collapsed="false">
      <c r="A44" s="24" t="n">
        <v>40</v>
      </c>
      <c r="B44" s="46" t="n">
        <v>46059</v>
      </c>
      <c r="C44" s="22" t="s">
        <v>227</v>
      </c>
      <c r="D44" s="24" t="str">
        <f aca="false">IF(C44="","",IFERROR(INDEX(NV_TEN,MATCH(C44,NV_MA,0)),"MÃ KHÔNG CÓ"))</f>
        <v>Bùi Văn Nghĩa</v>
      </c>
      <c r="E44" s="22" t="n">
        <v>5</v>
      </c>
      <c r="F44" s="22" t="s">
        <v>489</v>
      </c>
      <c r="G44" s="22" t="s">
        <v>476</v>
      </c>
      <c r="H44" s="22" t="s">
        <v>487</v>
      </c>
      <c r="I44" s="11" t="n">
        <v>400000</v>
      </c>
      <c r="J44" s="22" t="s">
        <v>474</v>
      </c>
      <c r="K44" s="20" t="n">
        <f aca="false">IF(I44="","",IF(H44="LAK",I44*TYGIA_LAK,I44))</f>
        <v>400000</v>
      </c>
      <c r="L44" s="22"/>
      <c r="M44" s="22"/>
    </row>
    <row r="45" customFormat="false" ht="15" hidden="false" customHeight="false" outlineLevel="0" collapsed="false">
      <c r="A45" s="24" t="n">
        <v>41</v>
      </c>
      <c r="B45" s="46" t="n">
        <v>46059</v>
      </c>
      <c r="C45" s="22" t="s">
        <v>227</v>
      </c>
      <c r="D45" s="24" t="str">
        <f aca="false">IF(C45="","",IFERROR(INDEX(NV_TEN,MATCH(C45,NV_MA,0)),"MÃ KHÔNG CÓ"))</f>
        <v>Bùi Văn Nghĩa</v>
      </c>
      <c r="E45" s="22" t="n">
        <v>5</v>
      </c>
      <c r="F45" s="22" t="s">
        <v>492</v>
      </c>
      <c r="G45" s="22" t="s">
        <v>476</v>
      </c>
      <c r="H45" s="22" t="s">
        <v>487</v>
      </c>
      <c r="I45" s="11" t="n">
        <v>200000</v>
      </c>
      <c r="J45" s="22" t="s">
        <v>474</v>
      </c>
      <c r="K45" s="20" t="n">
        <f aca="false">IF(I45="","",IF(H45="LAK",I45*TYGIA_LAK,I45))</f>
        <v>200000</v>
      </c>
      <c r="L45" s="22"/>
      <c r="M45" s="22"/>
    </row>
    <row r="46" customFormat="false" ht="15" hidden="false" customHeight="false" outlineLevel="0" collapsed="false">
      <c r="A46" s="24" t="n">
        <v>42</v>
      </c>
      <c r="B46" s="46" t="n">
        <v>46059</v>
      </c>
      <c r="C46" s="22" t="s">
        <v>227</v>
      </c>
      <c r="D46" s="24" t="str">
        <f aca="false">IF(C46="","",IFERROR(INDEX(NV_TEN,MATCH(C46,NV_MA,0)),"MÃ KHÔNG CÓ"))</f>
        <v>Bùi Văn Nghĩa</v>
      </c>
      <c r="E46" s="22" t="n">
        <v>5</v>
      </c>
      <c r="F46" s="22" t="s">
        <v>503</v>
      </c>
      <c r="G46" s="22" t="s">
        <v>476</v>
      </c>
      <c r="H46" s="22" t="s">
        <v>487</v>
      </c>
      <c r="I46" s="11" t="n">
        <v>400000</v>
      </c>
      <c r="J46" s="22" t="s">
        <v>474</v>
      </c>
      <c r="K46" s="20" t="n">
        <f aca="false">IF(I46="","",IF(H46="LAK",I46*TYGIA_LAK,I46))</f>
        <v>400000</v>
      </c>
      <c r="L46" s="22"/>
      <c r="M46" s="22"/>
    </row>
    <row r="47" customFormat="false" ht="15" hidden="false" customHeight="false" outlineLevel="0" collapsed="false">
      <c r="A47" s="24" t="n">
        <v>43</v>
      </c>
      <c r="B47" s="46" t="n">
        <v>46059</v>
      </c>
      <c r="C47" s="22" t="s">
        <v>227</v>
      </c>
      <c r="D47" s="24" t="str">
        <f aca="false">IF(C47="","",IFERROR(INDEX(NV_TEN,MATCH(C47,NV_MA,0)),"MÃ KHÔNG CÓ"))</f>
        <v>Bùi Văn Nghĩa</v>
      </c>
      <c r="E47" s="22" t="n">
        <v>5</v>
      </c>
      <c r="F47" s="22" t="s">
        <v>493</v>
      </c>
      <c r="G47" s="22" t="s">
        <v>476</v>
      </c>
      <c r="H47" s="22" t="s">
        <v>487</v>
      </c>
      <c r="I47" s="11" t="n">
        <v>400000</v>
      </c>
      <c r="J47" s="22" t="s">
        <v>474</v>
      </c>
      <c r="K47" s="20" t="n">
        <f aca="false">IF(I47="","",IF(H47="LAK",I47*TYGIA_LAK,I47))</f>
        <v>400000</v>
      </c>
      <c r="L47" s="22"/>
      <c r="M47" s="22"/>
    </row>
    <row r="48" customFormat="false" ht="15" hidden="false" customHeight="false" outlineLevel="0" collapsed="false">
      <c r="A48" s="24" t="n">
        <v>44</v>
      </c>
      <c r="B48" s="46" t="n">
        <v>46059</v>
      </c>
      <c r="C48" s="22" t="s">
        <v>227</v>
      </c>
      <c r="D48" s="24" t="str">
        <f aca="false">IF(C48="","",IFERROR(INDEX(NV_TEN,MATCH(C48,NV_MA,0)),"MÃ KHÔNG CÓ"))</f>
        <v>Bùi Văn Nghĩa</v>
      </c>
      <c r="E48" s="22" t="n">
        <v>5</v>
      </c>
      <c r="F48" s="22" t="s">
        <v>504</v>
      </c>
      <c r="G48" s="22" t="s">
        <v>476</v>
      </c>
      <c r="H48" s="22" t="s">
        <v>487</v>
      </c>
      <c r="I48" s="11" t="n">
        <v>400000</v>
      </c>
      <c r="J48" s="22" t="s">
        <v>474</v>
      </c>
      <c r="K48" s="20" t="n">
        <f aca="false">IF(I48="","",IF(H48="LAK",I48*TYGIA_LAK,I48))</f>
        <v>400000</v>
      </c>
      <c r="L48" s="22"/>
      <c r="M48" s="22"/>
    </row>
    <row r="49" customFormat="false" ht="15" hidden="false" customHeight="false" outlineLevel="0" collapsed="false">
      <c r="A49" s="24" t="n">
        <v>45</v>
      </c>
      <c r="B49" s="46" t="n">
        <v>46059</v>
      </c>
      <c r="C49" s="22" t="s">
        <v>227</v>
      </c>
      <c r="D49" s="24" t="str">
        <f aca="false">IF(C49="","",IFERROR(INDEX(NV_TEN,MATCH(C49,NV_MA,0)),"MÃ KHÔNG CÓ"))</f>
        <v>Bùi Văn Nghĩa</v>
      </c>
      <c r="E49" s="22" t="n">
        <v>5</v>
      </c>
      <c r="F49" s="22" t="s">
        <v>505</v>
      </c>
      <c r="G49" s="22" t="s">
        <v>476</v>
      </c>
      <c r="H49" s="22" t="s">
        <v>487</v>
      </c>
      <c r="I49" s="11" t="n">
        <v>50000</v>
      </c>
      <c r="J49" s="22" t="s">
        <v>474</v>
      </c>
      <c r="K49" s="20" t="n">
        <f aca="false">IF(I49="","",IF(H49="LAK",I49*TYGIA_LAK,I49))</f>
        <v>50000</v>
      </c>
      <c r="L49" s="22" t="s">
        <v>442</v>
      </c>
      <c r="M49" s="22"/>
    </row>
    <row r="50" customFormat="false" ht="15" hidden="false" customHeight="false" outlineLevel="0" collapsed="false">
      <c r="A50" s="24" t="n">
        <v>46</v>
      </c>
      <c r="B50" s="46" t="n">
        <v>46061</v>
      </c>
      <c r="C50" s="22" t="s">
        <v>227</v>
      </c>
      <c r="D50" s="24" t="str">
        <f aca="false">IF(C50="","",IFERROR(INDEX(NV_TEN,MATCH(C50,NV_MA,0)),"MÃ KHÔNG CÓ"))</f>
        <v>Bùi Văn Nghĩa</v>
      </c>
      <c r="E50" s="22" t="n">
        <v>5</v>
      </c>
      <c r="F50" s="22" t="s">
        <v>506</v>
      </c>
      <c r="G50" s="22" t="s">
        <v>476</v>
      </c>
      <c r="H50" s="22" t="s">
        <v>487</v>
      </c>
      <c r="I50" s="11" t="n">
        <v>200000</v>
      </c>
      <c r="J50" s="22" t="s">
        <v>474</v>
      </c>
      <c r="K50" s="20" t="n">
        <f aca="false">IF(I50="","",IF(H50="LAK",I50*TYGIA_LAK,I50))</f>
        <v>200000</v>
      </c>
      <c r="L50" s="22"/>
      <c r="M50" s="22"/>
    </row>
    <row r="51" customFormat="false" ht="15" hidden="false" customHeight="false" outlineLevel="0" collapsed="false">
      <c r="A51" s="24" t="n">
        <v>47</v>
      </c>
      <c r="B51" s="46" t="n">
        <v>46061</v>
      </c>
      <c r="C51" s="22" t="s">
        <v>227</v>
      </c>
      <c r="D51" s="24" t="str">
        <f aca="false">IF(C51="","",IFERROR(INDEX(NV_TEN,MATCH(C51,NV_MA,0)),"MÃ KHÔNG CÓ"))</f>
        <v>Bùi Văn Nghĩa</v>
      </c>
      <c r="E51" s="22" t="n">
        <v>5</v>
      </c>
      <c r="F51" s="22" t="s">
        <v>507</v>
      </c>
      <c r="G51" s="22" t="s">
        <v>476</v>
      </c>
      <c r="H51" s="22" t="s">
        <v>487</v>
      </c>
      <c r="I51" s="11" t="n">
        <v>400000</v>
      </c>
      <c r="J51" s="22" t="s">
        <v>474</v>
      </c>
      <c r="K51" s="20" t="n">
        <f aca="false">IF(I51="","",IF(H51="LAK",I51*TYGIA_LAK,I51))</f>
        <v>400000</v>
      </c>
      <c r="L51" s="22"/>
      <c r="M51" s="22"/>
    </row>
    <row r="52" customFormat="false" ht="15" hidden="false" customHeight="false" outlineLevel="0" collapsed="false">
      <c r="A52" s="24" t="n">
        <v>48</v>
      </c>
      <c r="B52" s="46" t="n">
        <v>46061</v>
      </c>
      <c r="C52" s="22" t="s">
        <v>227</v>
      </c>
      <c r="D52" s="24" t="str">
        <f aca="false">IF(C52="","",IFERROR(INDEX(NV_TEN,MATCH(C52,NV_MA,0)),"MÃ KHÔNG CÓ"))</f>
        <v>Bùi Văn Nghĩa</v>
      </c>
      <c r="E52" s="22" t="n">
        <v>5</v>
      </c>
      <c r="F52" s="22" t="s">
        <v>508</v>
      </c>
      <c r="G52" s="22" t="s">
        <v>476</v>
      </c>
      <c r="H52" s="22" t="s">
        <v>487</v>
      </c>
      <c r="I52" s="11" t="n">
        <v>400000</v>
      </c>
      <c r="J52" s="22" t="s">
        <v>474</v>
      </c>
      <c r="K52" s="20" t="n">
        <f aca="false">IF(I52="","",IF(H52="LAK",I52*TYGIA_LAK,I52))</f>
        <v>400000</v>
      </c>
      <c r="L52" s="22"/>
      <c r="M52" s="22"/>
    </row>
    <row r="53" customFormat="false" ht="15" hidden="false" customHeight="false" outlineLevel="0" collapsed="false">
      <c r="A53" s="24" t="n">
        <v>49</v>
      </c>
      <c r="B53" s="46" t="n">
        <v>46061</v>
      </c>
      <c r="C53" s="22" t="s">
        <v>227</v>
      </c>
      <c r="D53" s="24" t="str">
        <f aca="false">IF(C53="","",IFERROR(INDEX(NV_TEN,MATCH(C53,NV_MA,0)),"MÃ KHÔNG CÓ"))</f>
        <v>Bùi Văn Nghĩa</v>
      </c>
      <c r="E53" s="22" t="n">
        <v>5</v>
      </c>
      <c r="F53" s="22" t="s">
        <v>509</v>
      </c>
      <c r="G53" s="22" t="s">
        <v>476</v>
      </c>
      <c r="H53" s="22" t="s">
        <v>487</v>
      </c>
      <c r="I53" s="11" t="n">
        <v>400000</v>
      </c>
      <c r="J53" s="22" t="s">
        <v>474</v>
      </c>
      <c r="K53" s="20" t="n">
        <f aca="false">IF(I53="","",IF(H53="LAK",I53*TYGIA_LAK,I53))</f>
        <v>400000</v>
      </c>
      <c r="L53" s="22"/>
      <c r="M53" s="22"/>
    </row>
    <row r="54" customFormat="false" ht="15" hidden="false" customHeight="false" outlineLevel="0" collapsed="false">
      <c r="A54" s="24" t="n">
        <v>50</v>
      </c>
      <c r="B54" s="46" t="n">
        <v>46061</v>
      </c>
      <c r="C54" s="22" t="s">
        <v>227</v>
      </c>
      <c r="D54" s="24" t="str">
        <f aca="false">IF(C54="","",IFERROR(INDEX(NV_TEN,MATCH(C54,NV_MA,0)),"MÃ KHÔNG CÓ"))</f>
        <v>Bùi Văn Nghĩa</v>
      </c>
      <c r="E54" s="22" t="n">
        <v>5</v>
      </c>
      <c r="F54" s="22" t="s">
        <v>505</v>
      </c>
      <c r="G54" s="22" t="s">
        <v>476</v>
      </c>
      <c r="H54" s="22" t="s">
        <v>487</v>
      </c>
      <c r="I54" s="11" t="n">
        <v>50000</v>
      </c>
      <c r="J54" s="22" t="s">
        <v>474</v>
      </c>
      <c r="K54" s="20" t="n">
        <f aca="false">IF(I54="","",IF(H54="LAK",I54*TYGIA_LAK,I54))</f>
        <v>50000</v>
      </c>
      <c r="L54" s="22" t="s">
        <v>442</v>
      </c>
      <c r="M54" s="22"/>
    </row>
    <row r="55" customFormat="false" ht="15" hidden="false" customHeight="false" outlineLevel="0" collapsed="false">
      <c r="A55" s="24" t="n">
        <v>51</v>
      </c>
      <c r="B55" s="46" t="n">
        <v>46061</v>
      </c>
      <c r="C55" s="22" t="s">
        <v>227</v>
      </c>
      <c r="D55" s="24" t="str">
        <f aca="false">IF(C55="","",IFERROR(INDEX(NV_TEN,MATCH(C55,NV_MA,0)),"MÃ KHÔNG CÓ"))</f>
        <v>Bùi Văn Nghĩa</v>
      </c>
      <c r="E55" s="22" t="n">
        <v>5</v>
      </c>
      <c r="F55" s="22" t="s">
        <v>510</v>
      </c>
      <c r="G55" s="22" t="s">
        <v>476</v>
      </c>
      <c r="H55" s="22" t="s">
        <v>487</v>
      </c>
      <c r="I55" s="11" t="n">
        <v>100000</v>
      </c>
      <c r="J55" s="22" t="s">
        <v>474</v>
      </c>
      <c r="K55" s="20" t="n">
        <f aca="false">IF(I55="","",IF(H55="LAK",I55*TYGIA_LAK,I55))</f>
        <v>100000</v>
      </c>
      <c r="L55" s="22" t="s">
        <v>428</v>
      </c>
      <c r="M55" s="22"/>
    </row>
    <row r="56" customFormat="false" ht="15" hidden="false" customHeight="false" outlineLevel="0" collapsed="false">
      <c r="A56" s="24" t="n">
        <v>52</v>
      </c>
      <c r="B56" s="46" t="n">
        <v>46061</v>
      </c>
      <c r="C56" s="22" t="s">
        <v>227</v>
      </c>
      <c r="D56" s="24" t="str">
        <f aca="false">IF(C56="","",IFERROR(INDEX(NV_TEN,MATCH(C56,NV_MA,0)),"MÃ KHÔNG CÓ"))</f>
        <v>Bùi Văn Nghĩa</v>
      </c>
      <c r="E56" s="22" t="n">
        <v>5</v>
      </c>
      <c r="F56" s="22" t="s">
        <v>511</v>
      </c>
      <c r="G56" s="22" t="s">
        <v>476</v>
      </c>
      <c r="H56" s="22" t="s">
        <v>487</v>
      </c>
      <c r="I56" s="11" t="n">
        <v>100000</v>
      </c>
      <c r="J56" s="22" t="s">
        <v>474</v>
      </c>
      <c r="K56" s="20" t="n">
        <f aca="false">IF(I56="","",IF(H56="LAK",I56*TYGIA_LAK,I56))</f>
        <v>100000</v>
      </c>
      <c r="L56" s="22" t="s">
        <v>442</v>
      </c>
      <c r="M56" s="22"/>
    </row>
    <row r="57" customFormat="false" ht="15" hidden="false" customHeight="false" outlineLevel="0" collapsed="false">
      <c r="A57" s="24" t="n">
        <v>53</v>
      </c>
      <c r="B57" s="46" t="n">
        <v>46065</v>
      </c>
      <c r="C57" s="22" t="s">
        <v>227</v>
      </c>
      <c r="D57" s="24" t="str">
        <f aca="false">IF(C57="","",IFERROR(INDEX(NV_TEN,MATCH(C57,NV_MA,0)),"MÃ KHÔNG CÓ"))</f>
        <v>Bùi Văn Nghĩa</v>
      </c>
      <c r="E57" s="22" t="n">
        <v>6</v>
      </c>
      <c r="F57" s="22" t="s">
        <v>512</v>
      </c>
      <c r="G57" s="22" t="s">
        <v>472</v>
      </c>
      <c r="H57" s="22" t="s">
        <v>473</v>
      </c>
      <c r="I57" s="11" t="n">
        <v>7000000</v>
      </c>
      <c r="J57" s="22" t="s">
        <v>474</v>
      </c>
      <c r="K57" s="20" t="n">
        <f aca="false">IF(I57="","",IF(H57="LAK",I57*TYGIA_LAK,I57))</f>
        <v>8050000</v>
      </c>
      <c r="L57" s="22"/>
      <c r="M57" s="22"/>
    </row>
    <row r="58" customFormat="false" ht="15" hidden="false" customHeight="false" outlineLevel="0" collapsed="false">
      <c r="A58" s="24" t="n">
        <v>54</v>
      </c>
      <c r="B58" s="46" t="n">
        <v>46065</v>
      </c>
      <c r="C58" s="22" t="s">
        <v>227</v>
      </c>
      <c r="D58" s="24" t="str">
        <f aca="false">IF(C58="","",IFERROR(INDEX(NV_TEN,MATCH(C58,NV_MA,0)),"MÃ KHÔNG CÓ"))</f>
        <v>Bùi Văn Nghĩa</v>
      </c>
      <c r="E58" s="22" t="n">
        <v>6</v>
      </c>
      <c r="F58" s="22" t="s">
        <v>513</v>
      </c>
      <c r="G58" s="22" t="s">
        <v>472</v>
      </c>
      <c r="H58" s="22" t="s">
        <v>487</v>
      </c>
      <c r="I58" s="11" t="n">
        <v>7000000</v>
      </c>
      <c r="J58" s="22" t="s">
        <v>474</v>
      </c>
      <c r="K58" s="20" t="n">
        <f aca="false">IF(I58="","",IF(H58="LAK",I58*TYGIA_LAK,I58))</f>
        <v>7000000</v>
      </c>
      <c r="L58" s="22"/>
      <c r="M58" s="22"/>
    </row>
    <row r="59" customFormat="false" ht="15" hidden="false" customHeight="false" outlineLevel="0" collapsed="false">
      <c r="A59" s="24" t="n">
        <v>55</v>
      </c>
      <c r="B59" s="46" t="n">
        <v>46065</v>
      </c>
      <c r="C59" s="22" t="s">
        <v>227</v>
      </c>
      <c r="D59" s="24" t="str">
        <f aca="false">IF(C59="","",IFERROR(INDEX(NV_TEN,MATCH(C59,NV_MA,0)),"MÃ KHÔNG CÓ"))</f>
        <v>Bùi Văn Nghĩa</v>
      </c>
      <c r="E59" s="22" t="n">
        <v>6</v>
      </c>
      <c r="F59" s="22" t="s">
        <v>477</v>
      </c>
      <c r="G59" s="22" t="s">
        <v>476</v>
      </c>
      <c r="H59" s="22" t="s">
        <v>473</v>
      </c>
      <c r="I59" s="11" t="n">
        <v>1000000</v>
      </c>
      <c r="J59" s="22" t="s">
        <v>474</v>
      </c>
      <c r="K59" s="20" t="n">
        <f aca="false">IF(I59="","",IF(H59="LAK",I59*TYGIA_LAK,I59))</f>
        <v>1150000</v>
      </c>
      <c r="L59" s="22"/>
      <c r="M59" s="22"/>
    </row>
    <row r="60" customFormat="false" ht="15" hidden="false" customHeight="false" outlineLevel="0" collapsed="false">
      <c r="A60" s="24" t="n">
        <v>56</v>
      </c>
      <c r="B60" s="46" t="n">
        <v>46065</v>
      </c>
      <c r="C60" s="22" t="s">
        <v>227</v>
      </c>
      <c r="D60" s="24" t="str">
        <f aca="false">IF(C60="","",IFERROR(INDEX(NV_TEN,MATCH(C60,NV_MA,0)),"MÃ KHÔNG CÓ"))</f>
        <v>Bùi Văn Nghĩa</v>
      </c>
      <c r="E60" s="22" t="n">
        <v>6</v>
      </c>
      <c r="F60" s="22" t="s">
        <v>478</v>
      </c>
      <c r="G60" s="22" t="s">
        <v>476</v>
      </c>
      <c r="H60" s="22" t="s">
        <v>473</v>
      </c>
      <c r="I60" s="11" t="n">
        <v>1000000</v>
      </c>
      <c r="J60" s="22" t="s">
        <v>474</v>
      </c>
      <c r="K60" s="20" t="n">
        <f aca="false">IF(I60="","",IF(H60="LAK",I60*TYGIA_LAK,I60))</f>
        <v>1150000</v>
      </c>
      <c r="L60" s="22"/>
      <c r="M60" s="22"/>
    </row>
    <row r="61" customFormat="false" ht="15" hidden="false" customHeight="false" outlineLevel="0" collapsed="false">
      <c r="A61" s="24" t="n">
        <v>57</v>
      </c>
      <c r="B61" s="46" t="n">
        <v>46065</v>
      </c>
      <c r="C61" s="22" t="s">
        <v>227</v>
      </c>
      <c r="D61" s="24" t="str">
        <f aca="false">IF(C61="","",IFERROR(INDEX(NV_TEN,MATCH(C61,NV_MA,0)),"MÃ KHÔNG CÓ"))</f>
        <v>Bùi Văn Nghĩa</v>
      </c>
      <c r="E61" s="22" t="n">
        <v>6</v>
      </c>
      <c r="F61" s="22" t="s">
        <v>482</v>
      </c>
      <c r="G61" s="22" t="s">
        <v>476</v>
      </c>
      <c r="H61" s="22" t="s">
        <v>473</v>
      </c>
      <c r="I61" s="11" t="n">
        <v>2000000</v>
      </c>
      <c r="J61" s="22" t="s">
        <v>474</v>
      </c>
      <c r="K61" s="20" t="n">
        <f aca="false">IF(I61="","",IF(H61="LAK",I61*TYGIA_LAK,I61))</f>
        <v>2300000</v>
      </c>
      <c r="L61" s="22"/>
      <c r="M61" s="22"/>
    </row>
    <row r="62" customFormat="false" ht="15" hidden="false" customHeight="false" outlineLevel="0" collapsed="false">
      <c r="A62" s="24" t="n">
        <v>58</v>
      </c>
      <c r="B62" s="46" t="n">
        <v>46065</v>
      </c>
      <c r="C62" s="22" t="s">
        <v>227</v>
      </c>
      <c r="D62" s="24" t="str">
        <f aca="false">IF(C62="","",IFERROR(INDEX(NV_TEN,MATCH(C62,NV_MA,0)),"MÃ KHÔNG CÓ"))</f>
        <v>Bùi Văn Nghĩa</v>
      </c>
      <c r="E62" s="22" t="n">
        <v>6</v>
      </c>
      <c r="F62" s="22" t="s">
        <v>479</v>
      </c>
      <c r="G62" s="22" t="s">
        <v>476</v>
      </c>
      <c r="H62" s="22" t="s">
        <v>473</v>
      </c>
      <c r="I62" s="11" t="n">
        <v>500000</v>
      </c>
      <c r="J62" s="22" t="s">
        <v>474</v>
      </c>
      <c r="K62" s="20" t="n">
        <f aca="false">IF(I62="","",IF(H62="LAK",I62*TYGIA_LAK,I62))</f>
        <v>575000</v>
      </c>
      <c r="L62" s="22"/>
      <c r="M62" s="22"/>
    </row>
    <row r="63" customFormat="false" ht="15" hidden="false" customHeight="false" outlineLevel="0" collapsed="false">
      <c r="A63" s="24" t="n">
        <v>59</v>
      </c>
      <c r="B63" s="46" t="n">
        <v>46065</v>
      </c>
      <c r="C63" s="22" t="s">
        <v>227</v>
      </c>
      <c r="D63" s="24" t="str">
        <f aca="false">IF(C63="","",IFERROR(INDEX(NV_TEN,MATCH(C63,NV_MA,0)),"MÃ KHÔNG CÓ"))</f>
        <v>Bùi Văn Nghĩa</v>
      </c>
      <c r="E63" s="22" t="n">
        <v>6</v>
      </c>
      <c r="F63" s="22" t="s">
        <v>514</v>
      </c>
      <c r="G63" s="22" t="s">
        <v>476</v>
      </c>
      <c r="H63" s="22" t="s">
        <v>473</v>
      </c>
      <c r="I63" s="11" t="n">
        <v>200000</v>
      </c>
      <c r="J63" s="22" t="s">
        <v>474</v>
      </c>
      <c r="K63" s="20" t="n">
        <f aca="false">IF(I63="","",IF(H63="LAK",I63*TYGIA_LAK,I63))</f>
        <v>230000</v>
      </c>
      <c r="L63" s="22"/>
      <c r="M63" s="22"/>
    </row>
    <row r="64" customFormat="false" ht="15" hidden="false" customHeight="false" outlineLevel="0" collapsed="false">
      <c r="A64" s="24" t="n">
        <v>60</v>
      </c>
      <c r="B64" s="46" t="n">
        <v>46065</v>
      </c>
      <c r="C64" s="22" t="s">
        <v>227</v>
      </c>
      <c r="D64" s="24" t="str">
        <f aca="false">IF(C64="","",IFERROR(INDEX(NV_TEN,MATCH(C64,NV_MA,0)),"MÃ KHÔNG CÓ"))</f>
        <v>Bùi Văn Nghĩa</v>
      </c>
      <c r="E64" s="22" t="n">
        <v>6</v>
      </c>
      <c r="F64" s="22" t="s">
        <v>481</v>
      </c>
      <c r="G64" s="22" t="s">
        <v>476</v>
      </c>
      <c r="H64" s="22" t="s">
        <v>473</v>
      </c>
      <c r="I64" s="11" t="n">
        <v>500000</v>
      </c>
      <c r="J64" s="22" t="s">
        <v>474</v>
      </c>
      <c r="K64" s="20" t="n">
        <f aca="false">IF(I64="","",IF(H64="LAK",I64*TYGIA_LAK,I64))</f>
        <v>575000</v>
      </c>
      <c r="L64" s="22"/>
      <c r="M64" s="22"/>
    </row>
    <row r="65" customFormat="false" ht="15" hidden="false" customHeight="false" outlineLevel="0" collapsed="false">
      <c r="A65" s="24" t="n">
        <v>61</v>
      </c>
      <c r="B65" s="46" t="n">
        <v>46065</v>
      </c>
      <c r="C65" s="22" t="s">
        <v>227</v>
      </c>
      <c r="D65" s="24" t="str">
        <f aca="false">IF(C65="","",IFERROR(INDEX(NV_TEN,MATCH(C65,NV_MA,0)),"MÃ KHÔNG CÓ"))</f>
        <v>Bùi Văn Nghĩa</v>
      </c>
      <c r="E65" s="22" t="n">
        <v>6</v>
      </c>
      <c r="F65" s="22" t="s">
        <v>515</v>
      </c>
      <c r="G65" s="22" t="s">
        <v>476</v>
      </c>
      <c r="H65" s="22" t="s">
        <v>473</v>
      </c>
      <c r="I65" s="11" t="n">
        <v>700000</v>
      </c>
      <c r="J65" s="22" t="s">
        <v>474</v>
      </c>
      <c r="K65" s="20" t="n">
        <f aca="false">IF(I65="","",IF(H65="LAK",I65*TYGIA_LAK,I65))</f>
        <v>805000</v>
      </c>
      <c r="L65" s="22"/>
      <c r="M65" s="22"/>
    </row>
    <row r="66" customFormat="false" ht="15" hidden="false" customHeight="false" outlineLevel="0" collapsed="false">
      <c r="A66" s="24" t="n">
        <v>62</v>
      </c>
      <c r="B66" s="46" t="n">
        <v>46065</v>
      </c>
      <c r="C66" s="22" t="s">
        <v>227</v>
      </c>
      <c r="D66" s="24" t="str">
        <f aca="false">IF(C66="","",IFERROR(INDEX(NV_TEN,MATCH(C66,NV_MA,0)),"MÃ KHÔNG CÓ"))</f>
        <v>Bùi Văn Nghĩa</v>
      </c>
      <c r="E66" s="22" t="n">
        <v>6</v>
      </c>
      <c r="F66" s="22" t="s">
        <v>484</v>
      </c>
      <c r="G66" s="22" t="s">
        <v>476</v>
      </c>
      <c r="H66" s="22" t="s">
        <v>473</v>
      </c>
      <c r="I66" s="11" t="n">
        <v>200000</v>
      </c>
      <c r="J66" s="22" t="s">
        <v>474</v>
      </c>
      <c r="K66" s="20" t="n">
        <f aca="false">IF(I66="","",IF(H66="LAK",I66*TYGIA_LAK,I66))</f>
        <v>230000</v>
      </c>
      <c r="L66" s="22"/>
      <c r="M66" s="22"/>
    </row>
    <row r="67" customFormat="false" ht="15" hidden="false" customHeight="false" outlineLevel="0" collapsed="false">
      <c r="A67" s="24" t="n">
        <v>63</v>
      </c>
      <c r="B67" s="46" t="n">
        <v>46065</v>
      </c>
      <c r="C67" s="22" t="s">
        <v>227</v>
      </c>
      <c r="D67" s="24" t="str">
        <f aca="false">IF(C67="","",IFERROR(INDEX(NV_TEN,MATCH(C67,NV_MA,0)),"MÃ KHÔNG CÓ"))</f>
        <v>Bùi Văn Nghĩa</v>
      </c>
      <c r="E67" s="22" t="n">
        <v>6</v>
      </c>
      <c r="F67" s="22" t="s">
        <v>485</v>
      </c>
      <c r="G67" s="22" t="s">
        <v>476</v>
      </c>
      <c r="H67" s="22" t="s">
        <v>473</v>
      </c>
      <c r="I67" s="11" t="n">
        <v>200000</v>
      </c>
      <c r="J67" s="22" t="s">
        <v>474</v>
      </c>
      <c r="K67" s="20" t="n">
        <f aca="false">IF(I67="","",IF(H67="LAK",I67*TYGIA_LAK,I67))</f>
        <v>230000</v>
      </c>
      <c r="L67" s="22"/>
      <c r="M67" s="22"/>
    </row>
    <row r="68" customFormat="false" ht="15" hidden="false" customHeight="false" outlineLevel="0" collapsed="false">
      <c r="A68" s="24" t="n">
        <v>64</v>
      </c>
      <c r="B68" s="46" t="n">
        <v>46065</v>
      </c>
      <c r="C68" s="22" t="s">
        <v>227</v>
      </c>
      <c r="D68" s="24" t="str">
        <f aca="false">IF(C68="","",IFERROR(INDEX(NV_TEN,MATCH(C68,NV_MA,0)),"MÃ KHÔNG CÓ"))</f>
        <v>Bùi Văn Nghĩa</v>
      </c>
      <c r="E68" s="22" t="n">
        <v>6</v>
      </c>
      <c r="F68" s="22" t="s">
        <v>516</v>
      </c>
      <c r="G68" s="22" t="s">
        <v>476</v>
      </c>
      <c r="H68" s="22" t="s">
        <v>487</v>
      </c>
      <c r="I68" s="11" t="n">
        <v>1000000</v>
      </c>
      <c r="J68" s="22" t="s">
        <v>474</v>
      </c>
      <c r="K68" s="20" t="n">
        <f aca="false">IF(I68="","",IF(H68="LAK",I68*TYGIA_LAK,I68))</f>
        <v>1000000</v>
      </c>
      <c r="L68" s="22"/>
      <c r="M68" s="22"/>
    </row>
    <row r="69" customFormat="false" ht="15" hidden="false" customHeight="false" outlineLevel="0" collapsed="false">
      <c r="A69" s="24" t="n">
        <v>65</v>
      </c>
      <c r="B69" s="46" t="n">
        <v>46065</v>
      </c>
      <c r="C69" s="22" t="s">
        <v>227</v>
      </c>
      <c r="D69" s="24" t="str">
        <f aca="false">IF(C69="","",IFERROR(INDEX(NV_TEN,MATCH(C69,NV_MA,0)),"MÃ KHÔNG CÓ"))</f>
        <v>Bùi Văn Nghĩa</v>
      </c>
      <c r="E69" s="22" t="n">
        <v>6</v>
      </c>
      <c r="F69" s="22" t="s">
        <v>497</v>
      </c>
      <c r="G69" s="22" t="s">
        <v>476</v>
      </c>
      <c r="H69" s="22" t="s">
        <v>487</v>
      </c>
      <c r="I69" s="11" t="n">
        <v>500000</v>
      </c>
      <c r="J69" s="22" t="s">
        <v>474</v>
      </c>
      <c r="K69" s="20" t="n">
        <f aca="false">IF(I69="","",IF(H69="LAK",I69*TYGIA_LAK,I69))</f>
        <v>500000</v>
      </c>
      <c r="L69" s="22"/>
      <c r="M69" s="22"/>
    </row>
    <row r="70" customFormat="false" ht="15" hidden="false" customHeight="false" outlineLevel="0" collapsed="false">
      <c r="A70" s="24" t="n">
        <v>66</v>
      </c>
      <c r="B70" s="46" t="n">
        <v>46065</v>
      </c>
      <c r="C70" s="22" t="s">
        <v>227</v>
      </c>
      <c r="D70" s="24" t="str">
        <f aca="false">IF(C70="","",IFERROR(INDEX(NV_TEN,MATCH(C70,NV_MA,0)),"MÃ KHÔNG CÓ"))</f>
        <v>Bùi Văn Nghĩa</v>
      </c>
      <c r="E70" s="22" t="n">
        <v>6</v>
      </c>
      <c r="F70" s="22" t="s">
        <v>498</v>
      </c>
      <c r="G70" s="22" t="s">
        <v>476</v>
      </c>
      <c r="H70" s="22" t="s">
        <v>487</v>
      </c>
      <c r="I70" s="11" t="n">
        <v>500000</v>
      </c>
      <c r="J70" s="22" t="s">
        <v>474</v>
      </c>
      <c r="K70" s="20" t="n">
        <f aca="false">IF(I70="","",IF(H70="LAK",I70*TYGIA_LAK,I70))</f>
        <v>500000</v>
      </c>
      <c r="L70" s="22"/>
      <c r="M70" s="22"/>
    </row>
    <row r="71" customFormat="false" ht="15" hidden="false" customHeight="false" outlineLevel="0" collapsed="false">
      <c r="A71" s="24" t="n">
        <v>67</v>
      </c>
      <c r="B71" s="46" t="n">
        <v>46065</v>
      </c>
      <c r="C71" s="22" t="s">
        <v>227</v>
      </c>
      <c r="D71" s="24" t="str">
        <f aca="false">IF(C71="","",IFERROR(INDEX(NV_TEN,MATCH(C71,NV_MA,0)),"MÃ KHÔNG CÓ"))</f>
        <v>Bùi Văn Nghĩa</v>
      </c>
      <c r="E71" s="22" t="n">
        <v>6</v>
      </c>
      <c r="F71" s="22" t="s">
        <v>517</v>
      </c>
      <c r="G71" s="22" t="s">
        <v>476</v>
      </c>
      <c r="H71" s="22" t="s">
        <v>487</v>
      </c>
      <c r="I71" s="11" t="n">
        <v>150000</v>
      </c>
      <c r="J71" s="22" t="s">
        <v>474</v>
      </c>
      <c r="K71" s="20" t="n">
        <f aca="false">IF(I71="","",IF(H71="LAK",I71*TYGIA_LAK,I71))</f>
        <v>150000</v>
      </c>
      <c r="L71" s="22" t="s">
        <v>442</v>
      </c>
      <c r="M71" s="22"/>
    </row>
    <row r="72" customFormat="false" ht="15" hidden="false" customHeight="false" outlineLevel="0" collapsed="false">
      <c r="A72" s="24" t="n">
        <v>68</v>
      </c>
      <c r="B72" s="46" t="n">
        <v>46065</v>
      </c>
      <c r="C72" s="22" t="s">
        <v>227</v>
      </c>
      <c r="D72" s="24" t="str">
        <f aca="false">IF(C72="","",IFERROR(INDEX(NV_TEN,MATCH(C72,NV_MA,0)),"MÃ KHÔNG CÓ"))</f>
        <v>Bùi Văn Nghĩa</v>
      </c>
      <c r="E72" s="22" t="n">
        <v>6</v>
      </c>
      <c r="F72" s="22" t="s">
        <v>505</v>
      </c>
      <c r="G72" s="22" t="s">
        <v>476</v>
      </c>
      <c r="H72" s="22" t="s">
        <v>487</v>
      </c>
      <c r="I72" s="11" t="n">
        <v>50000</v>
      </c>
      <c r="J72" s="22" t="s">
        <v>474</v>
      </c>
      <c r="K72" s="20" t="n">
        <f aca="false">IF(I72="","",IF(H72="LAK",I72*TYGIA_LAK,I72))</f>
        <v>50000</v>
      </c>
      <c r="L72" s="22" t="s">
        <v>442</v>
      </c>
      <c r="M72" s="22"/>
    </row>
    <row r="73" customFormat="false" ht="15" hidden="false" customHeight="false" outlineLevel="0" collapsed="false">
      <c r="A73" s="24" t="n">
        <v>69</v>
      </c>
      <c r="B73" s="46" t="n">
        <v>46076</v>
      </c>
      <c r="C73" s="22" t="s">
        <v>227</v>
      </c>
      <c r="D73" s="24" t="str">
        <f aca="false">IF(C73="","",IFERROR(INDEX(NV_TEN,MATCH(C73,NV_MA,0)),"MÃ KHÔNG CÓ"))</f>
        <v>Bùi Văn Nghĩa</v>
      </c>
      <c r="E73" s="22" t="n">
        <v>7</v>
      </c>
      <c r="F73" s="22" t="s">
        <v>518</v>
      </c>
      <c r="G73" s="22" t="s">
        <v>476</v>
      </c>
      <c r="H73" s="22" t="s">
        <v>487</v>
      </c>
      <c r="I73" s="11" t="n">
        <v>177000</v>
      </c>
      <c r="J73" s="22" t="s">
        <v>474</v>
      </c>
      <c r="K73" s="20" t="n">
        <f aca="false">IF(I73="","",IF(H73="LAK",I73*TYGIA_LAK,I73))</f>
        <v>177000</v>
      </c>
      <c r="L73" s="22" t="s">
        <v>442</v>
      </c>
      <c r="M73" s="22"/>
    </row>
    <row r="74" customFormat="false" ht="15" hidden="false" customHeight="false" outlineLevel="0" collapsed="false">
      <c r="A74" s="24" t="n">
        <v>70</v>
      </c>
      <c r="B74" s="46" t="n">
        <v>46081</v>
      </c>
      <c r="C74" s="22" t="s">
        <v>227</v>
      </c>
      <c r="D74" s="24" t="str">
        <f aca="false">IF(C74="","",IFERROR(INDEX(NV_TEN,MATCH(C74,NV_MA,0)),"MÃ KHÔNG CÓ"))</f>
        <v>Bùi Văn Nghĩa</v>
      </c>
      <c r="E74" s="22" t="n">
        <v>8</v>
      </c>
      <c r="F74" s="22" t="s">
        <v>489</v>
      </c>
      <c r="G74" s="22" t="s">
        <v>476</v>
      </c>
      <c r="H74" s="22" t="s">
        <v>487</v>
      </c>
      <c r="I74" s="11" t="n">
        <v>400000</v>
      </c>
      <c r="J74" s="22" t="s">
        <v>474</v>
      </c>
      <c r="K74" s="20" t="n">
        <f aca="false">IF(I74="","",IF(H74="LAK",I74*TYGIA_LAK,I74))</f>
        <v>400000</v>
      </c>
      <c r="L74" s="22"/>
      <c r="M74" s="22"/>
    </row>
    <row r="75" customFormat="false" ht="15" hidden="false" customHeight="false" outlineLevel="0" collapsed="false">
      <c r="A75" s="24" t="n">
        <v>71</v>
      </c>
      <c r="B75" s="46" t="n">
        <v>46054</v>
      </c>
      <c r="C75" s="22" t="s">
        <v>229</v>
      </c>
      <c r="D75" s="24" t="str">
        <f aca="false">IF(C75="","",IFERROR(INDEX(NV_TEN,MATCH(C75,NV_MA,0)),"MÃ KHÔNG CÓ"))</f>
        <v>Nguyễn Hữu Mạnh Cường</v>
      </c>
      <c r="E75" s="22" t="n">
        <v>9</v>
      </c>
      <c r="F75" s="22" t="s">
        <v>489</v>
      </c>
      <c r="G75" s="22" t="s">
        <v>476</v>
      </c>
      <c r="H75" s="22" t="s">
        <v>487</v>
      </c>
      <c r="I75" s="11" t="n">
        <v>400000</v>
      </c>
      <c r="J75" s="22" t="s">
        <v>474</v>
      </c>
      <c r="K75" s="20" t="n">
        <f aca="false">IF(I75="","",IF(H75="LAK",I75*TYGIA_LAK,I75))</f>
        <v>400000</v>
      </c>
      <c r="L75" s="22"/>
      <c r="M75" s="22"/>
    </row>
    <row r="76" customFormat="false" ht="15" hidden="false" customHeight="false" outlineLevel="0" collapsed="false">
      <c r="A76" s="24" t="n">
        <v>72</v>
      </c>
      <c r="B76" s="46" t="n">
        <v>46056</v>
      </c>
      <c r="C76" s="22" t="s">
        <v>229</v>
      </c>
      <c r="D76" s="24" t="str">
        <f aca="false">IF(C76="","",IFERROR(INDEX(NV_TEN,MATCH(C76,NV_MA,0)),"MÃ KHÔNG CÓ"))</f>
        <v>Nguyễn Hữu Mạnh Cường</v>
      </c>
      <c r="E76" s="22" t="n">
        <v>10</v>
      </c>
      <c r="F76" s="22" t="s">
        <v>489</v>
      </c>
      <c r="G76" s="22" t="s">
        <v>476</v>
      </c>
      <c r="H76" s="22" t="s">
        <v>487</v>
      </c>
      <c r="I76" s="11" t="n">
        <v>400000</v>
      </c>
      <c r="J76" s="22" t="s">
        <v>474</v>
      </c>
      <c r="K76" s="20" t="n">
        <f aca="false">IF(I76="","",IF(H76="LAK",I76*TYGIA_LAK,I76))</f>
        <v>400000</v>
      </c>
      <c r="L76" s="22"/>
      <c r="M76" s="22"/>
    </row>
    <row r="77" customFormat="false" ht="15" hidden="false" customHeight="false" outlineLevel="0" collapsed="false">
      <c r="A77" s="24" t="n">
        <v>73</v>
      </c>
      <c r="B77" s="46" t="n">
        <v>46056</v>
      </c>
      <c r="C77" s="22" t="s">
        <v>229</v>
      </c>
      <c r="D77" s="24" t="str">
        <f aca="false">IF(C77="","",IFERROR(INDEX(NV_TEN,MATCH(C77,NV_MA,0)),"MÃ KHÔNG CÓ"))</f>
        <v>Nguyễn Hữu Mạnh Cường</v>
      </c>
      <c r="E77" s="22" t="n">
        <v>10</v>
      </c>
      <c r="F77" s="22" t="s">
        <v>519</v>
      </c>
      <c r="G77" s="22" t="s">
        <v>476</v>
      </c>
      <c r="H77" s="22" t="s">
        <v>487</v>
      </c>
      <c r="I77" s="11" t="n">
        <v>200000</v>
      </c>
      <c r="J77" s="22" t="s">
        <v>474</v>
      </c>
      <c r="K77" s="20" t="n">
        <f aca="false">IF(I77="","",IF(H77="LAK",I77*TYGIA_LAK,I77))</f>
        <v>200000</v>
      </c>
      <c r="L77" s="22" t="s">
        <v>428</v>
      </c>
      <c r="M77" s="22"/>
    </row>
    <row r="78" customFormat="false" ht="15" hidden="false" customHeight="false" outlineLevel="0" collapsed="false">
      <c r="A78" s="24" t="n">
        <v>74</v>
      </c>
      <c r="B78" s="46" t="n">
        <v>46057</v>
      </c>
      <c r="C78" s="22" t="s">
        <v>229</v>
      </c>
      <c r="D78" s="24" t="str">
        <f aca="false">IF(C78="","",IFERROR(INDEX(NV_TEN,MATCH(C78,NV_MA,0)),"MÃ KHÔNG CÓ"))</f>
        <v>Nguyễn Hữu Mạnh Cường</v>
      </c>
      <c r="E78" s="22"/>
      <c r="F78" s="22" t="s">
        <v>520</v>
      </c>
      <c r="G78" s="22" t="s">
        <v>476</v>
      </c>
      <c r="H78" s="22" t="s">
        <v>487</v>
      </c>
      <c r="I78" s="11" t="n">
        <v>400000</v>
      </c>
      <c r="J78" s="22" t="s">
        <v>474</v>
      </c>
      <c r="K78" s="20" t="n">
        <f aca="false">IF(I78="","",IF(H78="LAK",I78*TYGIA_LAK,I78))</f>
        <v>400000</v>
      </c>
      <c r="L78" s="22"/>
      <c r="M78" s="22" t="s">
        <v>521</v>
      </c>
    </row>
    <row r="79" customFormat="false" ht="15" hidden="false" customHeight="false" outlineLevel="0" collapsed="false">
      <c r="A79" s="24" t="n">
        <v>75</v>
      </c>
      <c r="B79" s="46" t="n">
        <v>46058</v>
      </c>
      <c r="C79" s="22" t="s">
        <v>229</v>
      </c>
      <c r="D79" s="24" t="str">
        <f aca="false">IF(C79="","",IFERROR(INDEX(NV_TEN,MATCH(C79,NV_MA,0)),"MÃ KHÔNG CÓ"))</f>
        <v>Nguyễn Hữu Mạnh Cường</v>
      </c>
      <c r="E79" s="22" t="n">
        <v>11</v>
      </c>
      <c r="F79" s="22" t="s">
        <v>492</v>
      </c>
      <c r="G79" s="22" t="s">
        <v>476</v>
      </c>
      <c r="H79" s="22" t="s">
        <v>487</v>
      </c>
      <c r="I79" s="11" t="n">
        <v>200000</v>
      </c>
      <c r="J79" s="22" t="s">
        <v>474</v>
      </c>
      <c r="K79" s="20" t="n">
        <f aca="false">IF(I79="","",IF(H79="LAK",I79*TYGIA_LAK,I79))</f>
        <v>200000</v>
      </c>
      <c r="L79" s="22"/>
      <c r="M79" s="22"/>
    </row>
    <row r="80" customFormat="false" ht="15" hidden="false" customHeight="false" outlineLevel="0" collapsed="false">
      <c r="A80" s="24" t="n">
        <v>76</v>
      </c>
      <c r="B80" s="46" t="n">
        <v>46058</v>
      </c>
      <c r="C80" s="22" t="s">
        <v>229</v>
      </c>
      <c r="D80" s="24" t="str">
        <f aca="false">IF(C80="","",IFERROR(INDEX(NV_TEN,MATCH(C80,NV_MA,0)),"MÃ KHÔNG CÓ"))</f>
        <v>Nguyễn Hữu Mạnh Cường</v>
      </c>
      <c r="E80" s="22" t="n">
        <v>11</v>
      </c>
      <c r="F80" s="22" t="s">
        <v>493</v>
      </c>
      <c r="G80" s="22" t="s">
        <v>476</v>
      </c>
      <c r="H80" s="22" t="s">
        <v>487</v>
      </c>
      <c r="I80" s="11" t="n">
        <v>400000</v>
      </c>
      <c r="J80" s="22" t="s">
        <v>474</v>
      </c>
      <c r="K80" s="20" t="n">
        <f aca="false">IF(I80="","",IF(H80="LAK",I80*TYGIA_LAK,I80))</f>
        <v>400000</v>
      </c>
      <c r="L80" s="22"/>
      <c r="M80" s="22"/>
    </row>
    <row r="81" customFormat="false" ht="15" hidden="false" customHeight="false" outlineLevel="0" collapsed="false">
      <c r="A81" s="24" t="n">
        <v>77</v>
      </c>
      <c r="B81" s="46" t="n">
        <v>46058</v>
      </c>
      <c r="C81" s="22" t="s">
        <v>229</v>
      </c>
      <c r="D81" s="24" t="str">
        <f aca="false">IF(C81="","",IFERROR(INDEX(NV_TEN,MATCH(C81,NV_MA,0)),"MÃ KHÔNG CÓ"))</f>
        <v>Nguyễn Hữu Mạnh Cường</v>
      </c>
      <c r="E81" s="22" t="n">
        <v>11</v>
      </c>
      <c r="F81" s="22" t="s">
        <v>522</v>
      </c>
      <c r="G81" s="22" t="s">
        <v>476</v>
      </c>
      <c r="H81" s="22" t="s">
        <v>487</v>
      </c>
      <c r="I81" s="11" t="n">
        <v>400000</v>
      </c>
      <c r="J81" s="22" t="s">
        <v>474</v>
      </c>
      <c r="K81" s="20" t="n">
        <f aca="false">IF(I81="","",IF(H81="LAK",I81*TYGIA_LAK,I81))</f>
        <v>400000</v>
      </c>
      <c r="L81" s="22"/>
      <c r="M81" s="22"/>
    </row>
    <row r="82" customFormat="false" ht="15" hidden="false" customHeight="false" outlineLevel="0" collapsed="false">
      <c r="A82" s="24" t="n">
        <v>78</v>
      </c>
      <c r="B82" s="46" t="n">
        <v>46058</v>
      </c>
      <c r="C82" s="22" t="s">
        <v>229</v>
      </c>
      <c r="D82" s="24" t="str">
        <f aca="false">IF(C82="","",IFERROR(INDEX(NV_TEN,MATCH(C82,NV_MA,0)),"MÃ KHÔNG CÓ"))</f>
        <v>Nguyễn Hữu Mạnh Cường</v>
      </c>
      <c r="E82" s="22" t="n">
        <v>11</v>
      </c>
      <c r="F82" s="22" t="s">
        <v>494</v>
      </c>
      <c r="G82" s="22" t="s">
        <v>476</v>
      </c>
      <c r="H82" s="22" t="s">
        <v>487</v>
      </c>
      <c r="I82" s="11" t="n">
        <v>400000</v>
      </c>
      <c r="J82" s="22" t="s">
        <v>474</v>
      </c>
      <c r="K82" s="20" t="n">
        <f aca="false">IF(I82="","",IF(H82="LAK",I82*TYGIA_LAK,I82))</f>
        <v>400000</v>
      </c>
      <c r="L82" s="22"/>
      <c r="M82" s="22"/>
    </row>
    <row r="83" customFormat="false" ht="15" hidden="false" customHeight="false" outlineLevel="0" collapsed="false">
      <c r="A83" s="24" t="n">
        <v>79</v>
      </c>
      <c r="B83" s="46" t="n">
        <v>46058</v>
      </c>
      <c r="C83" s="22" t="s">
        <v>229</v>
      </c>
      <c r="D83" s="24" t="str">
        <f aca="false">IF(C83="","",IFERROR(INDEX(NV_TEN,MATCH(C83,NV_MA,0)),"MÃ KHÔNG CÓ"))</f>
        <v>Nguyễn Hữu Mạnh Cường</v>
      </c>
      <c r="E83" s="22" t="n">
        <v>11</v>
      </c>
      <c r="F83" s="22" t="s">
        <v>523</v>
      </c>
      <c r="G83" s="22" t="s">
        <v>476</v>
      </c>
      <c r="H83" s="22" t="s">
        <v>487</v>
      </c>
      <c r="I83" s="11" t="n">
        <v>260000</v>
      </c>
      <c r="J83" s="22" t="s">
        <v>474</v>
      </c>
      <c r="K83" s="20" t="n">
        <f aca="false">IF(I83="","",IF(H83="LAK",I83*TYGIA_LAK,I83))</f>
        <v>260000</v>
      </c>
      <c r="L83" s="22" t="s">
        <v>428</v>
      </c>
      <c r="M83" s="22"/>
    </row>
    <row r="84" customFormat="false" ht="15" hidden="false" customHeight="false" outlineLevel="0" collapsed="false">
      <c r="A84" s="24" t="n">
        <v>80</v>
      </c>
      <c r="B84" s="46" t="n">
        <v>46058</v>
      </c>
      <c r="C84" s="22" t="s">
        <v>229</v>
      </c>
      <c r="D84" s="24" t="str">
        <f aca="false">IF(C84="","",IFERROR(INDEX(NV_TEN,MATCH(C84,NV_MA,0)),"MÃ KHÔNG CÓ"))</f>
        <v>Nguyễn Hữu Mạnh Cường</v>
      </c>
      <c r="E84" s="22" t="n">
        <v>11</v>
      </c>
      <c r="F84" s="22" t="s">
        <v>524</v>
      </c>
      <c r="G84" s="22" t="s">
        <v>476</v>
      </c>
      <c r="H84" s="22" t="s">
        <v>487</v>
      </c>
      <c r="I84" s="11" t="n">
        <v>250000</v>
      </c>
      <c r="J84" s="22" t="s">
        <v>474</v>
      </c>
      <c r="K84" s="20" t="n">
        <f aca="false">IF(I84="","",IF(H84="LAK",I84*TYGIA_LAK,I84))</f>
        <v>250000</v>
      </c>
      <c r="L84" s="22" t="s">
        <v>428</v>
      </c>
      <c r="M84" s="22"/>
    </row>
    <row r="85" customFormat="false" ht="15" hidden="false" customHeight="false" outlineLevel="0" collapsed="false">
      <c r="A85" s="24" t="n">
        <v>81</v>
      </c>
      <c r="B85" s="46" t="n">
        <v>46061</v>
      </c>
      <c r="C85" s="22" t="s">
        <v>229</v>
      </c>
      <c r="D85" s="24" t="str">
        <f aca="false">IF(C85="","",IFERROR(INDEX(NV_TEN,MATCH(C85,NV_MA,0)),"MÃ KHÔNG CÓ"))</f>
        <v>Nguyễn Hữu Mạnh Cường</v>
      </c>
      <c r="E85" s="22" t="n">
        <v>11</v>
      </c>
      <c r="F85" s="22" t="s">
        <v>525</v>
      </c>
      <c r="G85" s="22" t="s">
        <v>476</v>
      </c>
      <c r="H85" s="22" t="s">
        <v>487</v>
      </c>
      <c r="I85" s="11" t="n">
        <v>200000</v>
      </c>
      <c r="J85" s="22" t="s">
        <v>474</v>
      </c>
      <c r="K85" s="20" t="n">
        <f aca="false">IF(I85="","",IF(H85="LAK",I85*TYGIA_LAK,I85))</f>
        <v>200000</v>
      </c>
      <c r="L85" s="22"/>
      <c r="M85" s="22"/>
    </row>
    <row r="86" customFormat="false" ht="15" hidden="false" customHeight="false" outlineLevel="0" collapsed="false">
      <c r="A86" s="24" t="n">
        <v>82</v>
      </c>
      <c r="B86" s="46" t="n">
        <v>46061</v>
      </c>
      <c r="C86" s="22" t="s">
        <v>229</v>
      </c>
      <c r="D86" s="24" t="str">
        <f aca="false">IF(C86="","",IFERROR(INDEX(NV_TEN,MATCH(C86,NV_MA,0)),"MÃ KHÔNG CÓ"))</f>
        <v>Nguyễn Hữu Mạnh Cường</v>
      </c>
      <c r="E86" s="22" t="n">
        <v>11</v>
      </c>
      <c r="F86" s="22" t="s">
        <v>526</v>
      </c>
      <c r="G86" s="22" t="s">
        <v>476</v>
      </c>
      <c r="H86" s="22" t="s">
        <v>487</v>
      </c>
      <c r="I86" s="11" t="n">
        <v>400000</v>
      </c>
      <c r="J86" s="22" t="s">
        <v>474</v>
      </c>
      <c r="K86" s="20" t="n">
        <f aca="false">IF(I86="","",IF(H86="LAK",I86*TYGIA_LAK,I86))</f>
        <v>400000</v>
      </c>
      <c r="L86" s="22"/>
      <c r="M86" s="22"/>
    </row>
    <row r="87" customFormat="false" ht="15" hidden="false" customHeight="false" outlineLevel="0" collapsed="false">
      <c r="A87" s="24" t="n">
        <v>83</v>
      </c>
      <c r="B87" s="46" t="n">
        <v>46061</v>
      </c>
      <c r="C87" s="22" t="s">
        <v>229</v>
      </c>
      <c r="D87" s="24" t="str">
        <f aca="false">IF(C87="","",IFERROR(INDEX(NV_TEN,MATCH(C87,NV_MA,0)),"MÃ KHÔNG CÓ"))</f>
        <v>Nguyễn Hữu Mạnh Cường</v>
      </c>
      <c r="E87" s="22" t="n">
        <v>11</v>
      </c>
      <c r="F87" s="22" t="s">
        <v>527</v>
      </c>
      <c r="G87" s="22" t="s">
        <v>476</v>
      </c>
      <c r="H87" s="22" t="s">
        <v>487</v>
      </c>
      <c r="I87" s="11" t="n">
        <v>400000</v>
      </c>
      <c r="J87" s="22" t="s">
        <v>474</v>
      </c>
      <c r="K87" s="20" t="n">
        <f aca="false">IF(I87="","",IF(H87="LAK",I87*TYGIA_LAK,I87))</f>
        <v>400000</v>
      </c>
      <c r="L87" s="22"/>
      <c r="M87" s="22"/>
    </row>
    <row r="88" customFormat="false" ht="15" hidden="false" customHeight="false" outlineLevel="0" collapsed="false">
      <c r="A88" s="24" t="n">
        <v>84</v>
      </c>
      <c r="B88" s="46" t="n">
        <v>46061</v>
      </c>
      <c r="C88" s="22" t="s">
        <v>229</v>
      </c>
      <c r="D88" s="24" t="str">
        <f aca="false">IF(C88="","",IFERROR(INDEX(NV_TEN,MATCH(C88,NV_MA,0)),"MÃ KHÔNG CÓ"))</f>
        <v>Nguyễn Hữu Mạnh Cường</v>
      </c>
      <c r="E88" s="22" t="n">
        <v>11</v>
      </c>
      <c r="F88" s="22" t="s">
        <v>528</v>
      </c>
      <c r="G88" s="22" t="s">
        <v>476</v>
      </c>
      <c r="H88" s="22" t="s">
        <v>487</v>
      </c>
      <c r="I88" s="11" t="n">
        <v>400000</v>
      </c>
      <c r="J88" s="22" t="s">
        <v>474</v>
      </c>
      <c r="K88" s="20" t="n">
        <f aca="false">IF(I88="","",IF(H88="LAK",I88*TYGIA_LAK,I88))</f>
        <v>400000</v>
      </c>
      <c r="L88" s="22"/>
      <c r="M88" s="22"/>
    </row>
    <row r="89" customFormat="false" ht="15" hidden="false" customHeight="false" outlineLevel="0" collapsed="false">
      <c r="A89" s="24" t="n">
        <v>85</v>
      </c>
      <c r="B89" s="46" t="n">
        <v>46061</v>
      </c>
      <c r="C89" s="22" t="s">
        <v>229</v>
      </c>
      <c r="D89" s="24" t="str">
        <f aca="false">IF(C89="","",IFERROR(INDEX(NV_TEN,MATCH(C89,NV_MA,0)),"MÃ KHÔNG CÓ"))</f>
        <v>Nguyễn Hữu Mạnh Cường</v>
      </c>
      <c r="E89" s="22" t="n">
        <v>11</v>
      </c>
      <c r="F89" s="22" t="s">
        <v>523</v>
      </c>
      <c r="G89" s="22" t="s">
        <v>476</v>
      </c>
      <c r="H89" s="22" t="s">
        <v>487</v>
      </c>
      <c r="I89" s="11" t="n">
        <v>150000</v>
      </c>
      <c r="J89" s="22" t="s">
        <v>474</v>
      </c>
      <c r="K89" s="20" t="n">
        <f aca="false">IF(I89="","",IF(H89="LAK",I89*TYGIA_LAK,I89))</f>
        <v>150000</v>
      </c>
      <c r="L89" s="22" t="s">
        <v>428</v>
      </c>
      <c r="M89" s="22"/>
    </row>
    <row r="90" customFormat="false" ht="15" hidden="false" customHeight="false" outlineLevel="0" collapsed="false">
      <c r="A90" s="24" t="n">
        <v>86</v>
      </c>
      <c r="B90" s="46" t="n">
        <v>46064</v>
      </c>
      <c r="C90" s="22" t="s">
        <v>229</v>
      </c>
      <c r="D90" s="24" t="str">
        <f aca="false">IF(C90="","",IFERROR(INDEX(NV_TEN,MATCH(C90,NV_MA,0)),"MÃ KHÔNG CÓ"))</f>
        <v>Nguyễn Hữu Mạnh Cường</v>
      </c>
      <c r="E90" s="22" t="n">
        <v>12</v>
      </c>
      <c r="F90" s="22" t="s">
        <v>489</v>
      </c>
      <c r="G90" s="22" t="s">
        <v>476</v>
      </c>
      <c r="H90" s="22" t="s">
        <v>487</v>
      </c>
      <c r="I90" s="11" t="n">
        <v>400000</v>
      </c>
      <c r="J90" s="22" t="s">
        <v>474</v>
      </c>
      <c r="K90" s="20" t="n">
        <f aca="false">IF(I90="","",IF(H90="LAK",I90*TYGIA_LAK,I90))</f>
        <v>400000</v>
      </c>
      <c r="L90" s="22"/>
      <c r="M90" s="22"/>
    </row>
    <row r="91" customFormat="false" ht="15" hidden="false" customHeight="false" outlineLevel="0" collapsed="false">
      <c r="A91" s="24" t="n">
        <v>87</v>
      </c>
      <c r="B91" s="46" t="n">
        <v>46065</v>
      </c>
      <c r="C91" s="22" t="s">
        <v>229</v>
      </c>
      <c r="D91" s="24" t="str">
        <f aca="false">IF(C91="","",IFERROR(INDEX(NV_TEN,MATCH(C91,NV_MA,0)),"MÃ KHÔNG CÓ"))</f>
        <v>Nguyễn Hữu Mạnh Cường</v>
      </c>
      <c r="E91" s="22" t="n">
        <v>13</v>
      </c>
      <c r="F91" s="22" t="s">
        <v>489</v>
      </c>
      <c r="G91" s="22" t="s">
        <v>476</v>
      </c>
      <c r="H91" s="22" t="s">
        <v>487</v>
      </c>
      <c r="I91" s="11" t="n">
        <v>400000</v>
      </c>
      <c r="J91" s="22" t="s">
        <v>474</v>
      </c>
      <c r="K91" s="20" t="n">
        <f aca="false">IF(I91="","",IF(H91="LAK",I91*TYGIA_LAK,I91))</f>
        <v>400000</v>
      </c>
      <c r="L91" s="22"/>
      <c r="M91" s="22"/>
    </row>
    <row r="92" customFormat="false" ht="15" hidden="false" customHeight="false" outlineLevel="0" collapsed="false">
      <c r="A92" s="24" t="n">
        <v>88</v>
      </c>
      <c r="B92" s="46" t="n">
        <v>46065</v>
      </c>
      <c r="C92" s="22" t="s">
        <v>229</v>
      </c>
      <c r="D92" s="24" t="str">
        <f aca="false">IF(C92="","",IFERROR(INDEX(NV_TEN,MATCH(C92,NV_MA,0)),"MÃ KHÔNG CÓ"))</f>
        <v>Nguyễn Hữu Mạnh Cường</v>
      </c>
      <c r="E92" s="22" t="n">
        <v>13</v>
      </c>
      <c r="F92" s="22" t="s">
        <v>529</v>
      </c>
      <c r="G92" s="22" t="s">
        <v>476</v>
      </c>
      <c r="H92" s="22" t="s">
        <v>487</v>
      </c>
      <c r="I92" s="11" t="n">
        <v>255000</v>
      </c>
      <c r="J92" s="22" t="s">
        <v>474</v>
      </c>
      <c r="K92" s="20" t="n">
        <f aca="false">IF(I92="","",IF(H92="LAK",I92*TYGIA_LAK,I92))</f>
        <v>255000</v>
      </c>
      <c r="L92" s="22" t="s">
        <v>428</v>
      </c>
      <c r="M92" s="22"/>
    </row>
    <row r="93" customFormat="false" ht="15" hidden="false" customHeight="false" outlineLevel="0" collapsed="false">
      <c r="A93" s="24" t="n">
        <v>89</v>
      </c>
      <c r="B93" s="46" t="n">
        <v>46068</v>
      </c>
      <c r="C93" s="22" t="s">
        <v>229</v>
      </c>
      <c r="D93" s="24" t="str">
        <f aca="false">IF(C93="","",IFERROR(INDEX(NV_TEN,MATCH(C93,NV_MA,0)),"MÃ KHÔNG CÓ"))</f>
        <v>Nguyễn Hữu Mạnh Cường</v>
      </c>
      <c r="E93" s="22" t="n">
        <v>14</v>
      </c>
      <c r="F93" s="22" t="s">
        <v>489</v>
      </c>
      <c r="G93" s="22" t="s">
        <v>476</v>
      </c>
      <c r="H93" s="22" t="s">
        <v>487</v>
      </c>
      <c r="I93" s="11" t="n">
        <v>400000</v>
      </c>
      <c r="J93" s="22" t="s">
        <v>474</v>
      </c>
      <c r="K93" s="20" t="n">
        <f aca="false">IF(I93="","",IF(H93="LAK",I93*TYGIA_LAK,I93))</f>
        <v>400000</v>
      </c>
      <c r="L93" s="22"/>
      <c r="M93" s="22"/>
    </row>
    <row r="94" customFormat="false" ht="15" hidden="false" customHeight="false" outlineLevel="0" collapsed="false">
      <c r="A94" s="24" t="n">
        <v>90</v>
      </c>
      <c r="B94" s="46" t="n">
        <v>46068</v>
      </c>
      <c r="C94" s="22" t="s">
        <v>229</v>
      </c>
      <c r="D94" s="24" t="str">
        <f aca="false">IF(C94="","",IFERROR(INDEX(NV_TEN,MATCH(C94,NV_MA,0)),"MÃ KHÔNG CÓ"))</f>
        <v>Nguyễn Hữu Mạnh Cường</v>
      </c>
      <c r="E94" s="22" t="n">
        <v>14</v>
      </c>
      <c r="F94" s="22" t="s">
        <v>530</v>
      </c>
      <c r="G94" s="22" t="s">
        <v>476</v>
      </c>
      <c r="H94" s="22" t="s">
        <v>487</v>
      </c>
      <c r="I94" s="11" t="n">
        <v>200000</v>
      </c>
      <c r="J94" s="22" t="s">
        <v>474</v>
      </c>
      <c r="K94" s="20" t="n">
        <f aca="false">IF(I94="","",IF(H94="LAK",I94*TYGIA_LAK,I94))</f>
        <v>200000</v>
      </c>
      <c r="L94" s="22" t="s">
        <v>428</v>
      </c>
      <c r="M94" s="22"/>
    </row>
    <row r="95" customFormat="false" ht="15" hidden="false" customHeight="false" outlineLevel="0" collapsed="false">
      <c r="A95" s="24" t="n">
        <v>91</v>
      </c>
      <c r="B95" s="46" t="n">
        <v>46078</v>
      </c>
      <c r="C95" s="22" t="s">
        <v>229</v>
      </c>
      <c r="D95" s="24" t="str">
        <f aca="false">IF(C95="","",IFERROR(INDEX(NV_TEN,MATCH(C95,NV_MA,0)),"MÃ KHÔNG CÓ"))</f>
        <v>Nguyễn Hữu Mạnh Cường</v>
      </c>
      <c r="E95" s="22" t="n">
        <v>15</v>
      </c>
      <c r="F95" s="22" t="s">
        <v>489</v>
      </c>
      <c r="G95" s="22" t="s">
        <v>476</v>
      </c>
      <c r="H95" s="22" t="s">
        <v>487</v>
      </c>
      <c r="I95" s="11" t="n">
        <v>400000</v>
      </c>
      <c r="J95" s="22" t="s">
        <v>474</v>
      </c>
      <c r="K95" s="20" t="n">
        <f aca="false">IF(I95="","",IF(H95="LAK",I95*TYGIA_LAK,I95))</f>
        <v>400000</v>
      </c>
      <c r="L95" s="22"/>
      <c r="M95" s="22"/>
    </row>
    <row r="96" customFormat="false" ht="15" hidden="false" customHeight="false" outlineLevel="0" collapsed="false">
      <c r="A96" s="24" t="n">
        <v>92</v>
      </c>
      <c r="B96" s="46" t="n">
        <v>46080</v>
      </c>
      <c r="C96" s="22" t="s">
        <v>229</v>
      </c>
      <c r="D96" s="24" t="str">
        <f aca="false">IF(C96="","",IFERROR(INDEX(NV_TEN,MATCH(C96,NV_MA,0)),"MÃ KHÔNG CÓ"))</f>
        <v>Nguyễn Hữu Mạnh Cường</v>
      </c>
      <c r="E96" s="22" t="n">
        <v>16</v>
      </c>
      <c r="F96" s="22" t="s">
        <v>531</v>
      </c>
      <c r="G96" s="22" t="s">
        <v>476</v>
      </c>
      <c r="H96" s="22" t="s">
        <v>487</v>
      </c>
      <c r="I96" s="11" t="n">
        <v>200000</v>
      </c>
      <c r="J96" s="22" t="s">
        <v>474</v>
      </c>
      <c r="K96" s="20" t="n">
        <f aca="false">IF(I96="","",IF(H96="LAK",I96*TYGIA_LAK,I96))</f>
        <v>200000</v>
      </c>
      <c r="L96" s="22"/>
      <c r="M96" s="22"/>
    </row>
    <row r="97" customFormat="false" ht="15" hidden="false" customHeight="false" outlineLevel="0" collapsed="false">
      <c r="A97" s="24" t="n">
        <v>93</v>
      </c>
      <c r="B97" s="46" t="n">
        <v>46080</v>
      </c>
      <c r="C97" s="22" t="s">
        <v>229</v>
      </c>
      <c r="D97" s="24" t="str">
        <f aca="false">IF(C97="","",IFERROR(INDEX(NV_TEN,MATCH(C97,NV_MA,0)),"MÃ KHÔNG CÓ"))</f>
        <v>Nguyễn Hữu Mạnh Cường</v>
      </c>
      <c r="E97" s="22" t="n">
        <v>16</v>
      </c>
      <c r="F97" s="22" t="s">
        <v>532</v>
      </c>
      <c r="G97" s="22" t="s">
        <v>476</v>
      </c>
      <c r="H97" s="22" t="s">
        <v>487</v>
      </c>
      <c r="I97" s="11" t="n">
        <v>200000</v>
      </c>
      <c r="J97" s="22" t="s">
        <v>474</v>
      </c>
      <c r="K97" s="20" t="n">
        <f aca="false">IF(I97="","",IF(H97="LAK",I97*TYGIA_LAK,I97))</f>
        <v>200000</v>
      </c>
      <c r="L97" s="22"/>
      <c r="M97" s="22"/>
    </row>
    <row r="98" customFormat="false" ht="15" hidden="false" customHeight="false" outlineLevel="0" collapsed="false">
      <c r="A98" s="24" t="n">
        <v>94</v>
      </c>
      <c r="B98" s="46" t="n">
        <v>46080</v>
      </c>
      <c r="C98" s="22" t="s">
        <v>229</v>
      </c>
      <c r="D98" s="24" t="str">
        <f aca="false">IF(C98="","",IFERROR(INDEX(NV_TEN,MATCH(C98,NV_MA,0)),"MÃ KHÔNG CÓ"))</f>
        <v>Nguyễn Hữu Mạnh Cường</v>
      </c>
      <c r="E98" s="22" t="n">
        <v>16</v>
      </c>
      <c r="F98" s="22" t="s">
        <v>533</v>
      </c>
      <c r="G98" s="22" t="s">
        <v>476</v>
      </c>
      <c r="H98" s="22" t="s">
        <v>487</v>
      </c>
      <c r="I98" s="11" t="n">
        <v>200000</v>
      </c>
      <c r="J98" s="22" t="s">
        <v>474</v>
      </c>
      <c r="K98" s="20" t="n">
        <f aca="false">IF(I98="","",IF(H98="LAK",I98*TYGIA_LAK,I98))</f>
        <v>200000</v>
      </c>
      <c r="L98" s="22"/>
      <c r="M98" s="22"/>
    </row>
    <row r="99" customFormat="false" ht="15" hidden="false" customHeight="false" outlineLevel="0" collapsed="false">
      <c r="A99" s="24" t="n">
        <v>95</v>
      </c>
      <c r="B99" s="46" t="n">
        <v>46080</v>
      </c>
      <c r="C99" s="22" t="s">
        <v>229</v>
      </c>
      <c r="D99" s="24" t="str">
        <f aca="false">IF(C99="","",IFERROR(INDEX(NV_TEN,MATCH(C99,NV_MA,0)),"MÃ KHÔNG CÓ"))</f>
        <v>Nguyễn Hữu Mạnh Cường</v>
      </c>
      <c r="E99" s="22" t="n">
        <v>16</v>
      </c>
      <c r="F99" s="22" t="s">
        <v>534</v>
      </c>
      <c r="G99" s="22" t="s">
        <v>476</v>
      </c>
      <c r="H99" s="22" t="s">
        <v>487</v>
      </c>
      <c r="I99" s="11" t="n">
        <v>200000</v>
      </c>
      <c r="J99" s="22" t="s">
        <v>474</v>
      </c>
      <c r="K99" s="20" t="n">
        <f aca="false">IF(I99="","",IF(H99="LAK",I99*TYGIA_LAK,I99))</f>
        <v>200000</v>
      </c>
      <c r="L99" s="22"/>
      <c r="M99" s="22"/>
    </row>
    <row r="100" customFormat="false" ht="15" hidden="false" customHeight="false" outlineLevel="0" collapsed="false">
      <c r="A100" s="24" t="n">
        <v>96</v>
      </c>
      <c r="B100" s="46" t="n">
        <v>46080</v>
      </c>
      <c r="C100" s="22" t="s">
        <v>229</v>
      </c>
      <c r="D100" s="24" t="str">
        <f aca="false">IF(C100="","",IFERROR(INDEX(NV_TEN,MATCH(C100,NV_MA,0)),"MÃ KHÔNG CÓ"))</f>
        <v>Nguyễn Hữu Mạnh Cường</v>
      </c>
      <c r="E100" s="22" t="n">
        <v>16</v>
      </c>
      <c r="F100" s="22" t="s">
        <v>535</v>
      </c>
      <c r="G100" s="22" t="s">
        <v>476</v>
      </c>
      <c r="H100" s="22" t="s">
        <v>487</v>
      </c>
      <c r="I100" s="11" t="n">
        <v>190000</v>
      </c>
      <c r="J100" s="22" t="s">
        <v>499</v>
      </c>
      <c r="K100" s="20" t="n">
        <f aca="false">IF(I100="","",IF(H100="LAK",I100*TYGIA_LAK,I100))</f>
        <v>190000</v>
      </c>
      <c r="L100" s="22" t="s">
        <v>428</v>
      </c>
      <c r="M100" s="22" t="s">
        <v>536</v>
      </c>
    </row>
    <row r="101" customFormat="false" ht="15" hidden="false" customHeight="false" outlineLevel="0" collapsed="false">
      <c r="A101" s="24" t="str">
        <f aca="false">IF(C101="","",ROW()-4)</f>
        <v/>
      </c>
      <c r="B101" s="46"/>
      <c r="C101" s="22"/>
      <c r="D101" s="24" t="str">
        <f aca="false">IF(C101="","",IFERROR(INDEX(NV_TEN,MATCH(C101,NV_MA,0)),"MÃ KHÔNG CÓ"))</f>
        <v/>
      </c>
      <c r="E101" s="22"/>
      <c r="F101" s="22"/>
      <c r="G101" s="22"/>
      <c r="H101" s="22"/>
      <c r="I101" s="11"/>
      <c r="J101" s="22"/>
      <c r="K101" s="20" t="str">
        <f aca="false">IF(I101="","",IF(H101="LAK",I101*TYGIA_LAK,I101))</f>
        <v/>
      </c>
      <c r="L101" s="22"/>
      <c r="M101" s="22"/>
    </row>
    <row r="102" customFormat="false" ht="15" hidden="false" customHeight="false" outlineLevel="0" collapsed="false">
      <c r="A102" s="24" t="str">
        <f aca="false">IF(C102="","",ROW()-4)</f>
        <v/>
      </c>
      <c r="B102" s="46"/>
      <c r="C102" s="22"/>
      <c r="D102" s="24" t="str">
        <f aca="false">IF(C102="","",IFERROR(INDEX(NV_TEN,MATCH(C102,NV_MA,0)),"MÃ KHÔNG CÓ"))</f>
        <v/>
      </c>
      <c r="E102" s="22"/>
      <c r="F102" s="22"/>
      <c r="G102" s="22"/>
      <c r="H102" s="22"/>
      <c r="I102" s="11"/>
      <c r="J102" s="22"/>
      <c r="K102" s="20" t="str">
        <f aca="false">IF(I102="","",IF(H102="LAK",I102*TYGIA_LAK,I102))</f>
        <v/>
      </c>
      <c r="L102" s="22"/>
      <c r="M102" s="22"/>
    </row>
    <row r="103" customFormat="false" ht="15" hidden="false" customHeight="false" outlineLevel="0" collapsed="false">
      <c r="A103" s="24" t="str">
        <f aca="false">IF(C103="","",ROW()-4)</f>
        <v/>
      </c>
      <c r="B103" s="46"/>
      <c r="C103" s="22"/>
      <c r="D103" s="24" t="str">
        <f aca="false">IF(C103="","",IFERROR(INDEX(NV_TEN,MATCH(C103,NV_MA,0)),"MÃ KHÔNG CÓ"))</f>
        <v/>
      </c>
      <c r="E103" s="22"/>
      <c r="F103" s="22"/>
      <c r="G103" s="22"/>
      <c r="H103" s="22"/>
      <c r="I103" s="11"/>
      <c r="J103" s="22"/>
      <c r="K103" s="20" t="str">
        <f aca="false">IF(I103="","",IF(H103="LAK",I103*TYGIA_LAK,I103))</f>
        <v/>
      </c>
      <c r="L103" s="22"/>
      <c r="M103" s="22"/>
    </row>
    <row r="104" customFormat="false" ht="15" hidden="false" customHeight="false" outlineLevel="0" collapsed="false">
      <c r="A104" s="24" t="str">
        <f aca="false">IF(C104="","",ROW()-4)</f>
        <v/>
      </c>
      <c r="B104" s="46"/>
      <c r="C104" s="22"/>
      <c r="D104" s="24" t="str">
        <f aca="false">IF(C104="","",IFERROR(INDEX(NV_TEN,MATCH(C104,NV_MA,0)),"MÃ KHÔNG CÓ"))</f>
        <v/>
      </c>
      <c r="E104" s="22"/>
      <c r="F104" s="22"/>
      <c r="G104" s="22"/>
      <c r="H104" s="22"/>
      <c r="I104" s="11"/>
      <c r="J104" s="22"/>
      <c r="K104" s="20" t="str">
        <f aca="false">IF(I104="","",IF(H104="LAK",I104*TYGIA_LAK,I104))</f>
        <v/>
      </c>
      <c r="L104" s="22"/>
      <c r="M104" s="22"/>
    </row>
    <row r="105" customFormat="false" ht="15" hidden="false" customHeight="false" outlineLevel="0" collapsed="false">
      <c r="A105" s="24" t="str">
        <f aca="false">IF(C105="","",ROW()-4)</f>
        <v/>
      </c>
      <c r="B105" s="46"/>
      <c r="C105" s="22"/>
      <c r="D105" s="24" t="str">
        <f aca="false">IF(C105="","",IFERROR(INDEX(NV_TEN,MATCH(C105,NV_MA,0)),"MÃ KHÔNG CÓ"))</f>
        <v/>
      </c>
      <c r="E105" s="22"/>
      <c r="F105" s="22"/>
      <c r="G105" s="22"/>
      <c r="H105" s="22"/>
      <c r="I105" s="11"/>
      <c r="J105" s="22"/>
      <c r="K105" s="20" t="str">
        <f aca="false">IF(I105="","",IF(H105="LAK",I105*TYGIA_LAK,I105))</f>
        <v/>
      </c>
      <c r="L105" s="22"/>
      <c r="M105" s="22"/>
    </row>
    <row r="106" customFormat="false" ht="15" hidden="false" customHeight="false" outlineLevel="0" collapsed="false">
      <c r="A106" s="24" t="str">
        <f aca="false">IF(C106="","",ROW()-4)</f>
        <v/>
      </c>
      <c r="B106" s="46"/>
      <c r="C106" s="22"/>
      <c r="D106" s="24" t="str">
        <f aca="false">IF(C106="","",IFERROR(INDEX(NV_TEN,MATCH(C106,NV_MA,0)),"MÃ KHÔNG CÓ"))</f>
        <v/>
      </c>
      <c r="E106" s="22"/>
      <c r="F106" s="22"/>
      <c r="G106" s="22"/>
      <c r="H106" s="22"/>
      <c r="I106" s="11"/>
      <c r="J106" s="22"/>
      <c r="K106" s="20" t="str">
        <f aca="false">IF(I106="","",IF(H106="LAK",I106*TYGIA_LAK,I106))</f>
        <v/>
      </c>
      <c r="L106" s="22"/>
      <c r="M106" s="22"/>
    </row>
    <row r="107" customFormat="false" ht="15" hidden="false" customHeight="false" outlineLevel="0" collapsed="false">
      <c r="A107" s="24" t="str">
        <f aca="false">IF(C107="","",ROW()-4)</f>
        <v/>
      </c>
      <c r="B107" s="46"/>
      <c r="C107" s="22"/>
      <c r="D107" s="24" t="str">
        <f aca="false">IF(C107="","",IFERROR(INDEX(NV_TEN,MATCH(C107,NV_MA,0)),"MÃ KHÔNG CÓ"))</f>
        <v/>
      </c>
      <c r="E107" s="22"/>
      <c r="F107" s="22"/>
      <c r="G107" s="22"/>
      <c r="H107" s="22"/>
      <c r="I107" s="11"/>
      <c r="J107" s="22"/>
      <c r="K107" s="20" t="str">
        <f aca="false">IF(I107="","",IF(H107="LAK",I107*TYGIA_LAK,I107))</f>
        <v/>
      </c>
      <c r="L107" s="22"/>
      <c r="M107" s="22"/>
    </row>
    <row r="108" customFormat="false" ht="15" hidden="false" customHeight="false" outlineLevel="0" collapsed="false">
      <c r="A108" s="24" t="str">
        <f aca="false">IF(C108="","",ROW()-4)</f>
        <v/>
      </c>
      <c r="B108" s="46"/>
      <c r="C108" s="22"/>
      <c r="D108" s="24" t="str">
        <f aca="false">IF(C108="","",IFERROR(INDEX(NV_TEN,MATCH(C108,NV_MA,0)),"MÃ KHÔNG CÓ"))</f>
        <v/>
      </c>
      <c r="E108" s="22"/>
      <c r="F108" s="22"/>
      <c r="G108" s="22"/>
      <c r="H108" s="22"/>
      <c r="I108" s="11"/>
      <c r="J108" s="22"/>
      <c r="K108" s="20" t="str">
        <f aca="false">IF(I108="","",IF(H108="LAK",I108*TYGIA_LAK,I108))</f>
        <v/>
      </c>
      <c r="L108" s="22"/>
      <c r="M108" s="22"/>
    </row>
    <row r="109" customFormat="false" ht="15" hidden="false" customHeight="false" outlineLevel="0" collapsed="false">
      <c r="A109" s="24" t="str">
        <f aca="false">IF(C109="","",ROW()-4)</f>
        <v/>
      </c>
      <c r="B109" s="46"/>
      <c r="C109" s="22"/>
      <c r="D109" s="24" t="str">
        <f aca="false">IF(C109="","",IFERROR(INDEX(NV_TEN,MATCH(C109,NV_MA,0)),"MÃ KHÔNG CÓ"))</f>
        <v/>
      </c>
      <c r="E109" s="22"/>
      <c r="F109" s="22"/>
      <c r="G109" s="22"/>
      <c r="H109" s="22"/>
      <c r="I109" s="11"/>
      <c r="J109" s="22"/>
      <c r="K109" s="20" t="str">
        <f aca="false">IF(I109="","",IF(H109="LAK",I109*TYGIA_LAK,I109))</f>
        <v/>
      </c>
      <c r="L109" s="22"/>
      <c r="M109" s="22"/>
    </row>
    <row r="110" customFormat="false" ht="15" hidden="false" customHeight="false" outlineLevel="0" collapsed="false">
      <c r="A110" s="24" t="str">
        <f aca="false">IF(C110="","",ROW()-4)</f>
        <v/>
      </c>
      <c r="B110" s="46"/>
      <c r="C110" s="22"/>
      <c r="D110" s="24" t="str">
        <f aca="false">IF(C110="","",IFERROR(INDEX(NV_TEN,MATCH(C110,NV_MA,0)),"MÃ KHÔNG CÓ"))</f>
        <v/>
      </c>
      <c r="E110" s="22"/>
      <c r="F110" s="22"/>
      <c r="G110" s="22"/>
      <c r="H110" s="22"/>
      <c r="I110" s="11"/>
      <c r="J110" s="22"/>
      <c r="K110" s="20" t="str">
        <f aca="false">IF(I110="","",IF(H110="LAK",I110*TYGIA_LAK,I110))</f>
        <v/>
      </c>
      <c r="L110" s="22"/>
      <c r="M110" s="22"/>
    </row>
    <row r="111" customFormat="false" ht="15" hidden="false" customHeight="false" outlineLevel="0" collapsed="false">
      <c r="A111" s="24" t="str">
        <f aca="false">IF(C111="","",ROW()-4)</f>
        <v/>
      </c>
      <c r="B111" s="46"/>
      <c r="C111" s="22"/>
      <c r="D111" s="24" t="str">
        <f aca="false">IF(C111="","",IFERROR(INDEX(NV_TEN,MATCH(C111,NV_MA,0)),"MÃ KHÔNG CÓ"))</f>
        <v/>
      </c>
      <c r="E111" s="22"/>
      <c r="F111" s="22"/>
      <c r="G111" s="22"/>
      <c r="H111" s="22"/>
      <c r="I111" s="11"/>
      <c r="J111" s="22"/>
      <c r="K111" s="20" t="str">
        <f aca="false">IF(I111="","",IF(H111="LAK",I111*TYGIA_LAK,I111))</f>
        <v/>
      </c>
      <c r="L111" s="22"/>
      <c r="M111" s="22"/>
    </row>
    <row r="112" customFormat="false" ht="15" hidden="false" customHeight="false" outlineLevel="0" collapsed="false">
      <c r="A112" s="24" t="str">
        <f aca="false">IF(C112="","",ROW()-4)</f>
        <v/>
      </c>
      <c r="B112" s="46"/>
      <c r="C112" s="22"/>
      <c r="D112" s="24" t="str">
        <f aca="false">IF(C112="","",IFERROR(INDEX(NV_TEN,MATCH(C112,NV_MA,0)),"MÃ KHÔNG CÓ"))</f>
        <v/>
      </c>
      <c r="E112" s="22"/>
      <c r="F112" s="22"/>
      <c r="G112" s="22"/>
      <c r="H112" s="22"/>
      <c r="I112" s="11"/>
      <c r="J112" s="22"/>
      <c r="K112" s="20" t="str">
        <f aca="false">IF(I112="","",IF(H112="LAK",I112*TYGIA_LAK,I112))</f>
        <v/>
      </c>
      <c r="L112" s="22"/>
      <c r="M112" s="22"/>
    </row>
    <row r="113" customFormat="false" ht="15" hidden="false" customHeight="false" outlineLevel="0" collapsed="false">
      <c r="A113" s="24" t="str">
        <f aca="false">IF(C113="","",ROW()-4)</f>
        <v/>
      </c>
      <c r="B113" s="46"/>
      <c r="C113" s="22"/>
      <c r="D113" s="24" t="str">
        <f aca="false">IF(C113="","",IFERROR(INDEX(NV_TEN,MATCH(C113,NV_MA,0)),"MÃ KHÔNG CÓ"))</f>
        <v/>
      </c>
      <c r="E113" s="22"/>
      <c r="F113" s="22"/>
      <c r="G113" s="22"/>
      <c r="H113" s="22"/>
      <c r="I113" s="11"/>
      <c r="J113" s="22"/>
      <c r="K113" s="20" t="str">
        <f aca="false">IF(I113="","",IF(H113="LAK",I113*TYGIA_LAK,I113))</f>
        <v/>
      </c>
      <c r="L113" s="22"/>
      <c r="M113" s="22"/>
    </row>
    <row r="114" customFormat="false" ht="15" hidden="false" customHeight="false" outlineLevel="0" collapsed="false">
      <c r="A114" s="24" t="str">
        <f aca="false">IF(C114="","",ROW()-4)</f>
        <v/>
      </c>
      <c r="B114" s="46"/>
      <c r="C114" s="22"/>
      <c r="D114" s="24" t="str">
        <f aca="false">IF(C114="","",IFERROR(INDEX(NV_TEN,MATCH(C114,NV_MA,0)),"MÃ KHÔNG CÓ"))</f>
        <v/>
      </c>
      <c r="E114" s="22"/>
      <c r="F114" s="22"/>
      <c r="G114" s="22"/>
      <c r="H114" s="22"/>
      <c r="I114" s="11"/>
      <c r="J114" s="22"/>
      <c r="K114" s="20" t="str">
        <f aca="false">IF(I114="","",IF(H114="LAK",I114*TYGIA_LAK,I114))</f>
        <v/>
      </c>
      <c r="L114" s="22"/>
      <c r="M114" s="22"/>
    </row>
    <row r="115" customFormat="false" ht="15" hidden="false" customHeight="false" outlineLevel="0" collapsed="false">
      <c r="A115" s="24" t="str">
        <f aca="false">IF(C115="","",ROW()-4)</f>
        <v/>
      </c>
      <c r="B115" s="46"/>
      <c r="C115" s="22"/>
      <c r="D115" s="24" t="str">
        <f aca="false">IF(C115="","",IFERROR(INDEX(NV_TEN,MATCH(C115,NV_MA,0)),"MÃ KHÔNG CÓ"))</f>
        <v/>
      </c>
      <c r="E115" s="22"/>
      <c r="F115" s="22"/>
      <c r="G115" s="22"/>
      <c r="H115" s="22"/>
      <c r="I115" s="11"/>
      <c r="J115" s="22"/>
      <c r="K115" s="20" t="str">
        <f aca="false">IF(I115="","",IF(H115="LAK",I115*TYGIA_LAK,I115))</f>
        <v/>
      </c>
      <c r="L115" s="22"/>
      <c r="M115" s="22"/>
    </row>
    <row r="116" customFormat="false" ht="15" hidden="false" customHeight="false" outlineLevel="0" collapsed="false">
      <c r="A116" s="24" t="str">
        <f aca="false">IF(C116="","",ROW()-4)</f>
        <v/>
      </c>
      <c r="B116" s="46"/>
      <c r="C116" s="22"/>
      <c r="D116" s="24" t="str">
        <f aca="false">IF(C116="","",IFERROR(INDEX(NV_TEN,MATCH(C116,NV_MA,0)),"MÃ KHÔNG CÓ"))</f>
        <v/>
      </c>
      <c r="E116" s="22"/>
      <c r="F116" s="22"/>
      <c r="G116" s="22"/>
      <c r="H116" s="22"/>
      <c r="I116" s="11"/>
      <c r="J116" s="22"/>
      <c r="K116" s="20" t="str">
        <f aca="false">IF(I116="","",IF(H116="LAK",I116*TYGIA_LAK,I116))</f>
        <v/>
      </c>
      <c r="L116" s="22"/>
      <c r="M116" s="22"/>
    </row>
    <row r="117" customFormat="false" ht="15" hidden="false" customHeight="false" outlineLevel="0" collapsed="false">
      <c r="A117" s="24" t="str">
        <f aca="false">IF(C117="","",ROW()-4)</f>
        <v/>
      </c>
      <c r="B117" s="46"/>
      <c r="C117" s="22"/>
      <c r="D117" s="24" t="str">
        <f aca="false">IF(C117="","",IFERROR(INDEX(NV_TEN,MATCH(C117,NV_MA,0)),"MÃ KHÔNG CÓ"))</f>
        <v/>
      </c>
      <c r="E117" s="22"/>
      <c r="F117" s="22"/>
      <c r="G117" s="22"/>
      <c r="H117" s="22"/>
      <c r="I117" s="11"/>
      <c r="J117" s="22"/>
      <c r="K117" s="20" t="str">
        <f aca="false">IF(I117="","",IF(H117="LAK",I117*TYGIA_LAK,I117))</f>
        <v/>
      </c>
      <c r="L117" s="22"/>
      <c r="M117" s="22"/>
    </row>
    <row r="118" customFormat="false" ht="15" hidden="false" customHeight="false" outlineLevel="0" collapsed="false">
      <c r="A118" s="24" t="str">
        <f aca="false">IF(C118="","",ROW()-4)</f>
        <v/>
      </c>
      <c r="B118" s="46"/>
      <c r="C118" s="22"/>
      <c r="D118" s="24" t="str">
        <f aca="false">IF(C118="","",IFERROR(INDEX(NV_TEN,MATCH(C118,NV_MA,0)),"MÃ KHÔNG CÓ"))</f>
        <v/>
      </c>
      <c r="E118" s="22"/>
      <c r="F118" s="22"/>
      <c r="G118" s="22"/>
      <c r="H118" s="22"/>
      <c r="I118" s="11"/>
      <c r="J118" s="22"/>
      <c r="K118" s="20" t="str">
        <f aca="false">IF(I118="","",IF(H118="LAK",I118*TYGIA_LAK,I118))</f>
        <v/>
      </c>
      <c r="L118" s="22"/>
      <c r="M118" s="22"/>
    </row>
    <row r="119" customFormat="false" ht="15" hidden="false" customHeight="false" outlineLevel="0" collapsed="false">
      <c r="A119" s="24" t="str">
        <f aca="false">IF(C119="","",ROW()-4)</f>
        <v/>
      </c>
      <c r="B119" s="46"/>
      <c r="C119" s="22"/>
      <c r="D119" s="24" t="str">
        <f aca="false">IF(C119="","",IFERROR(INDEX(NV_TEN,MATCH(C119,NV_MA,0)),"MÃ KHÔNG CÓ"))</f>
        <v/>
      </c>
      <c r="E119" s="22"/>
      <c r="F119" s="22"/>
      <c r="G119" s="22"/>
      <c r="H119" s="22"/>
      <c r="I119" s="11"/>
      <c r="J119" s="22"/>
      <c r="K119" s="20" t="str">
        <f aca="false">IF(I119="","",IF(H119="LAK",I119*TYGIA_LAK,I119))</f>
        <v/>
      </c>
      <c r="L119" s="22"/>
      <c r="M119" s="22"/>
    </row>
    <row r="120" customFormat="false" ht="15" hidden="false" customHeight="false" outlineLevel="0" collapsed="false">
      <c r="A120" s="24" t="str">
        <f aca="false">IF(C120="","",ROW()-4)</f>
        <v/>
      </c>
      <c r="B120" s="46"/>
      <c r="C120" s="22"/>
      <c r="D120" s="24" t="str">
        <f aca="false">IF(C120="","",IFERROR(INDEX(NV_TEN,MATCH(C120,NV_MA,0)),"MÃ KHÔNG CÓ"))</f>
        <v/>
      </c>
      <c r="E120" s="22"/>
      <c r="F120" s="22"/>
      <c r="G120" s="22"/>
      <c r="H120" s="22"/>
      <c r="I120" s="11"/>
      <c r="J120" s="22"/>
      <c r="K120" s="20" t="str">
        <f aca="false">IF(I120="","",IF(H120="LAK",I120*TYGIA_LAK,I120))</f>
        <v/>
      </c>
      <c r="L120" s="22"/>
      <c r="M120" s="22"/>
    </row>
    <row r="121" customFormat="false" ht="15" hidden="false" customHeight="false" outlineLevel="0" collapsed="false">
      <c r="A121" s="24" t="str">
        <f aca="false">IF(C121="","",ROW()-4)</f>
        <v/>
      </c>
      <c r="B121" s="46"/>
      <c r="C121" s="22"/>
      <c r="D121" s="24" t="str">
        <f aca="false">IF(C121="","",IFERROR(INDEX(NV_TEN,MATCH(C121,NV_MA,0)),"MÃ KHÔNG CÓ"))</f>
        <v/>
      </c>
      <c r="E121" s="22"/>
      <c r="F121" s="22"/>
      <c r="G121" s="22"/>
      <c r="H121" s="22"/>
      <c r="I121" s="11"/>
      <c r="J121" s="22"/>
      <c r="K121" s="20" t="str">
        <f aca="false">IF(I121="","",IF(H121="LAK",I121*TYGIA_LAK,I121))</f>
        <v/>
      </c>
      <c r="L121" s="22"/>
      <c r="M121" s="22"/>
    </row>
    <row r="122" customFormat="false" ht="15" hidden="false" customHeight="false" outlineLevel="0" collapsed="false">
      <c r="A122" s="24" t="str">
        <f aca="false">IF(C122="","",ROW()-4)</f>
        <v/>
      </c>
      <c r="B122" s="46"/>
      <c r="C122" s="22"/>
      <c r="D122" s="24" t="str">
        <f aca="false">IF(C122="","",IFERROR(INDEX(NV_TEN,MATCH(C122,NV_MA,0)),"MÃ KHÔNG CÓ"))</f>
        <v/>
      </c>
      <c r="E122" s="22"/>
      <c r="F122" s="22"/>
      <c r="G122" s="22"/>
      <c r="H122" s="22"/>
      <c r="I122" s="11"/>
      <c r="J122" s="22"/>
      <c r="K122" s="20" t="str">
        <f aca="false">IF(I122="","",IF(H122="LAK",I122*TYGIA_LAK,I122))</f>
        <v/>
      </c>
      <c r="L122" s="22"/>
      <c r="M122" s="22"/>
    </row>
    <row r="123" customFormat="false" ht="15" hidden="false" customHeight="false" outlineLevel="0" collapsed="false">
      <c r="A123" s="24" t="str">
        <f aca="false">IF(C123="","",ROW()-4)</f>
        <v/>
      </c>
      <c r="B123" s="46"/>
      <c r="C123" s="22"/>
      <c r="D123" s="24" t="str">
        <f aca="false">IF(C123="","",IFERROR(INDEX(NV_TEN,MATCH(C123,NV_MA,0)),"MÃ KHÔNG CÓ"))</f>
        <v/>
      </c>
      <c r="E123" s="22"/>
      <c r="F123" s="22"/>
      <c r="G123" s="22"/>
      <c r="H123" s="22"/>
      <c r="I123" s="11"/>
      <c r="J123" s="22"/>
      <c r="K123" s="20" t="str">
        <f aca="false">IF(I123="","",IF(H123="LAK",I123*TYGIA_LAK,I123))</f>
        <v/>
      </c>
      <c r="L123" s="22"/>
      <c r="M123" s="22"/>
    </row>
    <row r="124" customFormat="false" ht="15" hidden="false" customHeight="false" outlineLevel="0" collapsed="false">
      <c r="A124" s="24" t="str">
        <f aca="false">IF(C124="","",ROW()-4)</f>
        <v/>
      </c>
      <c r="B124" s="46"/>
      <c r="C124" s="22"/>
      <c r="D124" s="24" t="str">
        <f aca="false">IF(C124="","",IFERROR(INDEX(NV_TEN,MATCH(C124,NV_MA,0)),"MÃ KHÔNG CÓ"))</f>
        <v/>
      </c>
      <c r="E124" s="22"/>
      <c r="F124" s="22"/>
      <c r="G124" s="22"/>
      <c r="H124" s="22"/>
      <c r="I124" s="11"/>
      <c r="J124" s="22"/>
      <c r="K124" s="20" t="str">
        <f aca="false">IF(I124="","",IF(H124="LAK",I124*TYGIA_LAK,I124))</f>
        <v/>
      </c>
      <c r="L124" s="22"/>
      <c r="M124" s="22"/>
    </row>
    <row r="125" customFormat="false" ht="15" hidden="false" customHeight="false" outlineLevel="0" collapsed="false">
      <c r="A125" s="24" t="str">
        <f aca="false">IF(C125="","",ROW()-4)</f>
        <v/>
      </c>
      <c r="B125" s="46"/>
      <c r="C125" s="22"/>
      <c r="D125" s="24" t="str">
        <f aca="false">IF(C125="","",IFERROR(INDEX(NV_TEN,MATCH(C125,NV_MA,0)),"MÃ KHÔNG CÓ"))</f>
        <v/>
      </c>
      <c r="E125" s="22"/>
      <c r="F125" s="22"/>
      <c r="G125" s="22"/>
      <c r="H125" s="22"/>
      <c r="I125" s="11"/>
      <c r="J125" s="22"/>
      <c r="K125" s="20" t="str">
        <f aca="false">IF(I125="","",IF(H125="LAK",I125*TYGIA_LAK,I125))</f>
        <v/>
      </c>
      <c r="L125" s="22"/>
      <c r="M125" s="22"/>
    </row>
    <row r="126" customFormat="false" ht="15" hidden="false" customHeight="false" outlineLevel="0" collapsed="false">
      <c r="A126" s="24" t="str">
        <f aca="false">IF(C126="","",ROW()-4)</f>
        <v/>
      </c>
      <c r="B126" s="46"/>
      <c r="C126" s="22"/>
      <c r="D126" s="24" t="str">
        <f aca="false">IF(C126="","",IFERROR(INDEX(NV_TEN,MATCH(C126,NV_MA,0)),"MÃ KHÔNG CÓ"))</f>
        <v/>
      </c>
      <c r="E126" s="22"/>
      <c r="F126" s="22"/>
      <c r="G126" s="22"/>
      <c r="H126" s="22"/>
      <c r="I126" s="11"/>
      <c r="J126" s="22"/>
      <c r="K126" s="20" t="str">
        <f aca="false">IF(I126="","",IF(H126="LAK",I126*TYGIA_LAK,I126))</f>
        <v/>
      </c>
      <c r="L126" s="22"/>
      <c r="M126" s="22"/>
    </row>
    <row r="127" customFormat="false" ht="15" hidden="false" customHeight="false" outlineLevel="0" collapsed="false">
      <c r="A127" s="24" t="str">
        <f aca="false">IF(C127="","",ROW()-4)</f>
        <v/>
      </c>
      <c r="B127" s="46"/>
      <c r="C127" s="22"/>
      <c r="D127" s="24" t="str">
        <f aca="false">IF(C127="","",IFERROR(INDEX(NV_TEN,MATCH(C127,NV_MA,0)),"MÃ KHÔNG CÓ"))</f>
        <v/>
      </c>
      <c r="E127" s="22"/>
      <c r="F127" s="22"/>
      <c r="G127" s="22"/>
      <c r="H127" s="22"/>
      <c r="I127" s="11"/>
      <c r="J127" s="22"/>
      <c r="K127" s="20" t="str">
        <f aca="false">IF(I127="","",IF(H127="LAK",I127*TYGIA_LAK,I127))</f>
        <v/>
      </c>
      <c r="L127" s="22"/>
      <c r="M127" s="22"/>
    </row>
    <row r="128" customFormat="false" ht="15" hidden="false" customHeight="false" outlineLevel="0" collapsed="false">
      <c r="A128" s="24" t="str">
        <f aca="false">IF(C128="","",ROW()-4)</f>
        <v/>
      </c>
      <c r="B128" s="46"/>
      <c r="C128" s="22"/>
      <c r="D128" s="24" t="str">
        <f aca="false">IF(C128="","",IFERROR(INDEX(NV_TEN,MATCH(C128,NV_MA,0)),"MÃ KHÔNG CÓ"))</f>
        <v/>
      </c>
      <c r="E128" s="22"/>
      <c r="F128" s="22"/>
      <c r="G128" s="22"/>
      <c r="H128" s="22"/>
      <c r="I128" s="11"/>
      <c r="J128" s="22"/>
      <c r="K128" s="20" t="str">
        <f aca="false">IF(I128="","",IF(H128="LAK",I128*TYGIA_LAK,I128))</f>
        <v/>
      </c>
      <c r="L128" s="22"/>
      <c r="M128" s="22"/>
    </row>
    <row r="129" customFormat="false" ht="15" hidden="false" customHeight="false" outlineLevel="0" collapsed="false">
      <c r="A129" s="24" t="str">
        <f aca="false">IF(C129="","",ROW()-4)</f>
        <v/>
      </c>
      <c r="B129" s="46"/>
      <c r="C129" s="22"/>
      <c r="D129" s="24" t="str">
        <f aca="false">IF(C129="","",IFERROR(INDEX(NV_TEN,MATCH(C129,NV_MA,0)),"MÃ KHÔNG CÓ"))</f>
        <v/>
      </c>
      <c r="E129" s="22"/>
      <c r="F129" s="22"/>
      <c r="G129" s="22"/>
      <c r="H129" s="22"/>
      <c r="I129" s="11"/>
      <c r="J129" s="22"/>
      <c r="K129" s="20" t="str">
        <f aca="false">IF(I129="","",IF(H129="LAK",I129*TYGIA_LAK,I129))</f>
        <v/>
      </c>
      <c r="L129" s="22"/>
      <c r="M129" s="22"/>
    </row>
    <row r="130" customFormat="false" ht="15" hidden="false" customHeight="false" outlineLevel="0" collapsed="false">
      <c r="A130" s="24" t="str">
        <f aca="false">IF(C130="","",ROW()-4)</f>
        <v/>
      </c>
      <c r="B130" s="46"/>
      <c r="C130" s="22"/>
      <c r="D130" s="24" t="str">
        <f aca="false">IF(C130="","",IFERROR(INDEX(NV_TEN,MATCH(C130,NV_MA,0)),"MÃ KHÔNG CÓ"))</f>
        <v/>
      </c>
      <c r="E130" s="22"/>
      <c r="F130" s="22"/>
      <c r="G130" s="22"/>
      <c r="H130" s="22"/>
      <c r="I130" s="11"/>
      <c r="J130" s="22"/>
      <c r="K130" s="20" t="str">
        <f aca="false">IF(I130="","",IF(H130="LAK",I130*TYGIA_LAK,I130))</f>
        <v/>
      </c>
      <c r="L130" s="22"/>
      <c r="M130" s="22"/>
    </row>
    <row r="131" customFormat="false" ht="15" hidden="false" customHeight="false" outlineLevel="0" collapsed="false">
      <c r="A131" s="24" t="str">
        <f aca="false">IF(C131="","",ROW()-4)</f>
        <v/>
      </c>
      <c r="B131" s="46"/>
      <c r="C131" s="22"/>
      <c r="D131" s="24" t="str">
        <f aca="false">IF(C131="","",IFERROR(INDEX(NV_TEN,MATCH(C131,NV_MA,0)),"MÃ KHÔNG CÓ"))</f>
        <v/>
      </c>
      <c r="E131" s="22"/>
      <c r="F131" s="22"/>
      <c r="G131" s="22"/>
      <c r="H131" s="22"/>
      <c r="I131" s="11"/>
      <c r="J131" s="22"/>
      <c r="K131" s="20" t="str">
        <f aca="false">IF(I131="","",IF(H131="LAK",I131*TYGIA_LAK,I131))</f>
        <v/>
      </c>
      <c r="L131" s="22"/>
      <c r="M131" s="22"/>
    </row>
    <row r="132" customFormat="false" ht="15" hidden="false" customHeight="false" outlineLevel="0" collapsed="false">
      <c r="A132" s="24" t="str">
        <f aca="false">IF(C132="","",ROW()-4)</f>
        <v/>
      </c>
      <c r="B132" s="46"/>
      <c r="C132" s="22"/>
      <c r="D132" s="24" t="str">
        <f aca="false">IF(C132="","",IFERROR(INDEX(NV_TEN,MATCH(C132,NV_MA,0)),"MÃ KHÔNG CÓ"))</f>
        <v/>
      </c>
      <c r="E132" s="22"/>
      <c r="F132" s="22"/>
      <c r="G132" s="22"/>
      <c r="H132" s="22"/>
      <c r="I132" s="11"/>
      <c r="J132" s="22"/>
      <c r="K132" s="20" t="str">
        <f aca="false">IF(I132="","",IF(H132="LAK",I132*TYGIA_LAK,I132))</f>
        <v/>
      </c>
      <c r="L132" s="22"/>
      <c r="M132" s="22"/>
    </row>
    <row r="133" customFormat="false" ht="15" hidden="false" customHeight="false" outlineLevel="0" collapsed="false">
      <c r="A133" s="24" t="str">
        <f aca="false">IF(C133="","",ROW()-4)</f>
        <v/>
      </c>
      <c r="B133" s="46"/>
      <c r="C133" s="22"/>
      <c r="D133" s="24" t="str">
        <f aca="false">IF(C133="","",IFERROR(INDEX(NV_TEN,MATCH(C133,NV_MA,0)),"MÃ KHÔNG CÓ"))</f>
        <v/>
      </c>
      <c r="E133" s="22"/>
      <c r="F133" s="22"/>
      <c r="G133" s="22"/>
      <c r="H133" s="22"/>
      <c r="I133" s="11"/>
      <c r="J133" s="22"/>
      <c r="K133" s="20" t="str">
        <f aca="false">IF(I133="","",IF(H133="LAK",I133*TYGIA_LAK,I133))</f>
        <v/>
      </c>
      <c r="L133" s="22"/>
      <c r="M133" s="22"/>
    </row>
    <row r="134" customFormat="false" ht="15" hidden="false" customHeight="false" outlineLevel="0" collapsed="false">
      <c r="A134" s="24" t="str">
        <f aca="false">IF(C134="","",ROW()-4)</f>
        <v/>
      </c>
      <c r="B134" s="46"/>
      <c r="C134" s="22"/>
      <c r="D134" s="24" t="str">
        <f aca="false">IF(C134="","",IFERROR(INDEX(NV_TEN,MATCH(C134,NV_MA,0)),"MÃ KHÔNG CÓ"))</f>
        <v/>
      </c>
      <c r="E134" s="22"/>
      <c r="F134" s="22"/>
      <c r="G134" s="22"/>
      <c r="H134" s="22"/>
      <c r="I134" s="11"/>
      <c r="J134" s="22"/>
      <c r="K134" s="20" t="str">
        <f aca="false">IF(I134="","",IF(H134="LAK",I134*TYGIA_LAK,I134))</f>
        <v/>
      </c>
      <c r="L134" s="22"/>
      <c r="M134" s="22"/>
    </row>
    <row r="135" customFormat="false" ht="15" hidden="false" customHeight="false" outlineLevel="0" collapsed="false">
      <c r="A135" s="24" t="str">
        <f aca="false">IF(C135="","",ROW()-4)</f>
        <v/>
      </c>
      <c r="B135" s="46"/>
      <c r="C135" s="22"/>
      <c r="D135" s="24" t="str">
        <f aca="false">IF(C135="","",IFERROR(INDEX(NV_TEN,MATCH(C135,NV_MA,0)),"MÃ KHÔNG CÓ"))</f>
        <v/>
      </c>
      <c r="E135" s="22"/>
      <c r="F135" s="22"/>
      <c r="G135" s="22"/>
      <c r="H135" s="22"/>
      <c r="I135" s="11"/>
      <c r="J135" s="22"/>
      <c r="K135" s="20" t="str">
        <f aca="false">IF(I135="","",IF(H135="LAK",I135*TYGIA_LAK,I135))</f>
        <v/>
      </c>
      <c r="L135" s="22"/>
      <c r="M135" s="22"/>
    </row>
    <row r="136" customFormat="false" ht="15" hidden="false" customHeight="false" outlineLevel="0" collapsed="false">
      <c r="A136" s="24" t="str">
        <f aca="false">IF(C136="","",ROW()-4)</f>
        <v/>
      </c>
      <c r="B136" s="46"/>
      <c r="C136" s="22"/>
      <c r="D136" s="24" t="str">
        <f aca="false">IF(C136="","",IFERROR(INDEX(NV_TEN,MATCH(C136,NV_MA,0)),"MÃ KHÔNG CÓ"))</f>
        <v/>
      </c>
      <c r="E136" s="22"/>
      <c r="F136" s="22"/>
      <c r="G136" s="22"/>
      <c r="H136" s="22"/>
      <c r="I136" s="11"/>
      <c r="J136" s="22"/>
      <c r="K136" s="20" t="str">
        <f aca="false">IF(I136="","",IF(H136="LAK",I136*TYGIA_LAK,I136))</f>
        <v/>
      </c>
      <c r="L136" s="22"/>
      <c r="M136" s="22"/>
    </row>
    <row r="137" customFormat="false" ht="15" hidden="false" customHeight="false" outlineLevel="0" collapsed="false">
      <c r="A137" s="24" t="str">
        <f aca="false">IF(C137="","",ROW()-4)</f>
        <v/>
      </c>
      <c r="B137" s="46"/>
      <c r="C137" s="22"/>
      <c r="D137" s="24" t="str">
        <f aca="false">IF(C137="","",IFERROR(INDEX(NV_TEN,MATCH(C137,NV_MA,0)),"MÃ KHÔNG CÓ"))</f>
        <v/>
      </c>
      <c r="E137" s="22"/>
      <c r="F137" s="22"/>
      <c r="G137" s="22"/>
      <c r="H137" s="22"/>
      <c r="I137" s="11"/>
      <c r="J137" s="22"/>
      <c r="K137" s="20" t="str">
        <f aca="false">IF(I137="","",IF(H137="LAK",I137*TYGIA_LAK,I137))</f>
        <v/>
      </c>
      <c r="L137" s="22"/>
      <c r="M137" s="22"/>
    </row>
    <row r="138" customFormat="false" ht="15" hidden="false" customHeight="false" outlineLevel="0" collapsed="false">
      <c r="A138" s="24" t="str">
        <f aca="false">IF(C138="","",ROW()-4)</f>
        <v/>
      </c>
      <c r="B138" s="46"/>
      <c r="C138" s="22"/>
      <c r="D138" s="24" t="str">
        <f aca="false">IF(C138="","",IFERROR(INDEX(NV_TEN,MATCH(C138,NV_MA,0)),"MÃ KHÔNG CÓ"))</f>
        <v/>
      </c>
      <c r="E138" s="22"/>
      <c r="F138" s="22"/>
      <c r="G138" s="22"/>
      <c r="H138" s="22"/>
      <c r="I138" s="11"/>
      <c r="J138" s="22"/>
      <c r="K138" s="20" t="str">
        <f aca="false">IF(I138="","",IF(H138="LAK",I138*TYGIA_LAK,I138))</f>
        <v/>
      </c>
      <c r="L138" s="22"/>
      <c r="M138" s="22"/>
    </row>
    <row r="139" customFormat="false" ht="15" hidden="false" customHeight="false" outlineLevel="0" collapsed="false">
      <c r="A139" s="24" t="str">
        <f aca="false">IF(C139="","",ROW()-4)</f>
        <v/>
      </c>
      <c r="B139" s="46"/>
      <c r="C139" s="22"/>
      <c r="D139" s="24" t="str">
        <f aca="false">IF(C139="","",IFERROR(INDEX(NV_TEN,MATCH(C139,NV_MA,0)),"MÃ KHÔNG CÓ"))</f>
        <v/>
      </c>
      <c r="E139" s="22"/>
      <c r="F139" s="22"/>
      <c r="G139" s="22"/>
      <c r="H139" s="22"/>
      <c r="I139" s="11"/>
      <c r="J139" s="22"/>
      <c r="K139" s="20" t="str">
        <f aca="false">IF(I139="","",IF(H139="LAK",I139*TYGIA_LAK,I139))</f>
        <v/>
      </c>
      <c r="L139" s="22"/>
      <c r="M139" s="22"/>
    </row>
    <row r="140" customFormat="false" ht="15" hidden="false" customHeight="false" outlineLevel="0" collapsed="false">
      <c r="A140" s="24" t="str">
        <f aca="false">IF(C140="","",ROW()-4)</f>
        <v/>
      </c>
      <c r="B140" s="46"/>
      <c r="C140" s="22"/>
      <c r="D140" s="24" t="str">
        <f aca="false">IF(C140="","",IFERROR(INDEX(NV_TEN,MATCH(C140,NV_MA,0)),"MÃ KHÔNG CÓ"))</f>
        <v/>
      </c>
      <c r="E140" s="22"/>
      <c r="F140" s="22"/>
      <c r="G140" s="22"/>
      <c r="H140" s="22"/>
      <c r="I140" s="11"/>
      <c r="J140" s="22"/>
      <c r="K140" s="20" t="str">
        <f aca="false">IF(I140="","",IF(H140="LAK",I140*TYGIA_LAK,I140))</f>
        <v/>
      </c>
      <c r="L140" s="22"/>
      <c r="M140" s="22"/>
    </row>
    <row r="141" customFormat="false" ht="15" hidden="false" customHeight="false" outlineLevel="0" collapsed="false">
      <c r="A141" s="24" t="str">
        <f aca="false">IF(C141="","",ROW()-4)</f>
        <v/>
      </c>
      <c r="B141" s="46"/>
      <c r="C141" s="22"/>
      <c r="D141" s="24" t="str">
        <f aca="false">IF(C141="","",IFERROR(INDEX(NV_TEN,MATCH(C141,NV_MA,0)),"MÃ KHÔNG CÓ"))</f>
        <v/>
      </c>
      <c r="E141" s="22"/>
      <c r="F141" s="22"/>
      <c r="G141" s="22"/>
      <c r="H141" s="22"/>
      <c r="I141" s="11"/>
      <c r="J141" s="22"/>
      <c r="K141" s="20" t="str">
        <f aca="false">IF(I141="","",IF(H141="LAK",I141*TYGIA_LAK,I141))</f>
        <v/>
      </c>
      <c r="L141" s="22"/>
      <c r="M141" s="22"/>
    </row>
    <row r="142" customFormat="false" ht="15" hidden="false" customHeight="false" outlineLevel="0" collapsed="false">
      <c r="A142" s="24" t="str">
        <f aca="false">IF(C142="","",ROW()-4)</f>
        <v/>
      </c>
      <c r="B142" s="46"/>
      <c r="C142" s="22"/>
      <c r="D142" s="24" t="str">
        <f aca="false">IF(C142="","",IFERROR(INDEX(NV_TEN,MATCH(C142,NV_MA,0)),"MÃ KHÔNG CÓ"))</f>
        <v/>
      </c>
      <c r="E142" s="22"/>
      <c r="F142" s="22"/>
      <c r="G142" s="22"/>
      <c r="H142" s="22"/>
      <c r="I142" s="11"/>
      <c r="J142" s="22"/>
      <c r="K142" s="20" t="str">
        <f aca="false">IF(I142="","",IF(H142="LAK",I142*TYGIA_LAK,I142))</f>
        <v/>
      </c>
      <c r="L142" s="22"/>
      <c r="M142" s="22"/>
    </row>
    <row r="143" customFormat="false" ht="15" hidden="false" customHeight="false" outlineLevel="0" collapsed="false">
      <c r="A143" s="24" t="str">
        <f aca="false">IF(C143="","",ROW()-4)</f>
        <v/>
      </c>
      <c r="B143" s="46"/>
      <c r="C143" s="22"/>
      <c r="D143" s="24" t="str">
        <f aca="false">IF(C143="","",IFERROR(INDEX(NV_TEN,MATCH(C143,NV_MA,0)),"MÃ KHÔNG CÓ"))</f>
        <v/>
      </c>
      <c r="E143" s="22"/>
      <c r="F143" s="22"/>
      <c r="G143" s="22"/>
      <c r="H143" s="22"/>
      <c r="I143" s="11"/>
      <c r="J143" s="22"/>
      <c r="K143" s="20" t="str">
        <f aca="false">IF(I143="","",IF(H143="LAK",I143*TYGIA_LAK,I143))</f>
        <v/>
      </c>
      <c r="L143" s="22"/>
      <c r="M143" s="22"/>
    </row>
    <row r="144" customFormat="false" ht="15" hidden="false" customHeight="false" outlineLevel="0" collapsed="false">
      <c r="A144" s="24" t="str">
        <f aca="false">IF(C144="","",ROW()-4)</f>
        <v/>
      </c>
      <c r="B144" s="46"/>
      <c r="C144" s="22"/>
      <c r="D144" s="24" t="str">
        <f aca="false">IF(C144="","",IFERROR(INDEX(NV_TEN,MATCH(C144,NV_MA,0)),"MÃ KHÔNG CÓ"))</f>
        <v/>
      </c>
      <c r="E144" s="22"/>
      <c r="F144" s="22"/>
      <c r="G144" s="22"/>
      <c r="H144" s="22"/>
      <c r="I144" s="11"/>
      <c r="J144" s="22"/>
      <c r="K144" s="20" t="str">
        <f aca="false">IF(I144="","",IF(H144="LAK",I144*TYGIA_LAK,I144))</f>
        <v/>
      </c>
      <c r="L144" s="22"/>
      <c r="M144" s="22"/>
    </row>
    <row r="145" customFormat="false" ht="15" hidden="false" customHeight="false" outlineLevel="0" collapsed="false">
      <c r="A145" s="24" t="str">
        <f aca="false">IF(C145="","",ROW()-4)</f>
        <v/>
      </c>
      <c r="B145" s="46"/>
      <c r="C145" s="22"/>
      <c r="D145" s="24" t="str">
        <f aca="false">IF(C145="","",IFERROR(INDEX(NV_TEN,MATCH(C145,NV_MA,0)),"MÃ KHÔNG CÓ"))</f>
        <v/>
      </c>
      <c r="E145" s="22"/>
      <c r="F145" s="22"/>
      <c r="G145" s="22"/>
      <c r="H145" s="22"/>
      <c r="I145" s="11"/>
      <c r="J145" s="22"/>
      <c r="K145" s="20" t="str">
        <f aca="false">IF(I145="","",IF(H145="LAK",I145*TYGIA_LAK,I145))</f>
        <v/>
      </c>
      <c r="L145" s="22"/>
      <c r="M145" s="22"/>
    </row>
    <row r="146" customFormat="false" ht="15" hidden="false" customHeight="false" outlineLevel="0" collapsed="false">
      <c r="A146" s="24" t="str">
        <f aca="false">IF(C146="","",ROW()-4)</f>
        <v/>
      </c>
      <c r="B146" s="46"/>
      <c r="C146" s="22"/>
      <c r="D146" s="24" t="str">
        <f aca="false">IF(C146="","",IFERROR(INDEX(NV_TEN,MATCH(C146,NV_MA,0)),"MÃ KHÔNG CÓ"))</f>
        <v/>
      </c>
      <c r="E146" s="22"/>
      <c r="F146" s="22"/>
      <c r="G146" s="22"/>
      <c r="H146" s="22"/>
      <c r="I146" s="11"/>
      <c r="J146" s="22"/>
      <c r="K146" s="20" t="str">
        <f aca="false">IF(I146="","",IF(H146="LAK",I146*TYGIA_LAK,I146))</f>
        <v/>
      </c>
      <c r="L146" s="22"/>
      <c r="M146" s="22"/>
    </row>
    <row r="147" customFormat="false" ht="15" hidden="false" customHeight="false" outlineLevel="0" collapsed="false">
      <c r="A147" s="24" t="str">
        <f aca="false">IF(C147="","",ROW()-4)</f>
        <v/>
      </c>
      <c r="B147" s="46"/>
      <c r="C147" s="22"/>
      <c r="D147" s="24" t="str">
        <f aca="false">IF(C147="","",IFERROR(INDEX(NV_TEN,MATCH(C147,NV_MA,0)),"MÃ KHÔNG CÓ"))</f>
        <v/>
      </c>
      <c r="E147" s="22"/>
      <c r="F147" s="22"/>
      <c r="G147" s="22"/>
      <c r="H147" s="22"/>
      <c r="I147" s="11"/>
      <c r="J147" s="22"/>
      <c r="K147" s="20" t="str">
        <f aca="false">IF(I147="","",IF(H147="LAK",I147*TYGIA_LAK,I147))</f>
        <v/>
      </c>
      <c r="L147" s="22"/>
      <c r="M147" s="22"/>
    </row>
    <row r="148" customFormat="false" ht="15" hidden="false" customHeight="false" outlineLevel="0" collapsed="false">
      <c r="A148" s="24" t="str">
        <f aca="false">IF(C148="","",ROW()-4)</f>
        <v/>
      </c>
      <c r="B148" s="46"/>
      <c r="C148" s="22"/>
      <c r="D148" s="24" t="str">
        <f aca="false">IF(C148="","",IFERROR(INDEX(NV_TEN,MATCH(C148,NV_MA,0)),"MÃ KHÔNG CÓ"))</f>
        <v/>
      </c>
      <c r="E148" s="22"/>
      <c r="F148" s="22"/>
      <c r="G148" s="22"/>
      <c r="H148" s="22"/>
      <c r="I148" s="11"/>
      <c r="J148" s="22"/>
      <c r="K148" s="20" t="str">
        <f aca="false">IF(I148="","",IF(H148="LAK",I148*TYGIA_LAK,I148))</f>
        <v/>
      </c>
      <c r="L148" s="22"/>
      <c r="M148" s="22"/>
    </row>
    <row r="149" customFormat="false" ht="15" hidden="false" customHeight="false" outlineLevel="0" collapsed="false">
      <c r="A149" s="24" t="str">
        <f aca="false">IF(C149="","",ROW()-4)</f>
        <v/>
      </c>
      <c r="B149" s="46"/>
      <c r="C149" s="22"/>
      <c r="D149" s="24" t="str">
        <f aca="false">IF(C149="","",IFERROR(INDEX(NV_TEN,MATCH(C149,NV_MA,0)),"MÃ KHÔNG CÓ"))</f>
        <v/>
      </c>
      <c r="E149" s="22"/>
      <c r="F149" s="22"/>
      <c r="G149" s="22"/>
      <c r="H149" s="22"/>
      <c r="I149" s="11"/>
      <c r="J149" s="22"/>
      <c r="K149" s="20" t="str">
        <f aca="false">IF(I149="","",IF(H149="LAK",I149*TYGIA_LAK,I149))</f>
        <v/>
      </c>
      <c r="L149" s="22"/>
      <c r="M149" s="22"/>
    </row>
    <row r="150" customFormat="false" ht="15" hidden="false" customHeight="false" outlineLevel="0" collapsed="false">
      <c r="A150" s="24" t="str">
        <f aca="false">IF(C150="","",ROW()-4)</f>
        <v/>
      </c>
      <c r="B150" s="46"/>
      <c r="C150" s="22"/>
      <c r="D150" s="24" t="str">
        <f aca="false">IF(C150="","",IFERROR(INDEX(NV_TEN,MATCH(C150,NV_MA,0)),"MÃ KHÔNG CÓ"))</f>
        <v/>
      </c>
      <c r="E150" s="22"/>
      <c r="F150" s="22"/>
      <c r="G150" s="22"/>
      <c r="H150" s="22"/>
      <c r="I150" s="11"/>
      <c r="J150" s="22"/>
      <c r="K150" s="20" t="str">
        <f aca="false">IF(I150="","",IF(H150="LAK",I150*TYGIA_LAK,I150))</f>
        <v/>
      </c>
      <c r="L150" s="22"/>
      <c r="M150" s="22"/>
    </row>
    <row r="151" customFormat="false" ht="15" hidden="false" customHeight="false" outlineLevel="0" collapsed="false">
      <c r="A151" s="24" t="str">
        <f aca="false">IF(C151="","",ROW()-4)</f>
        <v/>
      </c>
      <c r="B151" s="46"/>
      <c r="C151" s="22"/>
      <c r="D151" s="24" t="str">
        <f aca="false">IF(C151="","",IFERROR(INDEX(NV_TEN,MATCH(C151,NV_MA,0)),"MÃ KHÔNG CÓ"))</f>
        <v/>
      </c>
      <c r="E151" s="22"/>
      <c r="F151" s="22"/>
      <c r="G151" s="22"/>
      <c r="H151" s="22"/>
      <c r="I151" s="11"/>
      <c r="J151" s="22"/>
      <c r="K151" s="20" t="str">
        <f aca="false">IF(I151="","",IF(H151="LAK",I151*TYGIA_LAK,I151))</f>
        <v/>
      </c>
      <c r="L151" s="22"/>
      <c r="M151" s="22"/>
    </row>
    <row r="152" customFormat="false" ht="15" hidden="false" customHeight="false" outlineLevel="0" collapsed="false">
      <c r="A152" s="24" t="str">
        <f aca="false">IF(C152="","",ROW()-4)</f>
        <v/>
      </c>
      <c r="B152" s="46"/>
      <c r="C152" s="22"/>
      <c r="D152" s="24" t="str">
        <f aca="false">IF(C152="","",IFERROR(INDEX(NV_TEN,MATCH(C152,NV_MA,0)),"MÃ KHÔNG CÓ"))</f>
        <v/>
      </c>
      <c r="E152" s="22"/>
      <c r="F152" s="22"/>
      <c r="G152" s="22"/>
      <c r="H152" s="22"/>
      <c r="I152" s="11"/>
      <c r="J152" s="22"/>
      <c r="K152" s="20" t="str">
        <f aca="false">IF(I152="","",IF(H152="LAK",I152*TYGIA_LAK,I152))</f>
        <v/>
      </c>
      <c r="L152" s="22"/>
      <c r="M152" s="22"/>
    </row>
    <row r="153" customFormat="false" ht="15" hidden="false" customHeight="false" outlineLevel="0" collapsed="false">
      <c r="A153" s="24" t="str">
        <f aca="false">IF(C153="","",ROW()-4)</f>
        <v/>
      </c>
      <c r="B153" s="46"/>
      <c r="C153" s="22"/>
      <c r="D153" s="24" t="str">
        <f aca="false">IF(C153="","",IFERROR(INDEX(NV_TEN,MATCH(C153,NV_MA,0)),"MÃ KHÔNG CÓ"))</f>
        <v/>
      </c>
      <c r="E153" s="22"/>
      <c r="F153" s="22"/>
      <c r="G153" s="22"/>
      <c r="H153" s="22"/>
      <c r="I153" s="11"/>
      <c r="J153" s="22"/>
      <c r="K153" s="20" t="str">
        <f aca="false">IF(I153="","",IF(H153="LAK",I153*TYGIA_LAK,I153))</f>
        <v/>
      </c>
      <c r="L153" s="22"/>
      <c r="M153" s="22"/>
    </row>
    <row r="154" customFormat="false" ht="15" hidden="false" customHeight="false" outlineLevel="0" collapsed="false">
      <c r="A154" s="24" t="str">
        <f aca="false">IF(C154="","",ROW()-4)</f>
        <v/>
      </c>
      <c r="B154" s="46"/>
      <c r="C154" s="22"/>
      <c r="D154" s="24" t="str">
        <f aca="false">IF(C154="","",IFERROR(INDEX(NV_TEN,MATCH(C154,NV_MA,0)),"MÃ KHÔNG CÓ"))</f>
        <v/>
      </c>
      <c r="E154" s="22"/>
      <c r="F154" s="22"/>
      <c r="G154" s="22"/>
      <c r="H154" s="22"/>
      <c r="I154" s="11"/>
      <c r="J154" s="22"/>
      <c r="K154" s="20" t="str">
        <f aca="false">IF(I154="","",IF(H154="LAK",I154*TYGIA_LAK,I154))</f>
        <v/>
      </c>
      <c r="L154" s="22"/>
      <c r="M154" s="22"/>
    </row>
    <row r="155" customFormat="false" ht="15" hidden="false" customHeight="false" outlineLevel="0" collapsed="false">
      <c r="A155" s="24" t="str">
        <f aca="false">IF(C155="","",ROW()-4)</f>
        <v/>
      </c>
      <c r="B155" s="46"/>
      <c r="C155" s="22"/>
      <c r="D155" s="24" t="str">
        <f aca="false">IF(C155="","",IFERROR(INDEX(NV_TEN,MATCH(C155,NV_MA,0)),"MÃ KHÔNG CÓ"))</f>
        <v/>
      </c>
      <c r="E155" s="22"/>
      <c r="F155" s="22"/>
      <c r="G155" s="22"/>
      <c r="H155" s="22"/>
      <c r="I155" s="11"/>
      <c r="J155" s="22"/>
      <c r="K155" s="20" t="str">
        <f aca="false">IF(I155="","",IF(H155="LAK",I155*TYGIA_LAK,I155))</f>
        <v/>
      </c>
      <c r="L155" s="22"/>
      <c r="M155" s="22"/>
    </row>
    <row r="156" customFormat="false" ht="15" hidden="false" customHeight="false" outlineLevel="0" collapsed="false">
      <c r="A156" s="24" t="str">
        <f aca="false">IF(C156="","",ROW()-4)</f>
        <v/>
      </c>
      <c r="B156" s="46"/>
      <c r="C156" s="22"/>
      <c r="D156" s="24" t="str">
        <f aca="false">IF(C156="","",IFERROR(INDEX(NV_TEN,MATCH(C156,NV_MA,0)),"MÃ KHÔNG CÓ"))</f>
        <v/>
      </c>
      <c r="E156" s="22"/>
      <c r="F156" s="22"/>
      <c r="G156" s="22"/>
      <c r="H156" s="22"/>
      <c r="I156" s="11"/>
      <c r="J156" s="22"/>
      <c r="K156" s="20" t="str">
        <f aca="false">IF(I156="","",IF(H156="LAK",I156*TYGIA_LAK,I156))</f>
        <v/>
      </c>
      <c r="L156" s="22"/>
      <c r="M156" s="22"/>
    </row>
    <row r="157" customFormat="false" ht="15" hidden="false" customHeight="false" outlineLevel="0" collapsed="false">
      <c r="A157" s="24" t="str">
        <f aca="false">IF(C157="","",ROW()-4)</f>
        <v/>
      </c>
      <c r="B157" s="46"/>
      <c r="C157" s="22"/>
      <c r="D157" s="24" t="str">
        <f aca="false">IF(C157="","",IFERROR(INDEX(NV_TEN,MATCH(C157,NV_MA,0)),"MÃ KHÔNG CÓ"))</f>
        <v/>
      </c>
      <c r="E157" s="22"/>
      <c r="F157" s="22"/>
      <c r="G157" s="22"/>
      <c r="H157" s="22"/>
      <c r="I157" s="11"/>
      <c r="J157" s="22"/>
      <c r="K157" s="20" t="str">
        <f aca="false">IF(I157="","",IF(H157="LAK",I157*TYGIA_LAK,I157))</f>
        <v/>
      </c>
      <c r="L157" s="22"/>
      <c r="M157" s="22"/>
    </row>
    <row r="158" customFormat="false" ht="15" hidden="false" customHeight="false" outlineLevel="0" collapsed="false">
      <c r="A158" s="24" t="str">
        <f aca="false">IF(C158="","",ROW()-4)</f>
        <v/>
      </c>
      <c r="B158" s="46"/>
      <c r="C158" s="22"/>
      <c r="D158" s="24" t="str">
        <f aca="false">IF(C158="","",IFERROR(INDEX(NV_TEN,MATCH(C158,NV_MA,0)),"MÃ KHÔNG CÓ"))</f>
        <v/>
      </c>
      <c r="E158" s="22"/>
      <c r="F158" s="22"/>
      <c r="G158" s="22"/>
      <c r="H158" s="22"/>
      <c r="I158" s="11"/>
      <c r="J158" s="22"/>
      <c r="K158" s="20" t="str">
        <f aca="false">IF(I158="","",IF(H158="LAK",I158*TYGIA_LAK,I158))</f>
        <v/>
      </c>
      <c r="L158" s="22"/>
      <c r="M158" s="22"/>
    </row>
    <row r="159" customFormat="false" ht="15" hidden="false" customHeight="false" outlineLevel="0" collapsed="false">
      <c r="A159" s="24" t="str">
        <f aca="false">IF(C159="","",ROW()-4)</f>
        <v/>
      </c>
      <c r="B159" s="46"/>
      <c r="C159" s="22"/>
      <c r="D159" s="24" t="str">
        <f aca="false">IF(C159="","",IFERROR(INDEX(NV_TEN,MATCH(C159,NV_MA,0)),"MÃ KHÔNG CÓ"))</f>
        <v/>
      </c>
      <c r="E159" s="22"/>
      <c r="F159" s="22"/>
      <c r="G159" s="22"/>
      <c r="H159" s="22"/>
      <c r="I159" s="11"/>
      <c r="J159" s="22"/>
      <c r="K159" s="20" t="str">
        <f aca="false">IF(I159="","",IF(H159="LAK",I159*TYGIA_LAK,I159))</f>
        <v/>
      </c>
      <c r="L159" s="22"/>
      <c r="M159" s="22"/>
    </row>
    <row r="160" customFormat="false" ht="15" hidden="false" customHeight="false" outlineLevel="0" collapsed="false">
      <c r="A160" s="24" t="str">
        <f aca="false">IF(C160="","",ROW()-4)</f>
        <v/>
      </c>
      <c r="B160" s="46"/>
      <c r="C160" s="22"/>
      <c r="D160" s="24" t="str">
        <f aca="false">IF(C160="","",IFERROR(INDEX(NV_TEN,MATCH(C160,NV_MA,0)),"MÃ KHÔNG CÓ"))</f>
        <v/>
      </c>
      <c r="E160" s="22"/>
      <c r="F160" s="22"/>
      <c r="G160" s="22"/>
      <c r="H160" s="22"/>
      <c r="I160" s="11"/>
      <c r="J160" s="22"/>
      <c r="K160" s="20" t="str">
        <f aca="false">IF(I160="","",IF(H160="LAK",I160*TYGIA_LAK,I160))</f>
        <v/>
      </c>
      <c r="L160" s="22"/>
      <c r="M160" s="22"/>
    </row>
    <row r="161" customFormat="false" ht="15" hidden="false" customHeight="false" outlineLevel="0" collapsed="false">
      <c r="A161" s="24" t="str">
        <f aca="false">IF(C161="","",ROW()-4)</f>
        <v/>
      </c>
      <c r="B161" s="46"/>
      <c r="C161" s="22"/>
      <c r="D161" s="24" t="str">
        <f aca="false">IF(C161="","",IFERROR(INDEX(NV_TEN,MATCH(C161,NV_MA,0)),"MÃ KHÔNG CÓ"))</f>
        <v/>
      </c>
      <c r="E161" s="22"/>
      <c r="F161" s="22"/>
      <c r="G161" s="22"/>
      <c r="H161" s="22"/>
      <c r="I161" s="11"/>
      <c r="J161" s="22"/>
      <c r="K161" s="20" t="str">
        <f aca="false">IF(I161="","",IF(H161="LAK",I161*TYGIA_LAK,I161))</f>
        <v/>
      </c>
      <c r="L161" s="22"/>
      <c r="M161" s="22"/>
    </row>
    <row r="162" customFormat="false" ht="15" hidden="false" customHeight="false" outlineLevel="0" collapsed="false">
      <c r="A162" s="24" t="str">
        <f aca="false">IF(C162="","",ROW()-4)</f>
        <v/>
      </c>
      <c r="B162" s="46"/>
      <c r="C162" s="22"/>
      <c r="D162" s="24" t="str">
        <f aca="false">IF(C162="","",IFERROR(INDEX(NV_TEN,MATCH(C162,NV_MA,0)),"MÃ KHÔNG CÓ"))</f>
        <v/>
      </c>
      <c r="E162" s="22"/>
      <c r="F162" s="22"/>
      <c r="G162" s="22"/>
      <c r="H162" s="22"/>
      <c r="I162" s="11"/>
      <c r="J162" s="22"/>
      <c r="K162" s="20" t="str">
        <f aca="false">IF(I162="","",IF(H162="LAK",I162*TYGIA_LAK,I162))</f>
        <v/>
      </c>
      <c r="L162" s="22"/>
      <c r="M162" s="22"/>
    </row>
    <row r="163" customFormat="false" ht="15" hidden="false" customHeight="false" outlineLevel="0" collapsed="false">
      <c r="A163" s="24" t="str">
        <f aca="false">IF(C163="","",ROW()-4)</f>
        <v/>
      </c>
      <c r="B163" s="46"/>
      <c r="C163" s="22"/>
      <c r="D163" s="24" t="str">
        <f aca="false">IF(C163="","",IFERROR(INDEX(NV_TEN,MATCH(C163,NV_MA,0)),"MÃ KHÔNG CÓ"))</f>
        <v/>
      </c>
      <c r="E163" s="22"/>
      <c r="F163" s="22"/>
      <c r="G163" s="22"/>
      <c r="H163" s="22"/>
      <c r="I163" s="11"/>
      <c r="J163" s="22"/>
      <c r="K163" s="20" t="str">
        <f aca="false">IF(I163="","",IF(H163="LAK",I163*TYGIA_LAK,I163))</f>
        <v/>
      </c>
      <c r="L163" s="22"/>
      <c r="M163" s="22"/>
    </row>
    <row r="164" customFormat="false" ht="15" hidden="false" customHeight="false" outlineLevel="0" collapsed="false">
      <c r="A164" s="24" t="str">
        <f aca="false">IF(C164="","",ROW()-4)</f>
        <v/>
      </c>
      <c r="B164" s="46"/>
      <c r="C164" s="22"/>
      <c r="D164" s="24" t="str">
        <f aca="false">IF(C164="","",IFERROR(INDEX(NV_TEN,MATCH(C164,NV_MA,0)),"MÃ KHÔNG CÓ"))</f>
        <v/>
      </c>
      <c r="E164" s="22"/>
      <c r="F164" s="22"/>
      <c r="G164" s="22"/>
      <c r="H164" s="22"/>
      <c r="I164" s="11"/>
      <c r="J164" s="22"/>
      <c r="K164" s="20" t="str">
        <f aca="false">IF(I164="","",IF(H164="LAK",I164*TYGIA_LAK,I164))</f>
        <v/>
      </c>
      <c r="L164" s="22"/>
      <c r="M164" s="22"/>
    </row>
    <row r="165" customFormat="false" ht="15" hidden="false" customHeight="false" outlineLevel="0" collapsed="false">
      <c r="A165" s="24" t="str">
        <f aca="false">IF(C165="","",ROW()-4)</f>
        <v/>
      </c>
      <c r="B165" s="46"/>
      <c r="C165" s="22"/>
      <c r="D165" s="24" t="str">
        <f aca="false">IF(C165="","",IFERROR(INDEX(NV_TEN,MATCH(C165,NV_MA,0)),"MÃ KHÔNG CÓ"))</f>
        <v/>
      </c>
      <c r="E165" s="22"/>
      <c r="F165" s="22"/>
      <c r="G165" s="22"/>
      <c r="H165" s="22"/>
      <c r="I165" s="11"/>
      <c r="J165" s="22"/>
      <c r="K165" s="20" t="str">
        <f aca="false">IF(I165="","",IF(H165="LAK",I165*TYGIA_LAK,I165))</f>
        <v/>
      </c>
      <c r="L165" s="22"/>
      <c r="M165" s="22"/>
    </row>
    <row r="166" customFormat="false" ht="15" hidden="false" customHeight="false" outlineLevel="0" collapsed="false">
      <c r="A166" s="24" t="str">
        <f aca="false">IF(C166="","",ROW()-4)</f>
        <v/>
      </c>
      <c r="B166" s="46"/>
      <c r="C166" s="22"/>
      <c r="D166" s="24" t="str">
        <f aca="false">IF(C166="","",IFERROR(INDEX(NV_TEN,MATCH(C166,NV_MA,0)),"MÃ KHÔNG CÓ"))</f>
        <v/>
      </c>
      <c r="E166" s="22"/>
      <c r="F166" s="22"/>
      <c r="G166" s="22"/>
      <c r="H166" s="22"/>
      <c r="I166" s="11"/>
      <c r="J166" s="22"/>
      <c r="K166" s="20" t="str">
        <f aca="false">IF(I166="","",IF(H166="LAK",I166*TYGIA_LAK,I166))</f>
        <v/>
      </c>
      <c r="L166" s="22"/>
      <c r="M166" s="22"/>
    </row>
    <row r="167" customFormat="false" ht="15" hidden="false" customHeight="false" outlineLevel="0" collapsed="false">
      <c r="A167" s="24" t="str">
        <f aca="false">IF(C167="","",ROW()-4)</f>
        <v/>
      </c>
      <c r="B167" s="46"/>
      <c r="C167" s="22"/>
      <c r="D167" s="24" t="str">
        <f aca="false">IF(C167="","",IFERROR(INDEX(NV_TEN,MATCH(C167,NV_MA,0)),"MÃ KHÔNG CÓ"))</f>
        <v/>
      </c>
      <c r="E167" s="22"/>
      <c r="F167" s="22"/>
      <c r="G167" s="22"/>
      <c r="H167" s="22"/>
      <c r="I167" s="11"/>
      <c r="J167" s="22"/>
      <c r="K167" s="20" t="str">
        <f aca="false">IF(I167="","",IF(H167="LAK",I167*TYGIA_LAK,I167))</f>
        <v/>
      </c>
      <c r="L167" s="22"/>
      <c r="M167" s="22"/>
    </row>
    <row r="168" customFormat="false" ht="15" hidden="false" customHeight="false" outlineLevel="0" collapsed="false">
      <c r="A168" s="24" t="str">
        <f aca="false">IF(C168="","",ROW()-4)</f>
        <v/>
      </c>
      <c r="B168" s="46"/>
      <c r="C168" s="22"/>
      <c r="D168" s="24" t="str">
        <f aca="false">IF(C168="","",IFERROR(INDEX(NV_TEN,MATCH(C168,NV_MA,0)),"MÃ KHÔNG CÓ"))</f>
        <v/>
      </c>
      <c r="E168" s="22"/>
      <c r="F168" s="22"/>
      <c r="G168" s="22"/>
      <c r="H168" s="22"/>
      <c r="I168" s="11"/>
      <c r="J168" s="22"/>
      <c r="K168" s="20" t="str">
        <f aca="false">IF(I168="","",IF(H168="LAK",I168*TYGIA_LAK,I168))</f>
        <v/>
      </c>
      <c r="L168" s="22"/>
      <c r="M168" s="22"/>
    </row>
    <row r="169" customFormat="false" ht="15" hidden="false" customHeight="false" outlineLevel="0" collapsed="false">
      <c r="A169" s="24" t="str">
        <f aca="false">IF(C169="","",ROW()-4)</f>
        <v/>
      </c>
      <c r="B169" s="46"/>
      <c r="C169" s="22"/>
      <c r="D169" s="24" t="str">
        <f aca="false">IF(C169="","",IFERROR(INDEX(NV_TEN,MATCH(C169,NV_MA,0)),"MÃ KHÔNG CÓ"))</f>
        <v/>
      </c>
      <c r="E169" s="22"/>
      <c r="F169" s="22"/>
      <c r="G169" s="22"/>
      <c r="H169" s="22"/>
      <c r="I169" s="11"/>
      <c r="J169" s="22"/>
      <c r="K169" s="20" t="str">
        <f aca="false">IF(I169="","",IF(H169="LAK",I169*TYGIA_LAK,I169))</f>
        <v/>
      </c>
      <c r="L169" s="22"/>
      <c r="M169" s="22"/>
    </row>
    <row r="170" customFormat="false" ht="15" hidden="false" customHeight="false" outlineLevel="0" collapsed="false">
      <c r="A170" s="24" t="str">
        <f aca="false">IF(C170="","",ROW()-4)</f>
        <v/>
      </c>
      <c r="B170" s="46"/>
      <c r="C170" s="22"/>
      <c r="D170" s="24" t="str">
        <f aca="false">IF(C170="","",IFERROR(INDEX(NV_TEN,MATCH(C170,NV_MA,0)),"MÃ KHÔNG CÓ"))</f>
        <v/>
      </c>
      <c r="E170" s="22"/>
      <c r="F170" s="22"/>
      <c r="G170" s="22"/>
      <c r="H170" s="22"/>
      <c r="I170" s="11"/>
      <c r="J170" s="22"/>
      <c r="K170" s="20" t="str">
        <f aca="false">IF(I170="","",IF(H170="LAK",I170*TYGIA_LAK,I170))</f>
        <v/>
      </c>
      <c r="L170" s="22"/>
      <c r="M170" s="22"/>
    </row>
    <row r="171" customFormat="false" ht="15" hidden="false" customHeight="false" outlineLevel="0" collapsed="false">
      <c r="A171" s="24" t="str">
        <f aca="false">IF(C171="","",ROW()-4)</f>
        <v/>
      </c>
      <c r="B171" s="46"/>
      <c r="C171" s="22"/>
      <c r="D171" s="24" t="str">
        <f aca="false">IF(C171="","",IFERROR(INDEX(NV_TEN,MATCH(C171,NV_MA,0)),"MÃ KHÔNG CÓ"))</f>
        <v/>
      </c>
      <c r="E171" s="22"/>
      <c r="F171" s="22"/>
      <c r="G171" s="22"/>
      <c r="H171" s="22"/>
      <c r="I171" s="11"/>
      <c r="J171" s="22"/>
      <c r="K171" s="20" t="str">
        <f aca="false">IF(I171="","",IF(H171="LAK",I171*TYGIA_LAK,I171))</f>
        <v/>
      </c>
      <c r="L171" s="22"/>
      <c r="M171" s="22"/>
    </row>
    <row r="172" customFormat="false" ht="15" hidden="false" customHeight="false" outlineLevel="0" collapsed="false">
      <c r="A172" s="24" t="str">
        <f aca="false">IF(C172="","",ROW()-4)</f>
        <v/>
      </c>
      <c r="B172" s="46"/>
      <c r="C172" s="22"/>
      <c r="D172" s="24" t="str">
        <f aca="false">IF(C172="","",IFERROR(INDEX(NV_TEN,MATCH(C172,NV_MA,0)),"MÃ KHÔNG CÓ"))</f>
        <v/>
      </c>
      <c r="E172" s="22"/>
      <c r="F172" s="22"/>
      <c r="G172" s="22"/>
      <c r="H172" s="22"/>
      <c r="I172" s="11"/>
      <c r="J172" s="22"/>
      <c r="K172" s="20" t="str">
        <f aca="false">IF(I172="","",IF(H172="LAK",I172*TYGIA_LAK,I172))</f>
        <v/>
      </c>
      <c r="L172" s="22"/>
      <c r="M172" s="22"/>
    </row>
    <row r="173" customFormat="false" ht="15" hidden="false" customHeight="false" outlineLevel="0" collapsed="false">
      <c r="A173" s="24" t="str">
        <f aca="false">IF(C173="","",ROW()-4)</f>
        <v/>
      </c>
      <c r="B173" s="46"/>
      <c r="C173" s="22"/>
      <c r="D173" s="24" t="str">
        <f aca="false">IF(C173="","",IFERROR(INDEX(NV_TEN,MATCH(C173,NV_MA,0)),"MÃ KHÔNG CÓ"))</f>
        <v/>
      </c>
      <c r="E173" s="22"/>
      <c r="F173" s="22"/>
      <c r="G173" s="22"/>
      <c r="H173" s="22"/>
      <c r="I173" s="11"/>
      <c r="J173" s="22"/>
      <c r="K173" s="20" t="str">
        <f aca="false">IF(I173="","",IF(H173="LAK",I173*TYGIA_LAK,I173))</f>
        <v/>
      </c>
      <c r="L173" s="22"/>
      <c r="M173" s="22"/>
    </row>
    <row r="174" customFormat="false" ht="15" hidden="false" customHeight="false" outlineLevel="0" collapsed="false">
      <c r="A174" s="24" t="str">
        <f aca="false">IF(C174="","",ROW()-4)</f>
        <v/>
      </c>
      <c r="B174" s="46"/>
      <c r="C174" s="22"/>
      <c r="D174" s="24" t="str">
        <f aca="false">IF(C174="","",IFERROR(INDEX(NV_TEN,MATCH(C174,NV_MA,0)),"MÃ KHÔNG CÓ"))</f>
        <v/>
      </c>
      <c r="E174" s="22"/>
      <c r="F174" s="22"/>
      <c r="G174" s="22"/>
      <c r="H174" s="22"/>
      <c r="I174" s="11"/>
      <c r="J174" s="22"/>
      <c r="K174" s="20" t="str">
        <f aca="false">IF(I174="","",IF(H174="LAK",I174*TYGIA_LAK,I174))</f>
        <v/>
      </c>
      <c r="L174" s="22"/>
      <c r="M174" s="22"/>
    </row>
    <row r="175" customFormat="false" ht="15" hidden="false" customHeight="false" outlineLevel="0" collapsed="false">
      <c r="A175" s="24" t="str">
        <f aca="false">IF(C175="","",ROW()-4)</f>
        <v/>
      </c>
      <c r="B175" s="46"/>
      <c r="C175" s="22"/>
      <c r="D175" s="24" t="str">
        <f aca="false">IF(C175="","",IFERROR(INDEX(NV_TEN,MATCH(C175,NV_MA,0)),"MÃ KHÔNG CÓ"))</f>
        <v/>
      </c>
      <c r="E175" s="22"/>
      <c r="F175" s="22"/>
      <c r="G175" s="22"/>
      <c r="H175" s="22"/>
      <c r="I175" s="11"/>
      <c r="J175" s="22"/>
      <c r="K175" s="20" t="str">
        <f aca="false">IF(I175="","",IF(H175="LAK",I175*TYGIA_LAK,I175))</f>
        <v/>
      </c>
      <c r="L175" s="22"/>
      <c r="M175" s="22"/>
    </row>
    <row r="176" customFormat="false" ht="15" hidden="false" customHeight="false" outlineLevel="0" collapsed="false">
      <c r="A176" s="24" t="str">
        <f aca="false">IF(C176="","",ROW()-4)</f>
        <v/>
      </c>
      <c r="B176" s="46"/>
      <c r="C176" s="22"/>
      <c r="D176" s="24" t="str">
        <f aca="false">IF(C176="","",IFERROR(INDEX(NV_TEN,MATCH(C176,NV_MA,0)),"MÃ KHÔNG CÓ"))</f>
        <v/>
      </c>
      <c r="E176" s="22"/>
      <c r="F176" s="22"/>
      <c r="G176" s="22"/>
      <c r="H176" s="22"/>
      <c r="I176" s="11"/>
      <c r="J176" s="22"/>
      <c r="K176" s="20" t="str">
        <f aca="false">IF(I176="","",IF(H176="LAK",I176*TYGIA_LAK,I176))</f>
        <v/>
      </c>
      <c r="L176" s="22"/>
      <c r="M176" s="22"/>
    </row>
    <row r="177" customFormat="false" ht="15" hidden="false" customHeight="false" outlineLevel="0" collapsed="false">
      <c r="A177" s="24" t="str">
        <f aca="false">IF(C177="","",ROW()-4)</f>
        <v/>
      </c>
      <c r="B177" s="46"/>
      <c r="C177" s="22"/>
      <c r="D177" s="24" t="str">
        <f aca="false">IF(C177="","",IFERROR(INDEX(NV_TEN,MATCH(C177,NV_MA,0)),"MÃ KHÔNG CÓ"))</f>
        <v/>
      </c>
      <c r="E177" s="22"/>
      <c r="F177" s="22"/>
      <c r="G177" s="22"/>
      <c r="H177" s="22"/>
      <c r="I177" s="11"/>
      <c r="J177" s="22"/>
      <c r="K177" s="20" t="str">
        <f aca="false">IF(I177="","",IF(H177="LAK",I177*TYGIA_LAK,I177))</f>
        <v/>
      </c>
      <c r="L177" s="22"/>
      <c r="M177" s="22"/>
    </row>
    <row r="178" customFormat="false" ht="15" hidden="false" customHeight="false" outlineLevel="0" collapsed="false">
      <c r="A178" s="24" t="str">
        <f aca="false">IF(C178="","",ROW()-4)</f>
        <v/>
      </c>
      <c r="B178" s="46"/>
      <c r="C178" s="22"/>
      <c r="D178" s="24" t="str">
        <f aca="false">IF(C178="","",IFERROR(INDEX(NV_TEN,MATCH(C178,NV_MA,0)),"MÃ KHÔNG CÓ"))</f>
        <v/>
      </c>
      <c r="E178" s="22"/>
      <c r="F178" s="22"/>
      <c r="G178" s="22"/>
      <c r="H178" s="22"/>
      <c r="I178" s="11"/>
      <c r="J178" s="22"/>
      <c r="K178" s="20" t="str">
        <f aca="false">IF(I178="","",IF(H178="LAK",I178*TYGIA_LAK,I178))</f>
        <v/>
      </c>
      <c r="L178" s="22"/>
      <c r="M178" s="22"/>
    </row>
    <row r="179" customFormat="false" ht="15" hidden="false" customHeight="false" outlineLevel="0" collapsed="false">
      <c r="A179" s="24" t="str">
        <f aca="false">IF(C179="","",ROW()-4)</f>
        <v/>
      </c>
      <c r="B179" s="46"/>
      <c r="C179" s="22"/>
      <c r="D179" s="24" t="str">
        <f aca="false">IF(C179="","",IFERROR(INDEX(NV_TEN,MATCH(C179,NV_MA,0)),"MÃ KHÔNG CÓ"))</f>
        <v/>
      </c>
      <c r="E179" s="22"/>
      <c r="F179" s="22"/>
      <c r="G179" s="22"/>
      <c r="H179" s="22"/>
      <c r="I179" s="11"/>
      <c r="J179" s="22"/>
      <c r="K179" s="20" t="str">
        <f aca="false">IF(I179="","",IF(H179="LAK",I179*TYGIA_LAK,I179))</f>
        <v/>
      </c>
      <c r="L179" s="22"/>
      <c r="M179" s="22"/>
    </row>
    <row r="180" customFormat="false" ht="15" hidden="false" customHeight="false" outlineLevel="0" collapsed="false">
      <c r="A180" s="24" t="str">
        <f aca="false">IF(C180="","",ROW()-4)</f>
        <v/>
      </c>
      <c r="B180" s="46"/>
      <c r="C180" s="22"/>
      <c r="D180" s="24" t="str">
        <f aca="false">IF(C180="","",IFERROR(INDEX(NV_TEN,MATCH(C180,NV_MA,0)),"MÃ KHÔNG CÓ"))</f>
        <v/>
      </c>
      <c r="E180" s="22"/>
      <c r="F180" s="22"/>
      <c r="G180" s="22"/>
      <c r="H180" s="22"/>
      <c r="I180" s="11"/>
      <c r="J180" s="22"/>
      <c r="K180" s="20" t="str">
        <f aca="false">IF(I180="","",IF(H180="LAK",I180*TYGIA_LAK,I180))</f>
        <v/>
      </c>
      <c r="L180" s="22"/>
      <c r="M180" s="22"/>
    </row>
    <row r="181" customFormat="false" ht="15" hidden="false" customHeight="false" outlineLevel="0" collapsed="false">
      <c r="A181" s="24" t="str">
        <f aca="false">IF(C181="","",ROW()-4)</f>
        <v/>
      </c>
      <c r="B181" s="46"/>
      <c r="C181" s="22"/>
      <c r="D181" s="24" t="str">
        <f aca="false">IF(C181="","",IFERROR(INDEX(NV_TEN,MATCH(C181,NV_MA,0)),"MÃ KHÔNG CÓ"))</f>
        <v/>
      </c>
      <c r="E181" s="22"/>
      <c r="F181" s="22"/>
      <c r="G181" s="22"/>
      <c r="H181" s="22"/>
      <c r="I181" s="11"/>
      <c r="J181" s="22"/>
      <c r="K181" s="20" t="str">
        <f aca="false">IF(I181="","",IF(H181="LAK",I181*TYGIA_LAK,I181))</f>
        <v/>
      </c>
      <c r="L181" s="22"/>
      <c r="M181" s="22"/>
    </row>
    <row r="182" customFormat="false" ht="15" hidden="false" customHeight="false" outlineLevel="0" collapsed="false">
      <c r="A182" s="24" t="str">
        <f aca="false">IF(C182="","",ROW()-4)</f>
        <v/>
      </c>
      <c r="B182" s="46"/>
      <c r="C182" s="22"/>
      <c r="D182" s="24" t="str">
        <f aca="false">IF(C182="","",IFERROR(INDEX(NV_TEN,MATCH(C182,NV_MA,0)),"MÃ KHÔNG CÓ"))</f>
        <v/>
      </c>
      <c r="E182" s="22"/>
      <c r="F182" s="22"/>
      <c r="G182" s="22"/>
      <c r="H182" s="22"/>
      <c r="I182" s="11"/>
      <c r="J182" s="22"/>
      <c r="K182" s="20" t="str">
        <f aca="false">IF(I182="","",IF(H182="LAK",I182*TYGIA_LAK,I182))</f>
        <v/>
      </c>
      <c r="L182" s="22"/>
      <c r="M182" s="22"/>
    </row>
    <row r="183" customFormat="false" ht="15" hidden="false" customHeight="false" outlineLevel="0" collapsed="false">
      <c r="A183" s="24" t="str">
        <f aca="false">IF(C183="","",ROW()-4)</f>
        <v/>
      </c>
      <c r="B183" s="46"/>
      <c r="C183" s="22"/>
      <c r="D183" s="24" t="str">
        <f aca="false">IF(C183="","",IFERROR(INDEX(NV_TEN,MATCH(C183,NV_MA,0)),"MÃ KHÔNG CÓ"))</f>
        <v/>
      </c>
      <c r="E183" s="22"/>
      <c r="F183" s="22"/>
      <c r="G183" s="22"/>
      <c r="H183" s="22"/>
      <c r="I183" s="11"/>
      <c r="J183" s="22"/>
      <c r="K183" s="20" t="str">
        <f aca="false">IF(I183="","",IF(H183="LAK",I183*TYGIA_LAK,I183))</f>
        <v/>
      </c>
      <c r="L183" s="22"/>
      <c r="M183" s="22"/>
    </row>
    <row r="184" customFormat="false" ht="15" hidden="false" customHeight="false" outlineLevel="0" collapsed="false">
      <c r="A184" s="24" t="str">
        <f aca="false">IF(C184="","",ROW()-4)</f>
        <v/>
      </c>
      <c r="B184" s="46"/>
      <c r="C184" s="22"/>
      <c r="D184" s="24" t="str">
        <f aca="false">IF(C184="","",IFERROR(INDEX(NV_TEN,MATCH(C184,NV_MA,0)),"MÃ KHÔNG CÓ"))</f>
        <v/>
      </c>
      <c r="E184" s="22"/>
      <c r="F184" s="22"/>
      <c r="G184" s="22"/>
      <c r="H184" s="22"/>
      <c r="I184" s="11"/>
      <c r="J184" s="22"/>
      <c r="K184" s="20" t="str">
        <f aca="false">IF(I184="","",IF(H184="LAK",I184*TYGIA_LAK,I184))</f>
        <v/>
      </c>
      <c r="L184" s="22"/>
      <c r="M184" s="22"/>
    </row>
    <row r="185" customFormat="false" ht="15" hidden="false" customHeight="false" outlineLevel="0" collapsed="false">
      <c r="A185" s="24" t="str">
        <f aca="false">IF(C185="","",ROW()-4)</f>
        <v/>
      </c>
      <c r="B185" s="46"/>
      <c r="C185" s="22"/>
      <c r="D185" s="24" t="str">
        <f aca="false">IF(C185="","",IFERROR(INDEX(NV_TEN,MATCH(C185,NV_MA,0)),"MÃ KHÔNG CÓ"))</f>
        <v/>
      </c>
      <c r="E185" s="22"/>
      <c r="F185" s="22"/>
      <c r="G185" s="22"/>
      <c r="H185" s="22"/>
      <c r="I185" s="11"/>
      <c r="J185" s="22"/>
      <c r="K185" s="20" t="str">
        <f aca="false">IF(I185="","",IF(H185="LAK",I185*TYGIA_LAK,I185))</f>
        <v/>
      </c>
      <c r="L185" s="22"/>
      <c r="M185" s="22"/>
    </row>
    <row r="186" customFormat="false" ht="15" hidden="false" customHeight="false" outlineLevel="0" collapsed="false">
      <c r="A186" s="24" t="str">
        <f aca="false">IF(C186="","",ROW()-4)</f>
        <v/>
      </c>
      <c r="B186" s="46"/>
      <c r="C186" s="22"/>
      <c r="D186" s="24" t="str">
        <f aca="false">IF(C186="","",IFERROR(INDEX(NV_TEN,MATCH(C186,NV_MA,0)),"MÃ KHÔNG CÓ"))</f>
        <v/>
      </c>
      <c r="E186" s="22"/>
      <c r="F186" s="22"/>
      <c r="G186" s="22"/>
      <c r="H186" s="22"/>
      <c r="I186" s="11"/>
      <c r="J186" s="22"/>
      <c r="K186" s="20" t="str">
        <f aca="false">IF(I186="","",IF(H186="LAK",I186*TYGIA_LAK,I186))</f>
        <v/>
      </c>
      <c r="L186" s="22"/>
      <c r="M186" s="22"/>
    </row>
    <row r="187" customFormat="false" ht="15" hidden="false" customHeight="false" outlineLevel="0" collapsed="false">
      <c r="A187" s="24" t="str">
        <f aca="false">IF(C187="","",ROW()-4)</f>
        <v/>
      </c>
      <c r="B187" s="46"/>
      <c r="C187" s="22"/>
      <c r="D187" s="24" t="str">
        <f aca="false">IF(C187="","",IFERROR(INDEX(NV_TEN,MATCH(C187,NV_MA,0)),"MÃ KHÔNG CÓ"))</f>
        <v/>
      </c>
      <c r="E187" s="22"/>
      <c r="F187" s="22"/>
      <c r="G187" s="22"/>
      <c r="H187" s="22"/>
      <c r="I187" s="11"/>
      <c r="J187" s="22"/>
      <c r="K187" s="20" t="str">
        <f aca="false">IF(I187="","",IF(H187="LAK",I187*TYGIA_LAK,I187))</f>
        <v/>
      </c>
      <c r="L187" s="22"/>
      <c r="M187" s="22"/>
    </row>
    <row r="188" customFormat="false" ht="15" hidden="false" customHeight="false" outlineLevel="0" collapsed="false">
      <c r="A188" s="24" t="str">
        <f aca="false">IF(C188="","",ROW()-4)</f>
        <v/>
      </c>
      <c r="B188" s="46"/>
      <c r="C188" s="22"/>
      <c r="D188" s="24" t="str">
        <f aca="false">IF(C188="","",IFERROR(INDEX(NV_TEN,MATCH(C188,NV_MA,0)),"MÃ KHÔNG CÓ"))</f>
        <v/>
      </c>
      <c r="E188" s="22"/>
      <c r="F188" s="22"/>
      <c r="G188" s="22"/>
      <c r="H188" s="22"/>
      <c r="I188" s="11"/>
      <c r="J188" s="22"/>
      <c r="K188" s="20" t="str">
        <f aca="false">IF(I188="","",IF(H188="LAK",I188*TYGIA_LAK,I188))</f>
        <v/>
      </c>
      <c r="L188" s="22"/>
      <c r="M188" s="22"/>
    </row>
    <row r="189" customFormat="false" ht="15" hidden="false" customHeight="false" outlineLevel="0" collapsed="false">
      <c r="A189" s="24" t="str">
        <f aca="false">IF(C189="","",ROW()-4)</f>
        <v/>
      </c>
      <c r="B189" s="46"/>
      <c r="C189" s="22"/>
      <c r="D189" s="24" t="str">
        <f aca="false">IF(C189="","",IFERROR(INDEX(NV_TEN,MATCH(C189,NV_MA,0)),"MÃ KHÔNG CÓ"))</f>
        <v/>
      </c>
      <c r="E189" s="22"/>
      <c r="F189" s="22"/>
      <c r="G189" s="22"/>
      <c r="H189" s="22"/>
      <c r="I189" s="11"/>
      <c r="J189" s="22"/>
      <c r="K189" s="20" t="str">
        <f aca="false">IF(I189="","",IF(H189="LAK",I189*TYGIA_LAK,I189))</f>
        <v/>
      </c>
      <c r="L189" s="22"/>
      <c r="M189" s="22"/>
    </row>
    <row r="190" customFormat="false" ht="15" hidden="false" customHeight="false" outlineLevel="0" collapsed="false">
      <c r="A190" s="24" t="str">
        <f aca="false">IF(C190="","",ROW()-4)</f>
        <v/>
      </c>
      <c r="B190" s="46"/>
      <c r="C190" s="22"/>
      <c r="D190" s="24" t="str">
        <f aca="false">IF(C190="","",IFERROR(INDEX(NV_TEN,MATCH(C190,NV_MA,0)),"MÃ KHÔNG CÓ"))</f>
        <v/>
      </c>
      <c r="E190" s="22"/>
      <c r="F190" s="22"/>
      <c r="G190" s="22"/>
      <c r="H190" s="22"/>
      <c r="I190" s="11"/>
      <c r="J190" s="22"/>
      <c r="K190" s="20" t="str">
        <f aca="false">IF(I190="","",IF(H190="LAK",I190*TYGIA_LAK,I190))</f>
        <v/>
      </c>
      <c r="L190" s="22"/>
      <c r="M190" s="22"/>
    </row>
    <row r="191" customFormat="false" ht="15" hidden="false" customHeight="false" outlineLevel="0" collapsed="false">
      <c r="A191" s="24" t="str">
        <f aca="false">IF(C191="","",ROW()-4)</f>
        <v/>
      </c>
      <c r="B191" s="46"/>
      <c r="C191" s="22"/>
      <c r="D191" s="24" t="str">
        <f aca="false">IF(C191="","",IFERROR(INDEX(NV_TEN,MATCH(C191,NV_MA,0)),"MÃ KHÔNG CÓ"))</f>
        <v/>
      </c>
      <c r="E191" s="22"/>
      <c r="F191" s="22"/>
      <c r="G191" s="22"/>
      <c r="H191" s="22"/>
      <c r="I191" s="11"/>
      <c r="J191" s="22"/>
      <c r="K191" s="20" t="str">
        <f aca="false">IF(I191="","",IF(H191="LAK",I191*TYGIA_LAK,I191))</f>
        <v/>
      </c>
      <c r="L191" s="22"/>
      <c r="M191" s="22"/>
    </row>
    <row r="192" customFormat="false" ht="15" hidden="false" customHeight="false" outlineLevel="0" collapsed="false">
      <c r="A192" s="24" t="str">
        <f aca="false">IF(C192="","",ROW()-4)</f>
        <v/>
      </c>
      <c r="B192" s="46"/>
      <c r="C192" s="22"/>
      <c r="D192" s="24" t="str">
        <f aca="false">IF(C192="","",IFERROR(INDEX(NV_TEN,MATCH(C192,NV_MA,0)),"MÃ KHÔNG CÓ"))</f>
        <v/>
      </c>
      <c r="E192" s="22"/>
      <c r="F192" s="22"/>
      <c r="G192" s="22"/>
      <c r="H192" s="22"/>
      <c r="I192" s="11"/>
      <c r="J192" s="22"/>
      <c r="K192" s="20" t="str">
        <f aca="false">IF(I192="","",IF(H192="LAK",I192*TYGIA_LAK,I192))</f>
        <v/>
      </c>
      <c r="L192" s="22"/>
      <c r="M192" s="22"/>
    </row>
    <row r="193" customFormat="false" ht="15" hidden="false" customHeight="false" outlineLevel="0" collapsed="false">
      <c r="A193" s="24" t="str">
        <f aca="false">IF(C193="","",ROW()-4)</f>
        <v/>
      </c>
      <c r="B193" s="46"/>
      <c r="C193" s="22"/>
      <c r="D193" s="24" t="str">
        <f aca="false">IF(C193="","",IFERROR(INDEX(NV_TEN,MATCH(C193,NV_MA,0)),"MÃ KHÔNG CÓ"))</f>
        <v/>
      </c>
      <c r="E193" s="22"/>
      <c r="F193" s="22"/>
      <c r="G193" s="22"/>
      <c r="H193" s="22"/>
      <c r="I193" s="11"/>
      <c r="J193" s="22"/>
      <c r="K193" s="20" t="str">
        <f aca="false">IF(I193="","",IF(H193="LAK",I193*TYGIA_LAK,I193))</f>
        <v/>
      </c>
      <c r="L193" s="22"/>
      <c r="M193" s="22"/>
    </row>
    <row r="194" customFormat="false" ht="15" hidden="false" customHeight="false" outlineLevel="0" collapsed="false">
      <c r="A194" s="24" t="str">
        <f aca="false">IF(C194="","",ROW()-4)</f>
        <v/>
      </c>
      <c r="B194" s="46"/>
      <c r="C194" s="22"/>
      <c r="D194" s="24" t="str">
        <f aca="false">IF(C194="","",IFERROR(INDEX(NV_TEN,MATCH(C194,NV_MA,0)),"MÃ KHÔNG CÓ"))</f>
        <v/>
      </c>
      <c r="E194" s="22"/>
      <c r="F194" s="22"/>
      <c r="G194" s="22"/>
      <c r="H194" s="22"/>
      <c r="I194" s="11"/>
      <c r="J194" s="22"/>
      <c r="K194" s="20" t="str">
        <f aca="false">IF(I194="","",IF(H194="LAK",I194*TYGIA_LAK,I194))</f>
        <v/>
      </c>
      <c r="L194" s="22"/>
      <c r="M194" s="22"/>
    </row>
    <row r="195" customFormat="false" ht="15" hidden="false" customHeight="false" outlineLevel="0" collapsed="false">
      <c r="A195" s="24" t="str">
        <f aca="false">IF(C195="","",ROW()-4)</f>
        <v/>
      </c>
      <c r="B195" s="46"/>
      <c r="C195" s="22"/>
      <c r="D195" s="24" t="str">
        <f aca="false">IF(C195="","",IFERROR(INDEX(NV_TEN,MATCH(C195,NV_MA,0)),"MÃ KHÔNG CÓ"))</f>
        <v/>
      </c>
      <c r="E195" s="22"/>
      <c r="F195" s="22"/>
      <c r="G195" s="22"/>
      <c r="H195" s="22"/>
      <c r="I195" s="11"/>
      <c r="J195" s="22"/>
      <c r="K195" s="20" t="str">
        <f aca="false">IF(I195="","",IF(H195="LAK",I195*TYGIA_LAK,I195))</f>
        <v/>
      </c>
      <c r="L195" s="22"/>
      <c r="M195" s="22"/>
    </row>
    <row r="196" customFormat="false" ht="15" hidden="false" customHeight="false" outlineLevel="0" collapsed="false">
      <c r="A196" s="24" t="str">
        <f aca="false">IF(C196="","",ROW()-4)</f>
        <v/>
      </c>
      <c r="B196" s="46"/>
      <c r="C196" s="22"/>
      <c r="D196" s="24" t="str">
        <f aca="false">IF(C196="","",IFERROR(INDEX(NV_TEN,MATCH(C196,NV_MA,0)),"MÃ KHÔNG CÓ"))</f>
        <v/>
      </c>
      <c r="E196" s="22"/>
      <c r="F196" s="22"/>
      <c r="G196" s="22"/>
      <c r="H196" s="22"/>
      <c r="I196" s="11"/>
      <c r="J196" s="22"/>
      <c r="K196" s="20" t="str">
        <f aca="false">IF(I196="","",IF(H196="LAK",I196*TYGIA_LAK,I196))</f>
        <v/>
      </c>
      <c r="L196" s="22"/>
      <c r="M196" s="22"/>
    </row>
    <row r="197" customFormat="false" ht="15" hidden="false" customHeight="false" outlineLevel="0" collapsed="false">
      <c r="A197" s="24" t="str">
        <f aca="false">IF(C197="","",ROW()-4)</f>
        <v/>
      </c>
      <c r="B197" s="46"/>
      <c r="C197" s="22"/>
      <c r="D197" s="24" t="str">
        <f aca="false">IF(C197="","",IFERROR(INDEX(NV_TEN,MATCH(C197,NV_MA,0)),"MÃ KHÔNG CÓ"))</f>
        <v/>
      </c>
      <c r="E197" s="22"/>
      <c r="F197" s="22"/>
      <c r="G197" s="22"/>
      <c r="H197" s="22"/>
      <c r="I197" s="11"/>
      <c r="J197" s="22"/>
      <c r="K197" s="20" t="str">
        <f aca="false">IF(I197="","",IF(H197="LAK",I197*TYGIA_LAK,I197))</f>
        <v/>
      </c>
      <c r="L197" s="22"/>
      <c r="M197" s="22"/>
    </row>
    <row r="198" customFormat="false" ht="15" hidden="false" customHeight="false" outlineLevel="0" collapsed="false">
      <c r="A198" s="24" t="str">
        <f aca="false">IF(C198="","",ROW()-4)</f>
        <v/>
      </c>
      <c r="B198" s="46"/>
      <c r="C198" s="22"/>
      <c r="D198" s="24" t="str">
        <f aca="false">IF(C198="","",IFERROR(INDEX(NV_TEN,MATCH(C198,NV_MA,0)),"MÃ KHÔNG CÓ"))</f>
        <v/>
      </c>
      <c r="E198" s="22"/>
      <c r="F198" s="22"/>
      <c r="G198" s="22"/>
      <c r="H198" s="22"/>
      <c r="I198" s="11"/>
      <c r="J198" s="22"/>
      <c r="K198" s="20" t="str">
        <f aca="false">IF(I198="","",IF(H198="LAK",I198*TYGIA_LAK,I198))</f>
        <v/>
      </c>
      <c r="L198" s="22"/>
      <c r="M198" s="22"/>
    </row>
    <row r="199" customFormat="false" ht="15" hidden="false" customHeight="false" outlineLevel="0" collapsed="false">
      <c r="A199" s="24" t="str">
        <f aca="false">IF(C199="","",ROW()-4)</f>
        <v/>
      </c>
      <c r="B199" s="46"/>
      <c r="C199" s="22"/>
      <c r="D199" s="24" t="str">
        <f aca="false">IF(C199="","",IFERROR(INDEX(NV_TEN,MATCH(C199,NV_MA,0)),"MÃ KHÔNG CÓ"))</f>
        <v/>
      </c>
      <c r="E199" s="22"/>
      <c r="F199" s="22"/>
      <c r="G199" s="22"/>
      <c r="H199" s="22"/>
      <c r="I199" s="11"/>
      <c r="J199" s="22"/>
      <c r="K199" s="20" t="str">
        <f aca="false">IF(I199="","",IF(H199="LAK",I199*TYGIA_LAK,I199))</f>
        <v/>
      </c>
      <c r="L199" s="22"/>
      <c r="M199" s="22"/>
    </row>
    <row r="200" customFormat="false" ht="15" hidden="false" customHeight="false" outlineLevel="0" collapsed="false">
      <c r="A200" s="24" t="str">
        <f aca="false">IF(C200="","",ROW()-4)</f>
        <v/>
      </c>
      <c r="B200" s="46"/>
      <c r="C200" s="22"/>
      <c r="D200" s="24" t="str">
        <f aca="false">IF(C200="","",IFERROR(INDEX(NV_TEN,MATCH(C200,NV_MA,0)),"MÃ KHÔNG CÓ"))</f>
        <v/>
      </c>
      <c r="E200" s="22"/>
      <c r="F200" s="22"/>
      <c r="G200" s="22"/>
      <c r="H200" s="22"/>
      <c r="I200" s="11"/>
      <c r="J200" s="22"/>
      <c r="K200" s="20" t="str">
        <f aca="false">IF(I200="","",IF(H200="LAK",I200*TYGIA_LAK,I200))</f>
        <v/>
      </c>
      <c r="L200" s="22"/>
      <c r="M200" s="22"/>
    </row>
    <row r="201" customFormat="false" ht="15" hidden="false" customHeight="false" outlineLevel="0" collapsed="false">
      <c r="A201" s="24" t="str">
        <f aca="false">IF(C201="","",ROW()-4)</f>
        <v/>
      </c>
      <c r="B201" s="46"/>
      <c r="C201" s="22"/>
      <c r="D201" s="24" t="str">
        <f aca="false">IF(C201="","",IFERROR(INDEX(NV_TEN,MATCH(C201,NV_MA,0)),"MÃ KHÔNG CÓ"))</f>
        <v/>
      </c>
      <c r="E201" s="22"/>
      <c r="F201" s="22"/>
      <c r="G201" s="22"/>
      <c r="H201" s="22"/>
      <c r="I201" s="11"/>
      <c r="J201" s="22"/>
      <c r="K201" s="20" t="str">
        <f aca="false">IF(I201="","",IF(H201="LAK",I201*TYGIA_LAK,I201))</f>
        <v/>
      </c>
      <c r="L201" s="22"/>
      <c r="M201" s="22"/>
    </row>
    <row r="202" customFormat="false" ht="15" hidden="false" customHeight="false" outlineLevel="0" collapsed="false">
      <c r="A202" s="24" t="str">
        <f aca="false">IF(C202="","",ROW()-4)</f>
        <v/>
      </c>
      <c r="B202" s="46"/>
      <c r="C202" s="22"/>
      <c r="D202" s="24" t="str">
        <f aca="false">IF(C202="","",IFERROR(INDEX(NV_TEN,MATCH(C202,NV_MA,0)),"MÃ KHÔNG CÓ"))</f>
        <v/>
      </c>
      <c r="E202" s="22"/>
      <c r="F202" s="22"/>
      <c r="G202" s="22"/>
      <c r="H202" s="22"/>
      <c r="I202" s="11"/>
      <c r="J202" s="22"/>
      <c r="K202" s="20" t="str">
        <f aca="false">IF(I202="","",IF(H202="LAK",I202*TYGIA_LAK,I202))</f>
        <v/>
      </c>
      <c r="L202" s="22"/>
      <c r="M202" s="22"/>
    </row>
    <row r="203" customFormat="false" ht="15" hidden="false" customHeight="false" outlineLevel="0" collapsed="false">
      <c r="A203" s="24" t="str">
        <f aca="false">IF(C203="","",ROW()-4)</f>
        <v/>
      </c>
      <c r="B203" s="46"/>
      <c r="C203" s="22"/>
      <c r="D203" s="24" t="str">
        <f aca="false">IF(C203="","",IFERROR(INDEX(NV_TEN,MATCH(C203,NV_MA,0)),"MÃ KHÔNG CÓ"))</f>
        <v/>
      </c>
      <c r="E203" s="22"/>
      <c r="F203" s="22"/>
      <c r="G203" s="22"/>
      <c r="H203" s="22"/>
      <c r="I203" s="11"/>
      <c r="J203" s="22"/>
      <c r="K203" s="20" t="str">
        <f aca="false">IF(I203="","",IF(H203="LAK",I203*TYGIA_LAK,I203))</f>
        <v/>
      </c>
      <c r="L203" s="22"/>
      <c r="M203" s="22"/>
    </row>
    <row r="204" customFormat="false" ht="15" hidden="false" customHeight="false" outlineLevel="0" collapsed="false">
      <c r="A204" s="24" t="str">
        <f aca="false">IF(C204="","",ROW()-4)</f>
        <v/>
      </c>
      <c r="B204" s="46"/>
      <c r="C204" s="22"/>
      <c r="D204" s="24" t="str">
        <f aca="false">IF(C204="","",IFERROR(INDEX(NV_TEN,MATCH(C204,NV_MA,0)),"MÃ KHÔNG CÓ"))</f>
        <v/>
      </c>
      <c r="E204" s="22"/>
      <c r="F204" s="22"/>
      <c r="G204" s="22"/>
      <c r="H204" s="22"/>
      <c r="I204" s="11"/>
      <c r="J204" s="22"/>
      <c r="K204" s="20" t="str">
        <f aca="false">IF(I204="","",IF(H204="LAK",I204*TYGIA_LAK,I204))</f>
        <v/>
      </c>
      <c r="L204" s="22"/>
      <c r="M204" s="22"/>
    </row>
    <row r="205" customFormat="false" ht="15" hidden="false" customHeight="false" outlineLevel="0" collapsed="false">
      <c r="A205" s="24" t="str">
        <f aca="false">IF(C205="","",ROW()-4)</f>
        <v/>
      </c>
      <c r="B205" s="46"/>
      <c r="C205" s="22"/>
      <c r="D205" s="24" t="str">
        <f aca="false">IF(C205="","",IFERROR(INDEX(NV_TEN,MATCH(C205,NV_MA,0)),"MÃ KHÔNG CÓ"))</f>
        <v/>
      </c>
      <c r="E205" s="22"/>
      <c r="F205" s="22"/>
      <c r="G205" s="22"/>
      <c r="H205" s="22"/>
      <c r="I205" s="11"/>
      <c r="J205" s="22"/>
      <c r="K205" s="20" t="str">
        <f aca="false">IF(I205="","",IF(H205="LAK",I205*TYGIA_LAK,I205))</f>
        <v/>
      </c>
      <c r="L205" s="22"/>
      <c r="M205" s="22"/>
    </row>
    <row r="206" customFormat="false" ht="15" hidden="false" customHeight="false" outlineLevel="0" collapsed="false">
      <c r="A206" s="24" t="str">
        <f aca="false">IF(C206="","",ROW()-4)</f>
        <v/>
      </c>
      <c r="B206" s="46"/>
      <c r="C206" s="22"/>
      <c r="D206" s="24" t="str">
        <f aca="false">IF(C206="","",IFERROR(INDEX(NV_TEN,MATCH(C206,NV_MA,0)),"MÃ KHÔNG CÓ"))</f>
        <v/>
      </c>
      <c r="E206" s="22"/>
      <c r="F206" s="22"/>
      <c r="G206" s="22"/>
      <c r="H206" s="22"/>
      <c r="I206" s="11"/>
      <c r="J206" s="22"/>
      <c r="K206" s="20" t="str">
        <f aca="false">IF(I206="","",IF(H206="LAK",I206*TYGIA_LAK,I206))</f>
        <v/>
      </c>
      <c r="L206" s="22"/>
      <c r="M206" s="22"/>
    </row>
    <row r="207" customFormat="false" ht="15" hidden="false" customHeight="false" outlineLevel="0" collapsed="false">
      <c r="A207" s="24" t="str">
        <f aca="false">IF(C207="","",ROW()-4)</f>
        <v/>
      </c>
      <c r="B207" s="46"/>
      <c r="C207" s="22"/>
      <c r="D207" s="24" t="str">
        <f aca="false">IF(C207="","",IFERROR(INDEX(NV_TEN,MATCH(C207,NV_MA,0)),"MÃ KHÔNG CÓ"))</f>
        <v/>
      </c>
      <c r="E207" s="22"/>
      <c r="F207" s="22"/>
      <c r="G207" s="22"/>
      <c r="H207" s="22"/>
      <c r="I207" s="11"/>
      <c r="J207" s="22"/>
      <c r="K207" s="20" t="str">
        <f aca="false">IF(I207="","",IF(H207="LAK",I207*TYGIA_LAK,I207))</f>
        <v/>
      </c>
      <c r="L207" s="22"/>
      <c r="M207" s="22"/>
    </row>
    <row r="208" customFormat="false" ht="15" hidden="false" customHeight="false" outlineLevel="0" collapsed="false">
      <c r="A208" s="24" t="str">
        <f aca="false">IF(C208="","",ROW()-4)</f>
        <v/>
      </c>
      <c r="B208" s="46"/>
      <c r="C208" s="22"/>
      <c r="D208" s="24" t="str">
        <f aca="false">IF(C208="","",IFERROR(INDEX(NV_TEN,MATCH(C208,NV_MA,0)),"MÃ KHÔNG CÓ"))</f>
        <v/>
      </c>
      <c r="E208" s="22"/>
      <c r="F208" s="22"/>
      <c r="G208" s="22"/>
      <c r="H208" s="22"/>
      <c r="I208" s="11"/>
      <c r="J208" s="22"/>
      <c r="K208" s="20" t="str">
        <f aca="false">IF(I208="","",IF(H208="LAK",I208*TYGIA_LAK,I208))</f>
        <v/>
      </c>
      <c r="L208" s="22"/>
      <c r="M208" s="22"/>
    </row>
    <row r="209" customFormat="false" ht="15" hidden="false" customHeight="false" outlineLevel="0" collapsed="false">
      <c r="A209" s="24" t="str">
        <f aca="false">IF(C209="","",ROW()-4)</f>
        <v/>
      </c>
      <c r="B209" s="46"/>
      <c r="C209" s="22"/>
      <c r="D209" s="24" t="str">
        <f aca="false">IF(C209="","",IFERROR(INDEX(NV_TEN,MATCH(C209,NV_MA,0)),"MÃ KHÔNG CÓ"))</f>
        <v/>
      </c>
      <c r="E209" s="22"/>
      <c r="F209" s="22"/>
      <c r="G209" s="22"/>
      <c r="H209" s="22"/>
      <c r="I209" s="11"/>
      <c r="J209" s="22"/>
      <c r="K209" s="20" t="str">
        <f aca="false">IF(I209="","",IF(H209="LAK",I209*TYGIA_LAK,I209))</f>
        <v/>
      </c>
      <c r="L209" s="22"/>
      <c r="M209" s="22"/>
    </row>
    <row r="210" customFormat="false" ht="15" hidden="false" customHeight="false" outlineLevel="0" collapsed="false">
      <c r="A210" s="24" t="str">
        <f aca="false">IF(C210="","",ROW()-4)</f>
        <v/>
      </c>
      <c r="B210" s="46"/>
      <c r="C210" s="22"/>
      <c r="D210" s="24" t="str">
        <f aca="false">IF(C210="","",IFERROR(INDEX(NV_TEN,MATCH(C210,NV_MA,0)),"MÃ KHÔNG CÓ"))</f>
        <v/>
      </c>
      <c r="E210" s="22"/>
      <c r="F210" s="22"/>
      <c r="G210" s="22"/>
      <c r="H210" s="22"/>
      <c r="I210" s="11"/>
      <c r="J210" s="22"/>
      <c r="K210" s="20" t="str">
        <f aca="false">IF(I210="","",IF(H210="LAK",I210*TYGIA_LAK,I210))</f>
        <v/>
      </c>
      <c r="L210" s="22"/>
      <c r="M210" s="22"/>
    </row>
    <row r="211" customFormat="false" ht="15" hidden="false" customHeight="false" outlineLevel="0" collapsed="false">
      <c r="A211" s="24" t="str">
        <f aca="false">IF(C211="","",ROW()-4)</f>
        <v/>
      </c>
      <c r="B211" s="46"/>
      <c r="C211" s="22"/>
      <c r="D211" s="24" t="str">
        <f aca="false">IF(C211="","",IFERROR(INDEX(NV_TEN,MATCH(C211,NV_MA,0)),"MÃ KHÔNG CÓ"))</f>
        <v/>
      </c>
      <c r="E211" s="22"/>
      <c r="F211" s="22"/>
      <c r="G211" s="22"/>
      <c r="H211" s="22"/>
      <c r="I211" s="11"/>
      <c r="J211" s="22"/>
      <c r="K211" s="20" t="str">
        <f aca="false">IF(I211="","",IF(H211="LAK",I211*TYGIA_LAK,I211))</f>
        <v/>
      </c>
      <c r="L211" s="22"/>
      <c r="M211" s="22"/>
    </row>
    <row r="212" customFormat="false" ht="15" hidden="false" customHeight="false" outlineLevel="0" collapsed="false">
      <c r="A212" s="24" t="str">
        <f aca="false">IF(C212="","",ROW()-4)</f>
        <v/>
      </c>
      <c r="B212" s="46"/>
      <c r="C212" s="22"/>
      <c r="D212" s="24" t="str">
        <f aca="false">IF(C212="","",IFERROR(INDEX(NV_TEN,MATCH(C212,NV_MA,0)),"MÃ KHÔNG CÓ"))</f>
        <v/>
      </c>
      <c r="E212" s="22"/>
      <c r="F212" s="22"/>
      <c r="G212" s="22"/>
      <c r="H212" s="22"/>
      <c r="I212" s="11"/>
      <c r="J212" s="22"/>
      <c r="K212" s="20" t="str">
        <f aca="false">IF(I212="","",IF(H212="LAK",I212*TYGIA_LAK,I212))</f>
        <v/>
      </c>
      <c r="L212" s="22"/>
      <c r="M212" s="22"/>
    </row>
    <row r="213" customFormat="false" ht="15" hidden="false" customHeight="false" outlineLevel="0" collapsed="false">
      <c r="A213" s="24" t="str">
        <f aca="false">IF(C213="","",ROW()-4)</f>
        <v/>
      </c>
      <c r="B213" s="46"/>
      <c r="C213" s="22"/>
      <c r="D213" s="24" t="str">
        <f aca="false">IF(C213="","",IFERROR(INDEX(NV_TEN,MATCH(C213,NV_MA,0)),"MÃ KHÔNG CÓ"))</f>
        <v/>
      </c>
      <c r="E213" s="22"/>
      <c r="F213" s="22"/>
      <c r="G213" s="22"/>
      <c r="H213" s="22"/>
      <c r="I213" s="11"/>
      <c r="J213" s="22"/>
      <c r="K213" s="20" t="str">
        <f aca="false">IF(I213="","",IF(H213="LAK",I213*TYGIA_LAK,I213))</f>
        <v/>
      </c>
      <c r="L213" s="22"/>
      <c r="M213" s="22"/>
    </row>
    <row r="214" customFormat="false" ht="15" hidden="false" customHeight="false" outlineLevel="0" collapsed="false">
      <c r="A214" s="24" t="str">
        <f aca="false">IF(C214="","",ROW()-4)</f>
        <v/>
      </c>
      <c r="B214" s="46"/>
      <c r="C214" s="22"/>
      <c r="D214" s="24" t="str">
        <f aca="false">IF(C214="","",IFERROR(INDEX(NV_TEN,MATCH(C214,NV_MA,0)),"MÃ KHÔNG CÓ"))</f>
        <v/>
      </c>
      <c r="E214" s="22"/>
      <c r="F214" s="22"/>
      <c r="G214" s="22"/>
      <c r="H214" s="22"/>
      <c r="I214" s="11"/>
      <c r="J214" s="22"/>
      <c r="K214" s="20" t="str">
        <f aca="false">IF(I214="","",IF(H214="LAK",I214*TYGIA_LAK,I214))</f>
        <v/>
      </c>
      <c r="L214" s="22"/>
      <c r="M214" s="22"/>
    </row>
    <row r="215" customFormat="false" ht="15" hidden="false" customHeight="false" outlineLevel="0" collapsed="false">
      <c r="A215" s="24" t="str">
        <f aca="false">IF(C215="","",ROW()-4)</f>
        <v/>
      </c>
      <c r="B215" s="46"/>
      <c r="C215" s="22"/>
      <c r="D215" s="24" t="str">
        <f aca="false">IF(C215="","",IFERROR(INDEX(NV_TEN,MATCH(C215,NV_MA,0)),"MÃ KHÔNG CÓ"))</f>
        <v/>
      </c>
      <c r="E215" s="22"/>
      <c r="F215" s="22"/>
      <c r="G215" s="22"/>
      <c r="H215" s="22"/>
      <c r="I215" s="11"/>
      <c r="J215" s="22"/>
      <c r="K215" s="20" t="str">
        <f aca="false">IF(I215="","",IF(H215="LAK",I215*TYGIA_LAK,I215))</f>
        <v/>
      </c>
      <c r="L215" s="22"/>
      <c r="M215" s="22"/>
    </row>
    <row r="216" customFormat="false" ht="15" hidden="false" customHeight="false" outlineLevel="0" collapsed="false">
      <c r="A216" s="24" t="str">
        <f aca="false">IF(C216="","",ROW()-4)</f>
        <v/>
      </c>
      <c r="B216" s="46"/>
      <c r="C216" s="22"/>
      <c r="D216" s="24" t="str">
        <f aca="false">IF(C216="","",IFERROR(INDEX(NV_TEN,MATCH(C216,NV_MA,0)),"MÃ KHÔNG CÓ"))</f>
        <v/>
      </c>
      <c r="E216" s="22"/>
      <c r="F216" s="22"/>
      <c r="G216" s="22"/>
      <c r="H216" s="22"/>
      <c r="I216" s="11"/>
      <c r="J216" s="22"/>
      <c r="K216" s="20" t="str">
        <f aca="false">IF(I216="","",IF(H216="LAK",I216*TYGIA_LAK,I216))</f>
        <v/>
      </c>
      <c r="L216" s="22"/>
      <c r="M216" s="22"/>
    </row>
    <row r="217" customFormat="false" ht="15" hidden="false" customHeight="false" outlineLevel="0" collapsed="false">
      <c r="A217" s="24" t="str">
        <f aca="false">IF(C217="","",ROW()-4)</f>
        <v/>
      </c>
      <c r="B217" s="46"/>
      <c r="C217" s="22"/>
      <c r="D217" s="24" t="str">
        <f aca="false">IF(C217="","",IFERROR(INDEX(NV_TEN,MATCH(C217,NV_MA,0)),"MÃ KHÔNG CÓ"))</f>
        <v/>
      </c>
      <c r="E217" s="22"/>
      <c r="F217" s="22"/>
      <c r="G217" s="22"/>
      <c r="H217" s="22"/>
      <c r="I217" s="11"/>
      <c r="J217" s="22"/>
      <c r="K217" s="20" t="str">
        <f aca="false">IF(I217="","",IF(H217="LAK",I217*TYGIA_LAK,I217))</f>
        <v/>
      </c>
      <c r="L217" s="22"/>
      <c r="M217" s="22"/>
    </row>
    <row r="218" customFormat="false" ht="15" hidden="false" customHeight="false" outlineLevel="0" collapsed="false">
      <c r="A218" s="24" t="str">
        <f aca="false">IF(C218="","",ROW()-4)</f>
        <v/>
      </c>
      <c r="B218" s="46"/>
      <c r="C218" s="22"/>
      <c r="D218" s="24" t="str">
        <f aca="false">IF(C218="","",IFERROR(INDEX(NV_TEN,MATCH(C218,NV_MA,0)),"MÃ KHÔNG CÓ"))</f>
        <v/>
      </c>
      <c r="E218" s="22"/>
      <c r="F218" s="22"/>
      <c r="G218" s="22"/>
      <c r="H218" s="22"/>
      <c r="I218" s="11"/>
      <c r="J218" s="22"/>
      <c r="K218" s="20" t="str">
        <f aca="false">IF(I218="","",IF(H218="LAK",I218*TYGIA_LAK,I218))</f>
        <v/>
      </c>
      <c r="L218" s="22"/>
      <c r="M218" s="22"/>
    </row>
    <row r="219" customFormat="false" ht="15" hidden="false" customHeight="false" outlineLevel="0" collapsed="false">
      <c r="A219" s="24" t="str">
        <f aca="false">IF(C219="","",ROW()-4)</f>
        <v/>
      </c>
      <c r="B219" s="46"/>
      <c r="C219" s="22"/>
      <c r="D219" s="24" t="str">
        <f aca="false">IF(C219="","",IFERROR(INDEX(NV_TEN,MATCH(C219,NV_MA,0)),"MÃ KHÔNG CÓ"))</f>
        <v/>
      </c>
      <c r="E219" s="22"/>
      <c r="F219" s="22"/>
      <c r="G219" s="22"/>
      <c r="H219" s="22"/>
      <c r="I219" s="11"/>
      <c r="J219" s="22"/>
      <c r="K219" s="20" t="str">
        <f aca="false">IF(I219="","",IF(H219="LAK",I219*TYGIA_LAK,I219))</f>
        <v/>
      </c>
      <c r="L219" s="22"/>
      <c r="M219" s="22"/>
    </row>
    <row r="220" customFormat="false" ht="15" hidden="false" customHeight="false" outlineLevel="0" collapsed="false">
      <c r="A220" s="24" t="str">
        <f aca="false">IF(C220="","",ROW()-4)</f>
        <v/>
      </c>
      <c r="B220" s="46"/>
      <c r="C220" s="22"/>
      <c r="D220" s="24" t="str">
        <f aca="false">IF(C220="","",IFERROR(INDEX(NV_TEN,MATCH(C220,NV_MA,0)),"MÃ KHÔNG CÓ"))</f>
        <v/>
      </c>
      <c r="E220" s="22"/>
      <c r="F220" s="22"/>
      <c r="G220" s="22"/>
      <c r="H220" s="22"/>
      <c r="I220" s="11"/>
      <c r="J220" s="22"/>
      <c r="K220" s="20" t="str">
        <f aca="false">IF(I220="","",IF(H220="LAK",I220*TYGIA_LAK,I220))</f>
        <v/>
      </c>
      <c r="L220" s="22"/>
      <c r="M220" s="22"/>
    </row>
    <row r="221" customFormat="false" ht="15" hidden="false" customHeight="false" outlineLevel="0" collapsed="false">
      <c r="A221" s="24" t="str">
        <f aca="false">IF(C221="","",ROW()-4)</f>
        <v/>
      </c>
      <c r="B221" s="46"/>
      <c r="C221" s="22"/>
      <c r="D221" s="24" t="str">
        <f aca="false">IF(C221="","",IFERROR(INDEX(NV_TEN,MATCH(C221,NV_MA,0)),"MÃ KHÔNG CÓ"))</f>
        <v/>
      </c>
      <c r="E221" s="22"/>
      <c r="F221" s="22"/>
      <c r="G221" s="22"/>
      <c r="H221" s="22"/>
      <c r="I221" s="11"/>
      <c r="J221" s="22"/>
      <c r="K221" s="20" t="str">
        <f aca="false">IF(I221="","",IF(H221="LAK",I221*TYGIA_LAK,I221))</f>
        <v/>
      </c>
      <c r="L221" s="22"/>
      <c r="M221" s="22"/>
    </row>
    <row r="222" customFormat="false" ht="15" hidden="false" customHeight="false" outlineLevel="0" collapsed="false">
      <c r="A222" s="24" t="str">
        <f aca="false">IF(C222="","",ROW()-4)</f>
        <v/>
      </c>
      <c r="B222" s="46"/>
      <c r="C222" s="22"/>
      <c r="D222" s="24" t="str">
        <f aca="false">IF(C222="","",IFERROR(INDEX(NV_TEN,MATCH(C222,NV_MA,0)),"MÃ KHÔNG CÓ"))</f>
        <v/>
      </c>
      <c r="E222" s="22"/>
      <c r="F222" s="22"/>
      <c r="G222" s="22"/>
      <c r="H222" s="22"/>
      <c r="I222" s="11"/>
      <c r="J222" s="22"/>
      <c r="K222" s="20" t="str">
        <f aca="false">IF(I222="","",IF(H222="LAK",I222*TYGIA_LAK,I222))</f>
        <v/>
      </c>
      <c r="L222" s="22"/>
      <c r="M222" s="22"/>
    </row>
    <row r="223" customFormat="false" ht="15" hidden="false" customHeight="false" outlineLevel="0" collapsed="false">
      <c r="A223" s="24" t="str">
        <f aca="false">IF(C223="","",ROW()-4)</f>
        <v/>
      </c>
      <c r="B223" s="46"/>
      <c r="C223" s="22"/>
      <c r="D223" s="24" t="str">
        <f aca="false">IF(C223="","",IFERROR(INDEX(NV_TEN,MATCH(C223,NV_MA,0)),"MÃ KHÔNG CÓ"))</f>
        <v/>
      </c>
      <c r="E223" s="22"/>
      <c r="F223" s="22"/>
      <c r="G223" s="22"/>
      <c r="H223" s="22"/>
      <c r="I223" s="11"/>
      <c r="J223" s="22"/>
      <c r="K223" s="20" t="str">
        <f aca="false">IF(I223="","",IF(H223="LAK",I223*TYGIA_LAK,I223))</f>
        <v/>
      </c>
      <c r="L223" s="22"/>
      <c r="M223" s="22"/>
    </row>
    <row r="224" customFormat="false" ht="15" hidden="false" customHeight="false" outlineLevel="0" collapsed="false">
      <c r="A224" s="24" t="str">
        <f aca="false">IF(C224="","",ROW()-4)</f>
        <v/>
      </c>
      <c r="B224" s="46"/>
      <c r="C224" s="22"/>
      <c r="D224" s="24" t="str">
        <f aca="false">IF(C224="","",IFERROR(INDEX(NV_TEN,MATCH(C224,NV_MA,0)),"MÃ KHÔNG CÓ"))</f>
        <v/>
      </c>
      <c r="E224" s="22"/>
      <c r="F224" s="22"/>
      <c r="G224" s="22"/>
      <c r="H224" s="22"/>
      <c r="I224" s="11"/>
      <c r="J224" s="22"/>
      <c r="K224" s="20" t="str">
        <f aca="false">IF(I224="","",IF(H224="LAK",I224*TYGIA_LAK,I224))</f>
        <v/>
      </c>
      <c r="L224" s="22"/>
      <c r="M224" s="22"/>
    </row>
    <row r="225" customFormat="false" ht="15" hidden="false" customHeight="false" outlineLevel="0" collapsed="false">
      <c r="A225" s="24" t="str">
        <f aca="false">IF(C225="","",ROW()-4)</f>
        <v/>
      </c>
      <c r="B225" s="46"/>
      <c r="C225" s="22"/>
      <c r="D225" s="24" t="str">
        <f aca="false">IF(C225="","",IFERROR(INDEX(NV_TEN,MATCH(C225,NV_MA,0)),"MÃ KHÔNG CÓ"))</f>
        <v/>
      </c>
      <c r="E225" s="22"/>
      <c r="F225" s="22"/>
      <c r="G225" s="22"/>
      <c r="H225" s="22"/>
      <c r="I225" s="11"/>
      <c r="J225" s="22"/>
      <c r="K225" s="20" t="str">
        <f aca="false">IF(I225="","",IF(H225="LAK",I225*TYGIA_LAK,I225))</f>
        <v/>
      </c>
      <c r="L225" s="22"/>
      <c r="M225" s="22"/>
    </row>
    <row r="226" customFormat="false" ht="15" hidden="false" customHeight="false" outlineLevel="0" collapsed="false">
      <c r="A226" s="24" t="str">
        <f aca="false">IF(C226="","",ROW()-4)</f>
        <v/>
      </c>
      <c r="B226" s="46"/>
      <c r="C226" s="22"/>
      <c r="D226" s="24" t="str">
        <f aca="false">IF(C226="","",IFERROR(INDEX(NV_TEN,MATCH(C226,NV_MA,0)),"MÃ KHÔNG CÓ"))</f>
        <v/>
      </c>
      <c r="E226" s="22"/>
      <c r="F226" s="22"/>
      <c r="G226" s="22"/>
      <c r="H226" s="22"/>
      <c r="I226" s="11"/>
      <c r="J226" s="22"/>
      <c r="K226" s="20" t="str">
        <f aca="false">IF(I226="","",IF(H226="LAK",I226*TYGIA_LAK,I226))</f>
        <v/>
      </c>
      <c r="L226" s="22"/>
      <c r="M226" s="22"/>
    </row>
    <row r="227" customFormat="false" ht="15" hidden="false" customHeight="false" outlineLevel="0" collapsed="false">
      <c r="A227" s="24" t="str">
        <f aca="false">IF(C227="","",ROW()-4)</f>
        <v/>
      </c>
      <c r="B227" s="46"/>
      <c r="C227" s="22"/>
      <c r="D227" s="24" t="str">
        <f aca="false">IF(C227="","",IFERROR(INDEX(NV_TEN,MATCH(C227,NV_MA,0)),"MÃ KHÔNG CÓ"))</f>
        <v/>
      </c>
      <c r="E227" s="22"/>
      <c r="F227" s="22"/>
      <c r="G227" s="22"/>
      <c r="H227" s="22"/>
      <c r="I227" s="11"/>
      <c r="J227" s="22"/>
      <c r="K227" s="20" t="str">
        <f aca="false">IF(I227="","",IF(H227="LAK",I227*TYGIA_LAK,I227))</f>
        <v/>
      </c>
      <c r="L227" s="22"/>
      <c r="M227" s="22"/>
    </row>
    <row r="228" customFormat="false" ht="15" hidden="false" customHeight="false" outlineLevel="0" collapsed="false">
      <c r="A228" s="24" t="str">
        <f aca="false">IF(C228="","",ROW()-4)</f>
        <v/>
      </c>
      <c r="B228" s="46"/>
      <c r="C228" s="22"/>
      <c r="D228" s="24" t="str">
        <f aca="false">IF(C228="","",IFERROR(INDEX(NV_TEN,MATCH(C228,NV_MA,0)),"MÃ KHÔNG CÓ"))</f>
        <v/>
      </c>
      <c r="E228" s="22"/>
      <c r="F228" s="22"/>
      <c r="G228" s="22"/>
      <c r="H228" s="22"/>
      <c r="I228" s="11"/>
      <c r="J228" s="22"/>
      <c r="K228" s="20" t="str">
        <f aca="false">IF(I228="","",IF(H228="LAK",I228*TYGIA_LAK,I228))</f>
        <v/>
      </c>
      <c r="L228" s="22"/>
      <c r="M228" s="22"/>
    </row>
    <row r="229" customFormat="false" ht="15" hidden="false" customHeight="false" outlineLevel="0" collapsed="false">
      <c r="A229" s="24" t="str">
        <f aca="false">IF(C229="","",ROW()-4)</f>
        <v/>
      </c>
      <c r="B229" s="46"/>
      <c r="C229" s="22"/>
      <c r="D229" s="24" t="str">
        <f aca="false">IF(C229="","",IFERROR(INDEX(NV_TEN,MATCH(C229,NV_MA,0)),"MÃ KHÔNG CÓ"))</f>
        <v/>
      </c>
      <c r="E229" s="22"/>
      <c r="F229" s="22"/>
      <c r="G229" s="22"/>
      <c r="H229" s="22"/>
      <c r="I229" s="11"/>
      <c r="J229" s="22"/>
      <c r="K229" s="20" t="str">
        <f aca="false">IF(I229="","",IF(H229="LAK",I229*TYGIA_LAK,I229))</f>
        <v/>
      </c>
      <c r="L229" s="22"/>
      <c r="M229" s="22"/>
    </row>
    <row r="230" customFormat="false" ht="15" hidden="false" customHeight="false" outlineLevel="0" collapsed="false">
      <c r="A230" s="24" t="str">
        <f aca="false">IF(C230="","",ROW()-4)</f>
        <v/>
      </c>
      <c r="B230" s="46"/>
      <c r="C230" s="22"/>
      <c r="D230" s="24" t="str">
        <f aca="false">IF(C230="","",IFERROR(INDEX(NV_TEN,MATCH(C230,NV_MA,0)),"MÃ KHÔNG CÓ"))</f>
        <v/>
      </c>
      <c r="E230" s="22"/>
      <c r="F230" s="22"/>
      <c r="G230" s="22"/>
      <c r="H230" s="22"/>
      <c r="I230" s="11"/>
      <c r="J230" s="22"/>
      <c r="K230" s="20" t="str">
        <f aca="false">IF(I230="","",IF(H230="LAK",I230*TYGIA_LAK,I230))</f>
        <v/>
      </c>
      <c r="L230" s="22"/>
      <c r="M230" s="22"/>
    </row>
    <row r="231" customFormat="false" ht="15" hidden="false" customHeight="false" outlineLevel="0" collapsed="false">
      <c r="A231" s="24" t="str">
        <f aca="false">IF(C231="","",ROW()-4)</f>
        <v/>
      </c>
      <c r="B231" s="46"/>
      <c r="C231" s="22"/>
      <c r="D231" s="24" t="str">
        <f aca="false">IF(C231="","",IFERROR(INDEX(NV_TEN,MATCH(C231,NV_MA,0)),"MÃ KHÔNG CÓ"))</f>
        <v/>
      </c>
      <c r="E231" s="22"/>
      <c r="F231" s="22"/>
      <c r="G231" s="22"/>
      <c r="H231" s="22"/>
      <c r="I231" s="11"/>
      <c r="J231" s="22"/>
      <c r="K231" s="20" t="str">
        <f aca="false">IF(I231="","",IF(H231="LAK",I231*TYGIA_LAK,I231))</f>
        <v/>
      </c>
      <c r="L231" s="22"/>
      <c r="M231" s="22"/>
    </row>
    <row r="232" customFormat="false" ht="15" hidden="false" customHeight="false" outlineLevel="0" collapsed="false">
      <c r="A232" s="24" t="str">
        <f aca="false">IF(C232="","",ROW()-4)</f>
        <v/>
      </c>
      <c r="B232" s="46"/>
      <c r="C232" s="22"/>
      <c r="D232" s="24" t="str">
        <f aca="false">IF(C232="","",IFERROR(INDEX(NV_TEN,MATCH(C232,NV_MA,0)),"MÃ KHÔNG CÓ"))</f>
        <v/>
      </c>
      <c r="E232" s="22"/>
      <c r="F232" s="22"/>
      <c r="G232" s="22"/>
      <c r="H232" s="22"/>
      <c r="I232" s="11"/>
      <c r="J232" s="22"/>
      <c r="K232" s="20" t="str">
        <f aca="false">IF(I232="","",IF(H232="LAK",I232*TYGIA_LAK,I232))</f>
        <v/>
      </c>
      <c r="L232" s="22"/>
      <c r="M232" s="22"/>
    </row>
    <row r="233" customFormat="false" ht="15" hidden="false" customHeight="false" outlineLevel="0" collapsed="false">
      <c r="A233" s="24" t="str">
        <f aca="false">IF(C233="","",ROW()-4)</f>
        <v/>
      </c>
      <c r="B233" s="46"/>
      <c r="C233" s="22"/>
      <c r="D233" s="24" t="str">
        <f aca="false">IF(C233="","",IFERROR(INDEX(NV_TEN,MATCH(C233,NV_MA,0)),"MÃ KHÔNG CÓ"))</f>
        <v/>
      </c>
      <c r="E233" s="22"/>
      <c r="F233" s="22"/>
      <c r="G233" s="22"/>
      <c r="H233" s="22"/>
      <c r="I233" s="11"/>
      <c r="J233" s="22"/>
      <c r="K233" s="20" t="str">
        <f aca="false">IF(I233="","",IF(H233="LAK",I233*TYGIA_LAK,I233))</f>
        <v/>
      </c>
      <c r="L233" s="22"/>
      <c r="M233" s="22"/>
    </row>
    <row r="234" customFormat="false" ht="15" hidden="false" customHeight="false" outlineLevel="0" collapsed="false">
      <c r="A234" s="24" t="str">
        <f aca="false">IF(C234="","",ROW()-4)</f>
        <v/>
      </c>
      <c r="B234" s="46"/>
      <c r="C234" s="22"/>
      <c r="D234" s="24" t="str">
        <f aca="false">IF(C234="","",IFERROR(INDEX(NV_TEN,MATCH(C234,NV_MA,0)),"MÃ KHÔNG CÓ"))</f>
        <v/>
      </c>
      <c r="E234" s="22"/>
      <c r="F234" s="22"/>
      <c r="G234" s="22"/>
      <c r="H234" s="22"/>
      <c r="I234" s="11"/>
      <c r="J234" s="22"/>
      <c r="K234" s="20" t="str">
        <f aca="false">IF(I234="","",IF(H234="LAK",I234*TYGIA_LAK,I234))</f>
        <v/>
      </c>
      <c r="L234" s="22"/>
      <c r="M234" s="22"/>
    </row>
    <row r="235" customFormat="false" ht="15" hidden="false" customHeight="false" outlineLevel="0" collapsed="false">
      <c r="A235" s="24" t="str">
        <f aca="false">IF(C235="","",ROW()-4)</f>
        <v/>
      </c>
      <c r="B235" s="46"/>
      <c r="C235" s="22"/>
      <c r="D235" s="24" t="str">
        <f aca="false">IF(C235="","",IFERROR(INDEX(NV_TEN,MATCH(C235,NV_MA,0)),"MÃ KHÔNG CÓ"))</f>
        <v/>
      </c>
      <c r="E235" s="22"/>
      <c r="F235" s="22"/>
      <c r="G235" s="22"/>
      <c r="H235" s="22"/>
      <c r="I235" s="11"/>
      <c r="J235" s="22"/>
      <c r="K235" s="20" t="str">
        <f aca="false">IF(I235="","",IF(H235="LAK",I235*TYGIA_LAK,I235))</f>
        <v/>
      </c>
      <c r="L235" s="22"/>
      <c r="M235" s="22"/>
    </row>
    <row r="236" customFormat="false" ht="15" hidden="false" customHeight="false" outlineLevel="0" collapsed="false">
      <c r="A236" s="24" t="str">
        <f aca="false">IF(C236="","",ROW()-4)</f>
        <v/>
      </c>
      <c r="B236" s="46"/>
      <c r="C236" s="22"/>
      <c r="D236" s="24" t="str">
        <f aca="false">IF(C236="","",IFERROR(INDEX(NV_TEN,MATCH(C236,NV_MA,0)),"MÃ KHÔNG CÓ"))</f>
        <v/>
      </c>
      <c r="E236" s="22"/>
      <c r="F236" s="22"/>
      <c r="G236" s="22"/>
      <c r="H236" s="22"/>
      <c r="I236" s="11"/>
      <c r="J236" s="22"/>
      <c r="K236" s="20" t="str">
        <f aca="false">IF(I236="","",IF(H236="LAK",I236*TYGIA_LAK,I236))</f>
        <v/>
      </c>
      <c r="L236" s="22"/>
      <c r="M236" s="22"/>
    </row>
    <row r="237" customFormat="false" ht="15" hidden="false" customHeight="false" outlineLevel="0" collapsed="false">
      <c r="A237" s="24" t="str">
        <f aca="false">IF(C237="","",ROW()-4)</f>
        <v/>
      </c>
      <c r="B237" s="46"/>
      <c r="C237" s="22"/>
      <c r="D237" s="24" t="str">
        <f aca="false">IF(C237="","",IFERROR(INDEX(NV_TEN,MATCH(C237,NV_MA,0)),"MÃ KHÔNG CÓ"))</f>
        <v/>
      </c>
      <c r="E237" s="22"/>
      <c r="F237" s="22"/>
      <c r="G237" s="22"/>
      <c r="H237" s="22"/>
      <c r="I237" s="11"/>
      <c r="J237" s="22"/>
      <c r="K237" s="20" t="str">
        <f aca="false">IF(I237="","",IF(H237="LAK",I237*TYGIA_LAK,I237))</f>
        <v/>
      </c>
      <c r="L237" s="22"/>
      <c r="M237" s="22"/>
    </row>
    <row r="238" customFormat="false" ht="15" hidden="false" customHeight="false" outlineLevel="0" collapsed="false">
      <c r="A238" s="24" t="str">
        <f aca="false">IF(C238="","",ROW()-4)</f>
        <v/>
      </c>
      <c r="B238" s="46"/>
      <c r="C238" s="22"/>
      <c r="D238" s="24" t="str">
        <f aca="false">IF(C238="","",IFERROR(INDEX(NV_TEN,MATCH(C238,NV_MA,0)),"MÃ KHÔNG CÓ"))</f>
        <v/>
      </c>
      <c r="E238" s="22"/>
      <c r="F238" s="22"/>
      <c r="G238" s="22"/>
      <c r="H238" s="22"/>
      <c r="I238" s="11"/>
      <c r="J238" s="22"/>
      <c r="K238" s="20" t="str">
        <f aca="false">IF(I238="","",IF(H238="LAK",I238*TYGIA_LAK,I238))</f>
        <v/>
      </c>
      <c r="L238" s="22"/>
      <c r="M238" s="22"/>
    </row>
    <row r="239" customFormat="false" ht="15" hidden="false" customHeight="false" outlineLevel="0" collapsed="false">
      <c r="A239" s="24" t="str">
        <f aca="false">IF(C239="","",ROW()-4)</f>
        <v/>
      </c>
      <c r="B239" s="46"/>
      <c r="C239" s="22"/>
      <c r="D239" s="24" t="str">
        <f aca="false">IF(C239="","",IFERROR(INDEX(NV_TEN,MATCH(C239,NV_MA,0)),"MÃ KHÔNG CÓ"))</f>
        <v/>
      </c>
      <c r="E239" s="22"/>
      <c r="F239" s="22"/>
      <c r="G239" s="22"/>
      <c r="H239" s="22"/>
      <c r="I239" s="11"/>
      <c r="J239" s="22"/>
      <c r="K239" s="20" t="str">
        <f aca="false">IF(I239="","",IF(H239="LAK",I239*TYGIA_LAK,I239))</f>
        <v/>
      </c>
      <c r="L239" s="22"/>
      <c r="M239" s="22"/>
    </row>
    <row r="240" customFormat="false" ht="15" hidden="false" customHeight="false" outlineLevel="0" collapsed="false">
      <c r="A240" s="24" t="str">
        <f aca="false">IF(C240="","",ROW()-4)</f>
        <v/>
      </c>
      <c r="B240" s="46"/>
      <c r="C240" s="22"/>
      <c r="D240" s="24" t="str">
        <f aca="false">IF(C240="","",IFERROR(INDEX(NV_TEN,MATCH(C240,NV_MA,0)),"MÃ KHÔNG CÓ"))</f>
        <v/>
      </c>
      <c r="E240" s="22"/>
      <c r="F240" s="22"/>
      <c r="G240" s="22"/>
      <c r="H240" s="22"/>
      <c r="I240" s="11"/>
      <c r="J240" s="22"/>
      <c r="K240" s="20" t="str">
        <f aca="false">IF(I240="","",IF(H240="LAK",I240*TYGIA_LAK,I240))</f>
        <v/>
      </c>
      <c r="L240" s="22"/>
      <c r="M240" s="22"/>
    </row>
    <row r="241" customFormat="false" ht="15" hidden="false" customHeight="false" outlineLevel="0" collapsed="false">
      <c r="A241" s="24" t="str">
        <f aca="false">IF(C241="","",ROW()-4)</f>
        <v/>
      </c>
      <c r="B241" s="46"/>
      <c r="C241" s="22"/>
      <c r="D241" s="24" t="str">
        <f aca="false">IF(C241="","",IFERROR(INDEX(NV_TEN,MATCH(C241,NV_MA,0)),"MÃ KHÔNG CÓ"))</f>
        <v/>
      </c>
      <c r="E241" s="22"/>
      <c r="F241" s="22"/>
      <c r="G241" s="22"/>
      <c r="H241" s="22"/>
      <c r="I241" s="11"/>
      <c r="J241" s="22"/>
      <c r="K241" s="20" t="str">
        <f aca="false">IF(I241="","",IF(H241="LAK",I241*TYGIA_LAK,I241))</f>
        <v/>
      </c>
      <c r="L241" s="22"/>
      <c r="M241" s="22"/>
    </row>
    <row r="242" customFormat="false" ht="15" hidden="false" customHeight="false" outlineLevel="0" collapsed="false">
      <c r="A242" s="24" t="str">
        <f aca="false">IF(C242="","",ROW()-4)</f>
        <v/>
      </c>
      <c r="B242" s="46"/>
      <c r="C242" s="22"/>
      <c r="D242" s="24" t="str">
        <f aca="false">IF(C242="","",IFERROR(INDEX(NV_TEN,MATCH(C242,NV_MA,0)),"MÃ KHÔNG CÓ"))</f>
        <v/>
      </c>
      <c r="E242" s="22"/>
      <c r="F242" s="22"/>
      <c r="G242" s="22"/>
      <c r="H242" s="22"/>
      <c r="I242" s="11"/>
      <c r="J242" s="22"/>
      <c r="K242" s="20" t="str">
        <f aca="false">IF(I242="","",IF(H242="LAK",I242*TYGIA_LAK,I242))</f>
        <v/>
      </c>
      <c r="L242" s="22"/>
      <c r="M242" s="22"/>
    </row>
    <row r="243" customFormat="false" ht="15" hidden="false" customHeight="false" outlineLevel="0" collapsed="false">
      <c r="A243" s="24" t="str">
        <f aca="false">IF(C243="","",ROW()-4)</f>
        <v/>
      </c>
      <c r="B243" s="46"/>
      <c r="C243" s="22"/>
      <c r="D243" s="24" t="str">
        <f aca="false">IF(C243="","",IFERROR(INDEX(NV_TEN,MATCH(C243,NV_MA,0)),"MÃ KHÔNG CÓ"))</f>
        <v/>
      </c>
      <c r="E243" s="22"/>
      <c r="F243" s="22"/>
      <c r="G243" s="22"/>
      <c r="H243" s="22"/>
      <c r="I243" s="11"/>
      <c r="J243" s="22"/>
      <c r="K243" s="20" t="str">
        <f aca="false">IF(I243="","",IF(H243="LAK",I243*TYGIA_LAK,I243))</f>
        <v/>
      </c>
      <c r="L243" s="22"/>
      <c r="M243" s="22"/>
    </row>
    <row r="244" customFormat="false" ht="15" hidden="false" customHeight="false" outlineLevel="0" collapsed="false">
      <c r="A244" s="24" t="str">
        <f aca="false">IF(C244="","",ROW()-4)</f>
        <v/>
      </c>
      <c r="B244" s="46"/>
      <c r="C244" s="22"/>
      <c r="D244" s="24" t="str">
        <f aca="false">IF(C244="","",IFERROR(INDEX(NV_TEN,MATCH(C244,NV_MA,0)),"MÃ KHÔNG CÓ"))</f>
        <v/>
      </c>
      <c r="E244" s="22"/>
      <c r="F244" s="22"/>
      <c r="G244" s="22"/>
      <c r="H244" s="22"/>
      <c r="I244" s="11"/>
      <c r="J244" s="22"/>
      <c r="K244" s="20" t="str">
        <f aca="false">IF(I244="","",IF(H244="LAK",I244*TYGIA_LAK,I244))</f>
        <v/>
      </c>
      <c r="L244" s="22"/>
      <c r="M244" s="22"/>
    </row>
    <row r="245" customFormat="false" ht="15" hidden="false" customHeight="false" outlineLevel="0" collapsed="false">
      <c r="A245" s="24" t="str">
        <f aca="false">IF(C245="","",ROW()-4)</f>
        <v/>
      </c>
      <c r="B245" s="46"/>
      <c r="C245" s="22"/>
      <c r="D245" s="24" t="str">
        <f aca="false">IF(C245="","",IFERROR(INDEX(NV_TEN,MATCH(C245,NV_MA,0)),"MÃ KHÔNG CÓ"))</f>
        <v/>
      </c>
      <c r="E245" s="22"/>
      <c r="F245" s="22"/>
      <c r="G245" s="22"/>
      <c r="H245" s="22"/>
      <c r="I245" s="11"/>
      <c r="J245" s="22"/>
      <c r="K245" s="20" t="str">
        <f aca="false">IF(I245="","",IF(H245="LAK",I245*TYGIA_LAK,I245))</f>
        <v/>
      </c>
      <c r="L245" s="22"/>
      <c r="M245" s="22"/>
    </row>
    <row r="246" customFormat="false" ht="15" hidden="false" customHeight="false" outlineLevel="0" collapsed="false">
      <c r="A246" s="24" t="str">
        <f aca="false">IF(C246="","",ROW()-4)</f>
        <v/>
      </c>
      <c r="B246" s="46"/>
      <c r="C246" s="22"/>
      <c r="D246" s="24" t="str">
        <f aca="false">IF(C246="","",IFERROR(INDEX(NV_TEN,MATCH(C246,NV_MA,0)),"MÃ KHÔNG CÓ"))</f>
        <v/>
      </c>
      <c r="E246" s="22"/>
      <c r="F246" s="22"/>
      <c r="G246" s="22"/>
      <c r="H246" s="22"/>
      <c r="I246" s="11"/>
      <c r="J246" s="22"/>
      <c r="K246" s="20" t="str">
        <f aca="false">IF(I246="","",IF(H246="LAK",I246*TYGIA_LAK,I246))</f>
        <v/>
      </c>
      <c r="L246" s="22"/>
      <c r="M246" s="22"/>
    </row>
    <row r="247" customFormat="false" ht="15" hidden="false" customHeight="false" outlineLevel="0" collapsed="false">
      <c r="A247" s="24" t="str">
        <f aca="false">IF(C247="","",ROW()-4)</f>
        <v/>
      </c>
      <c r="B247" s="46"/>
      <c r="C247" s="22"/>
      <c r="D247" s="24" t="str">
        <f aca="false">IF(C247="","",IFERROR(INDEX(NV_TEN,MATCH(C247,NV_MA,0)),"MÃ KHÔNG CÓ"))</f>
        <v/>
      </c>
      <c r="E247" s="22"/>
      <c r="F247" s="22"/>
      <c r="G247" s="22"/>
      <c r="H247" s="22"/>
      <c r="I247" s="11"/>
      <c r="J247" s="22"/>
      <c r="K247" s="20" t="str">
        <f aca="false">IF(I247="","",IF(H247="LAK",I247*TYGIA_LAK,I247))</f>
        <v/>
      </c>
      <c r="L247" s="22"/>
      <c r="M247" s="22"/>
    </row>
    <row r="248" customFormat="false" ht="15" hidden="false" customHeight="false" outlineLevel="0" collapsed="false">
      <c r="A248" s="24" t="str">
        <f aca="false">IF(C248="","",ROW()-4)</f>
        <v/>
      </c>
      <c r="B248" s="46"/>
      <c r="C248" s="22"/>
      <c r="D248" s="24" t="str">
        <f aca="false">IF(C248="","",IFERROR(INDEX(NV_TEN,MATCH(C248,NV_MA,0)),"MÃ KHÔNG CÓ"))</f>
        <v/>
      </c>
      <c r="E248" s="22"/>
      <c r="F248" s="22"/>
      <c r="G248" s="22"/>
      <c r="H248" s="22"/>
      <c r="I248" s="11"/>
      <c r="J248" s="22"/>
      <c r="K248" s="20" t="str">
        <f aca="false">IF(I248="","",IF(H248="LAK",I248*TYGIA_LAK,I248))</f>
        <v/>
      </c>
      <c r="L248" s="22"/>
      <c r="M248" s="22"/>
    </row>
    <row r="249" customFormat="false" ht="15" hidden="false" customHeight="false" outlineLevel="0" collapsed="false">
      <c r="A249" s="24" t="str">
        <f aca="false">IF(C249="","",ROW()-4)</f>
        <v/>
      </c>
      <c r="B249" s="46"/>
      <c r="C249" s="22"/>
      <c r="D249" s="24" t="str">
        <f aca="false">IF(C249="","",IFERROR(INDEX(NV_TEN,MATCH(C249,NV_MA,0)),"MÃ KHÔNG CÓ"))</f>
        <v/>
      </c>
      <c r="E249" s="22"/>
      <c r="F249" s="22"/>
      <c r="G249" s="22"/>
      <c r="H249" s="22"/>
      <c r="I249" s="11"/>
      <c r="J249" s="22"/>
      <c r="K249" s="20" t="str">
        <f aca="false">IF(I249="","",IF(H249="LAK",I249*TYGIA_LAK,I249))</f>
        <v/>
      </c>
      <c r="L249" s="22"/>
      <c r="M249" s="22"/>
    </row>
    <row r="250" customFormat="false" ht="15" hidden="false" customHeight="false" outlineLevel="0" collapsed="false">
      <c r="A250" s="24" t="str">
        <f aca="false">IF(C250="","",ROW()-4)</f>
        <v/>
      </c>
      <c r="B250" s="46"/>
      <c r="C250" s="22"/>
      <c r="D250" s="24" t="str">
        <f aca="false">IF(C250="","",IFERROR(INDEX(NV_TEN,MATCH(C250,NV_MA,0)),"MÃ KHÔNG CÓ"))</f>
        <v/>
      </c>
      <c r="E250" s="22"/>
      <c r="F250" s="22"/>
      <c r="G250" s="22"/>
      <c r="H250" s="22"/>
      <c r="I250" s="11"/>
      <c r="J250" s="22"/>
      <c r="K250" s="20" t="str">
        <f aca="false">IF(I250="","",IF(H250="LAK",I250*TYGIA_LAK,I250))</f>
        <v/>
      </c>
      <c r="L250" s="22"/>
      <c r="M250" s="22"/>
    </row>
    <row r="251" customFormat="false" ht="15" hidden="false" customHeight="false" outlineLevel="0" collapsed="false">
      <c r="A251" s="24" t="str">
        <f aca="false">IF(C251="","",ROW()-4)</f>
        <v/>
      </c>
      <c r="B251" s="46"/>
      <c r="C251" s="22"/>
      <c r="D251" s="24" t="str">
        <f aca="false">IF(C251="","",IFERROR(INDEX(NV_TEN,MATCH(C251,NV_MA,0)),"MÃ KHÔNG CÓ"))</f>
        <v/>
      </c>
      <c r="E251" s="22"/>
      <c r="F251" s="22"/>
      <c r="G251" s="22"/>
      <c r="H251" s="22"/>
      <c r="I251" s="11"/>
      <c r="J251" s="22"/>
      <c r="K251" s="20" t="str">
        <f aca="false">IF(I251="","",IF(H251="LAK",I251*TYGIA_LAK,I251))</f>
        <v/>
      </c>
      <c r="L251" s="22"/>
      <c r="M251" s="22"/>
    </row>
    <row r="252" customFormat="false" ht="15" hidden="false" customHeight="false" outlineLevel="0" collapsed="false">
      <c r="A252" s="24" t="str">
        <f aca="false">IF(C252="","",ROW()-4)</f>
        <v/>
      </c>
      <c r="B252" s="46"/>
      <c r="C252" s="22"/>
      <c r="D252" s="24" t="str">
        <f aca="false">IF(C252="","",IFERROR(INDEX(NV_TEN,MATCH(C252,NV_MA,0)),"MÃ KHÔNG CÓ"))</f>
        <v/>
      </c>
      <c r="E252" s="22"/>
      <c r="F252" s="22"/>
      <c r="G252" s="22"/>
      <c r="H252" s="22"/>
      <c r="I252" s="11"/>
      <c r="J252" s="22"/>
      <c r="K252" s="20" t="str">
        <f aca="false">IF(I252="","",IF(H252="LAK",I252*TYGIA_LAK,I252))</f>
        <v/>
      </c>
      <c r="L252" s="22"/>
      <c r="M252" s="22"/>
    </row>
    <row r="253" customFormat="false" ht="15" hidden="false" customHeight="false" outlineLevel="0" collapsed="false">
      <c r="A253" s="24" t="str">
        <f aca="false">IF(C253="","",ROW()-4)</f>
        <v/>
      </c>
      <c r="B253" s="46"/>
      <c r="C253" s="22"/>
      <c r="D253" s="24" t="str">
        <f aca="false">IF(C253="","",IFERROR(INDEX(NV_TEN,MATCH(C253,NV_MA,0)),"MÃ KHÔNG CÓ"))</f>
        <v/>
      </c>
      <c r="E253" s="22"/>
      <c r="F253" s="22"/>
      <c r="G253" s="22"/>
      <c r="H253" s="22"/>
      <c r="I253" s="11"/>
      <c r="J253" s="22"/>
      <c r="K253" s="20" t="str">
        <f aca="false">IF(I253="","",IF(H253="LAK",I253*TYGIA_LAK,I253))</f>
        <v/>
      </c>
      <c r="L253" s="22"/>
      <c r="M253" s="22"/>
    </row>
    <row r="254" customFormat="false" ht="15" hidden="false" customHeight="false" outlineLevel="0" collapsed="false">
      <c r="A254" s="24" t="str">
        <f aca="false">IF(C254="","",ROW()-4)</f>
        <v/>
      </c>
      <c r="B254" s="46"/>
      <c r="C254" s="22"/>
      <c r="D254" s="24" t="str">
        <f aca="false">IF(C254="","",IFERROR(INDEX(NV_TEN,MATCH(C254,NV_MA,0)),"MÃ KHÔNG CÓ"))</f>
        <v/>
      </c>
      <c r="E254" s="22"/>
      <c r="F254" s="22"/>
      <c r="G254" s="22"/>
      <c r="H254" s="22"/>
      <c r="I254" s="11"/>
      <c r="J254" s="22"/>
      <c r="K254" s="20" t="str">
        <f aca="false">IF(I254="","",IF(H254="LAK",I254*TYGIA_LAK,I254))</f>
        <v/>
      </c>
      <c r="L254" s="22"/>
      <c r="M254" s="22"/>
    </row>
    <row r="255" customFormat="false" ht="15" hidden="false" customHeight="false" outlineLevel="0" collapsed="false">
      <c r="A255" s="24" t="str">
        <f aca="false">IF(C255="","",ROW()-4)</f>
        <v/>
      </c>
      <c r="B255" s="46"/>
      <c r="C255" s="22"/>
      <c r="D255" s="24" t="str">
        <f aca="false">IF(C255="","",IFERROR(INDEX(NV_TEN,MATCH(C255,NV_MA,0)),"MÃ KHÔNG CÓ"))</f>
        <v/>
      </c>
      <c r="E255" s="22"/>
      <c r="F255" s="22"/>
      <c r="G255" s="22"/>
      <c r="H255" s="22"/>
      <c r="I255" s="11"/>
      <c r="J255" s="22"/>
      <c r="K255" s="20" t="str">
        <f aca="false">IF(I255="","",IF(H255="LAK",I255*TYGIA_LAK,I255))</f>
        <v/>
      </c>
      <c r="L255" s="22"/>
      <c r="M255" s="22"/>
    </row>
    <row r="256" customFormat="false" ht="15" hidden="false" customHeight="false" outlineLevel="0" collapsed="false">
      <c r="A256" s="24" t="str">
        <f aca="false">IF(C256="","",ROW()-4)</f>
        <v/>
      </c>
      <c r="B256" s="46"/>
      <c r="C256" s="22"/>
      <c r="D256" s="24" t="str">
        <f aca="false">IF(C256="","",IFERROR(INDEX(NV_TEN,MATCH(C256,NV_MA,0)),"MÃ KHÔNG CÓ"))</f>
        <v/>
      </c>
      <c r="E256" s="22"/>
      <c r="F256" s="22"/>
      <c r="G256" s="22"/>
      <c r="H256" s="22"/>
      <c r="I256" s="11"/>
      <c r="J256" s="22"/>
      <c r="K256" s="20" t="str">
        <f aca="false">IF(I256="","",IF(H256="LAK",I256*TYGIA_LAK,I256))</f>
        <v/>
      </c>
      <c r="L256" s="22"/>
      <c r="M256" s="22"/>
    </row>
    <row r="257" customFormat="false" ht="15" hidden="false" customHeight="false" outlineLevel="0" collapsed="false">
      <c r="A257" s="24" t="str">
        <f aca="false">IF(C257="","",ROW()-4)</f>
        <v/>
      </c>
      <c r="B257" s="46"/>
      <c r="C257" s="22"/>
      <c r="D257" s="24" t="str">
        <f aca="false">IF(C257="","",IFERROR(INDEX(NV_TEN,MATCH(C257,NV_MA,0)),"MÃ KHÔNG CÓ"))</f>
        <v/>
      </c>
      <c r="E257" s="22"/>
      <c r="F257" s="22"/>
      <c r="G257" s="22"/>
      <c r="H257" s="22"/>
      <c r="I257" s="11"/>
      <c r="J257" s="22"/>
      <c r="K257" s="20" t="str">
        <f aca="false">IF(I257="","",IF(H257="LAK",I257*TYGIA_LAK,I257))</f>
        <v/>
      </c>
      <c r="L257" s="22"/>
      <c r="M257" s="22"/>
    </row>
    <row r="258" customFormat="false" ht="15" hidden="false" customHeight="false" outlineLevel="0" collapsed="false">
      <c r="A258" s="24" t="str">
        <f aca="false">IF(C258="","",ROW()-4)</f>
        <v/>
      </c>
      <c r="B258" s="46"/>
      <c r="C258" s="22"/>
      <c r="D258" s="24" t="str">
        <f aca="false">IF(C258="","",IFERROR(INDEX(NV_TEN,MATCH(C258,NV_MA,0)),"MÃ KHÔNG CÓ"))</f>
        <v/>
      </c>
      <c r="E258" s="22"/>
      <c r="F258" s="22"/>
      <c r="G258" s="22"/>
      <c r="H258" s="22"/>
      <c r="I258" s="11"/>
      <c r="J258" s="22"/>
      <c r="K258" s="20" t="str">
        <f aca="false">IF(I258="","",IF(H258="LAK",I258*TYGIA_LAK,I258))</f>
        <v/>
      </c>
      <c r="L258" s="22"/>
      <c r="M258" s="22"/>
    </row>
    <row r="259" customFormat="false" ht="15" hidden="false" customHeight="false" outlineLevel="0" collapsed="false">
      <c r="A259" s="24" t="str">
        <f aca="false">IF(C259="","",ROW()-4)</f>
        <v/>
      </c>
      <c r="B259" s="46"/>
      <c r="C259" s="22"/>
      <c r="D259" s="24" t="str">
        <f aca="false">IF(C259="","",IFERROR(INDEX(NV_TEN,MATCH(C259,NV_MA,0)),"MÃ KHÔNG CÓ"))</f>
        <v/>
      </c>
      <c r="E259" s="22"/>
      <c r="F259" s="22"/>
      <c r="G259" s="22"/>
      <c r="H259" s="22"/>
      <c r="I259" s="11"/>
      <c r="J259" s="22"/>
      <c r="K259" s="20" t="str">
        <f aca="false">IF(I259="","",IF(H259="LAK",I259*TYGIA_LAK,I259))</f>
        <v/>
      </c>
      <c r="L259" s="22"/>
      <c r="M259" s="22"/>
    </row>
    <row r="260" customFormat="false" ht="15" hidden="false" customHeight="false" outlineLevel="0" collapsed="false">
      <c r="A260" s="24" t="str">
        <f aca="false">IF(C260="","",ROW()-4)</f>
        <v/>
      </c>
      <c r="B260" s="46"/>
      <c r="C260" s="22"/>
      <c r="D260" s="24" t="str">
        <f aca="false">IF(C260="","",IFERROR(INDEX(NV_TEN,MATCH(C260,NV_MA,0)),"MÃ KHÔNG CÓ"))</f>
        <v/>
      </c>
      <c r="E260" s="22"/>
      <c r="F260" s="22"/>
      <c r="G260" s="22"/>
      <c r="H260" s="22"/>
      <c r="I260" s="11"/>
      <c r="J260" s="22"/>
      <c r="K260" s="20" t="str">
        <f aca="false">IF(I260="","",IF(H260="LAK",I260*TYGIA_LAK,I260))</f>
        <v/>
      </c>
      <c r="L260" s="22"/>
      <c r="M260" s="22"/>
    </row>
    <row r="261" customFormat="false" ht="15" hidden="false" customHeight="false" outlineLevel="0" collapsed="false">
      <c r="A261" s="24" t="str">
        <f aca="false">IF(C261="","",ROW()-4)</f>
        <v/>
      </c>
      <c r="B261" s="46"/>
      <c r="C261" s="22"/>
      <c r="D261" s="24" t="str">
        <f aca="false">IF(C261="","",IFERROR(INDEX(NV_TEN,MATCH(C261,NV_MA,0)),"MÃ KHÔNG CÓ"))</f>
        <v/>
      </c>
      <c r="E261" s="22"/>
      <c r="F261" s="22"/>
      <c r="G261" s="22"/>
      <c r="H261" s="22"/>
      <c r="I261" s="11"/>
      <c r="J261" s="22"/>
      <c r="K261" s="20" t="str">
        <f aca="false">IF(I261="","",IF(H261="LAK",I261*TYGIA_LAK,I261))</f>
        <v/>
      </c>
      <c r="L261" s="22"/>
      <c r="M261" s="22"/>
    </row>
    <row r="262" customFormat="false" ht="15" hidden="false" customHeight="false" outlineLevel="0" collapsed="false">
      <c r="A262" s="24" t="str">
        <f aca="false">IF(C262="","",ROW()-4)</f>
        <v/>
      </c>
      <c r="B262" s="46"/>
      <c r="C262" s="22"/>
      <c r="D262" s="24" t="str">
        <f aca="false">IF(C262="","",IFERROR(INDEX(NV_TEN,MATCH(C262,NV_MA,0)),"MÃ KHÔNG CÓ"))</f>
        <v/>
      </c>
      <c r="E262" s="22"/>
      <c r="F262" s="22"/>
      <c r="G262" s="22"/>
      <c r="H262" s="22"/>
      <c r="I262" s="11"/>
      <c r="J262" s="22"/>
      <c r="K262" s="20" t="str">
        <f aca="false">IF(I262="","",IF(H262="LAK",I262*TYGIA_LAK,I262))</f>
        <v/>
      </c>
      <c r="L262" s="22"/>
      <c r="M262" s="22"/>
    </row>
    <row r="263" customFormat="false" ht="15" hidden="false" customHeight="false" outlineLevel="0" collapsed="false">
      <c r="A263" s="24" t="str">
        <f aca="false">IF(C263="","",ROW()-4)</f>
        <v/>
      </c>
      <c r="B263" s="46"/>
      <c r="C263" s="22"/>
      <c r="D263" s="24" t="str">
        <f aca="false">IF(C263="","",IFERROR(INDEX(NV_TEN,MATCH(C263,NV_MA,0)),"MÃ KHÔNG CÓ"))</f>
        <v/>
      </c>
      <c r="E263" s="22"/>
      <c r="F263" s="22"/>
      <c r="G263" s="22"/>
      <c r="H263" s="22"/>
      <c r="I263" s="11"/>
      <c r="J263" s="22"/>
      <c r="K263" s="20" t="str">
        <f aca="false">IF(I263="","",IF(H263="LAK",I263*TYGIA_LAK,I263))</f>
        <v/>
      </c>
      <c r="L263" s="22"/>
      <c r="M263" s="22"/>
    </row>
    <row r="264" customFormat="false" ht="15" hidden="false" customHeight="false" outlineLevel="0" collapsed="false">
      <c r="A264" s="24" t="str">
        <f aca="false">IF(C264="","",ROW()-4)</f>
        <v/>
      </c>
      <c r="B264" s="46"/>
      <c r="C264" s="22"/>
      <c r="D264" s="24" t="str">
        <f aca="false">IF(C264="","",IFERROR(INDEX(NV_TEN,MATCH(C264,NV_MA,0)),"MÃ KHÔNG CÓ"))</f>
        <v/>
      </c>
      <c r="E264" s="22"/>
      <c r="F264" s="22"/>
      <c r="G264" s="22"/>
      <c r="H264" s="22"/>
      <c r="I264" s="11"/>
      <c r="J264" s="22"/>
      <c r="K264" s="20" t="str">
        <f aca="false">IF(I264="","",IF(H264="LAK",I264*TYGIA_LAK,I264))</f>
        <v/>
      </c>
      <c r="L264" s="22"/>
      <c r="M264" s="22"/>
    </row>
    <row r="265" customFormat="false" ht="15" hidden="false" customHeight="false" outlineLevel="0" collapsed="false">
      <c r="A265" s="24" t="str">
        <f aca="false">IF(C265="","",ROW()-4)</f>
        <v/>
      </c>
      <c r="B265" s="46"/>
      <c r="C265" s="22"/>
      <c r="D265" s="24" t="str">
        <f aca="false">IF(C265="","",IFERROR(INDEX(NV_TEN,MATCH(C265,NV_MA,0)),"MÃ KHÔNG CÓ"))</f>
        <v/>
      </c>
      <c r="E265" s="22"/>
      <c r="F265" s="22"/>
      <c r="G265" s="22"/>
      <c r="H265" s="22"/>
      <c r="I265" s="11"/>
      <c r="J265" s="22"/>
      <c r="K265" s="20" t="str">
        <f aca="false">IF(I265="","",IF(H265="LAK",I265*TYGIA_LAK,I265))</f>
        <v/>
      </c>
      <c r="L265" s="22"/>
      <c r="M265" s="22"/>
    </row>
    <row r="266" customFormat="false" ht="15" hidden="false" customHeight="false" outlineLevel="0" collapsed="false">
      <c r="A266" s="24" t="str">
        <f aca="false">IF(C266="","",ROW()-4)</f>
        <v/>
      </c>
      <c r="B266" s="46"/>
      <c r="C266" s="22"/>
      <c r="D266" s="24" t="str">
        <f aca="false">IF(C266="","",IFERROR(INDEX(NV_TEN,MATCH(C266,NV_MA,0)),"MÃ KHÔNG CÓ"))</f>
        <v/>
      </c>
      <c r="E266" s="22"/>
      <c r="F266" s="22"/>
      <c r="G266" s="22"/>
      <c r="H266" s="22"/>
      <c r="I266" s="11"/>
      <c r="J266" s="22"/>
      <c r="K266" s="20" t="str">
        <f aca="false">IF(I266="","",IF(H266="LAK",I266*TYGIA_LAK,I266))</f>
        <v/>
      </c>
      <c r="L266" s="22"/>
      <c r="M266" s="22"/>
    </row>
    <row r="267" customFormat="false" ht="15" hidden="false" customHeight="false" outlineLevel="0" collapsed="false">
      <c r="A267" s="24" t="str">
        <f aca="false">IF(C267="","",ROW()-4)</f>
        <v/>
      </c>
      <c r="B267" s="46"/>
      <c r="C267" s="22"/>
      <c r="D267" s="24" t="str">
        <f aca="false">IF(C267="","",IFERROR(INDEX(NV_TEN,MATCH(C267,NV_MA,0)),"MÃ KHÔNG CÓ"))</f>
        <v/>
      </c>
      <c r="E267" s="22"/>
      <c r="F267" s="22"/>
      <c r="G267" s="22"/>
      <c r="H267" s="22"/>
      <c r="I267" s="11"/>
      <c r="J267" s="22"/>
      <c r="K267" s="20" t="str">
        <f aca="false">IF(I267="","",IF(H267="LAK",I267*TYGIA_LAK,I267))</f>
        <v/>
      </c>
      <c r="L267" s="22"/>
      <c r="M267" s="22"/>
    </row>
    <row r="268" customFormat="false" ht="15" hidden="false" customHeight="false" outlineLevel="0" collapsed="false">
      <c r="A268" s="24" t="str">
        <f aca="false">IF(C268="","",ROW()-4)</f>
        <v/>
      </c>
      <c r="B268" s="46"/>
      <c r="C268" s="22"/>
      <c r="D268" s="24" t="str">
        <f aca="false">IF(C268="","",IFERROR(INDEX(NV_TEN,MATCH(C268,NV_MA,0)),"MÃ KHÔNG CÓ"))</f>
        <v/>
      </c>
      <c r="E268" s="22"/>
      <c r="F268" s="22"/>
      <c r="G268" s="22"/>
      <c r="H268" s="22"/>
      <c r="I268" s="11"/>
      <c r="J268" s="22"/>
      <c r="K268" s="20" t="str">
        <f aca="false">IF(I268="","",IF(H268="LAK",I268*TYGIA_LAK,I268))</f>
        <v/>
      </c>
      <c r="L268" s="22"/>
      <c r="M268" s="22"/>
    </row>
    <row r="269" customFormat="false" ht="15" hidden="false" customHeight="false" outlineLevel="0" collapsed="false">
      <c r="A269" s="24" t="str">
        <f aca="false">IF(C269="","",ROW()-4)</f>
        <v/>
      </c>
      <c r="B269" s="46"/>
      <c r="C269" s="22"/>
      <c r="D269" s="24" t="str">
        <f aca="false">IF(C269="","",IFERROR(INDEX(NV_TEN,MATCH(C269,NV_MA,0)),"MÃ KHÔNG CÓ"))</f>
        <v/>
      </c>
      <c r="E269" s="22"/>
      <c r="F269" s="22"/>
      <c r="G269" s="22"/>
      <c r="H269" s="22"/>
      <c r="I269" s="11"/>
      <c r="J269" s="22"/>
      <c r="K269" s="20" t="str">
        <f aca="false">IF(I269="","",IF(H269="LAK",I269*TYGIA_LAK,I269))</f>
        <v/>
      </c>
      <c r="L269" s="22"/>
      <c r="M269" s="22"/>
    </row>
    <row r="270" customFormat="false" ht="15" hidden="false" customHeight="false" outlineLevel="0" collapsed="false">
      <c r="A270" s="24" t="str">
        <f aca="false">IF(C270="","",ROW()-4)</f>
        <v/>
      </c>
      <c r="B270" s="46"/>
      <c r="C270" s="22"/>
      <c r="D270" s="24" t="str">
        <f aca="false">IF(C270="","",IFERROR(INDEX(NV_TEN,MATCH(C270,NV_MA,0)),"MÃ KHÔNG CÓ"))</f>
        <v/>
      </c>
      <c r="E270" s="22"/>
      <c r="F270" s="22"/>
      <c r="G270" s="22"/>
      <c r="H270" s="22"/>
      <c r="I270" s="11"/>
      <c r="J270" s="22"/>
      <c r="K270" s="20" t="str">
        <f aca="false">IF(I270="","",IF(H270="LAK",I270*TYGIA_LAK,I270))</f>
        <v/>
      </c>
      <c r="L270" s="22"/>
      <c r="M270" s="22"/>
    </row>
    <row r="271" customFormat="false" ht="15" hidden="false" customHeight="false" outlineLevel="0" collapsed="false">
      <c r="A271" s="24" t="str">
        <f aca="false">IF(C271="","",ROW()-4)</f>
        <v/>
      </c>
      <c r="B271" s="46"/>
      <c r="C271" s="22"/>
      <c r="D271" s="24" t="str">
        <f aca="false">IF(C271="","",IFERROR(INDEX(NV_TEN,MATCH(C271,NV_MA,0)),"MÃ KHÔNG CÓ"))</f>
        <v/>
      </c>
      <c r="E271" s="22"/>
      <c r="F271" s="22"/>
      <c r="G271" s="22"/>
      <c r="H271" s="22"/>
      <c r="I271" s="11"/>
      <c r="J271" s="22"/>
      <c r="K271" s="20" t="str">
        <f aca="false">IF(I271="","",IF(H271="LAK",I271*TYGIA_LAK,I271))</f>
        <v/>
      </c>
      <c r="L271" s="22"/>
      <c r="M271" s="22"/>
    </row>
    <row r="272" customFormat="false" ht="15" hidden="false" customHeight="false" outlineLevel="0" collapsed="false">
      <c r="A272" s="24" t="str">
        <f aca="false">IF(C272="","",ROW()-4)</f>
        <v/>
      </c>
      <c r="B272" s="46"/>
      <c r="C272" s="22"/>
      <c r="D272" s="24" t="str">
        <f aca="false">IF(C272="","",IFERROR(INDEX(NV_TEN,MATCH(C272,NV_MA,0)),"MÃ KHÔNG CÓ"))</f>
        <v/>
      </c>
      <c r="E272" s="22"/>
      <c r="F272" s="22"/>
      <c r="G272" s="22"/>
      <c r="H272" s="22"/>
      <c r="I272" s="11"/>
      <c r="J272" s="22"/>
      <c r="K272" s="20" t="str">
        <f aca="false">IF(I272="","",IF(H272="LAK",I272*TYGIA_LAK,I272))</f>
        <v/>
      </c>
      <c r="L272" s="22"/>
      <c r="M272" s="22"/>
    </row>
    <row r="273" customFormat="false" ht="15" hidden="false" customHeight="false" outlineLevel="0" collapsed="false">
      <c r="A273" s="24" t="str">
        <f aca="false">IF(C273="","",ROW()-4)</f>
        <v/>
      </c>
      <c r="B273" s="46"/>
      <c r="C273" s="22"/>
      <c r="D273" s="24" t="str">
        <f aca="false">IF(C273="","",IFERROR(INDEX(NV_TEN,MATCH(C273,NV_MA,0)),"MÃ KHÔNG CÓ"))</f>
        <v/>
      </c>
      <c r="E273" s="22"/>
      <c r="F273" s="22"/>
      <c r="G273" s="22"/>
      <c r="H273" s="22"/>
      <c r="I273" s="11"/>
      <c r="J273" s="22"/>
      <c r="K273" s="20" t="str">
        <f aca="false">IF(I273="","",IF(H273="LAK",I273*TYGIA_LAK,I273))</f>
        <v/>
      </c>
      <c r="L273" s="22"/>
      <c r="M273" s="22"/>
    </row>
    <row r="274" customFormat="false" ht="15" hidden="false" customHeight="false" outlineLevel="0" collapsed="false">
      <c r="A274" s="24" t="str">
        <f aca="false">IF(C274="","",ROW()-4)</f>
        <v/>
      </c>
      <c r="B274" s="46"/>
      <c r="C274" s="22"/>
      <c r="D274" s="24" t="str">
        <f aca="false">IF(C274="","",IFERROR(INDEX(NV_TEN,MATCH(C274,NV_MA,0)),"MÃ KHÔNG CÓ"))</f>
        <v/>
      </c>
      <c r="E274" s="22"/>
      <c r="F274" s="22"/>
      <c r="G274" s="22"/>
      <c r="H274" s="22"/>
      <c r="I274" s="11"/>
      <c r="J274" s="22"/>
      <c r="K274" s="20" t="str">
        <f aca="false">IF(I274="","",IF(H274="LAK",I274*TYGIA_LAK,I274))</f>
        <v/>
      </c>
      <c r="L274" s="22"/>
      <c r="M274" s="22"/>
    </row>
    <row r="275" customFormat="false" ht="15" hidden="false" customHeight="false" outlineLevel="0" collapsed="false">
      <c r="A275" s="24" t="str">
        <f aca="false">IF(C275="","",ROW()-4)</f>
        <v/>
      </c>
      <c r="B275" s="46"/>
      <c r="C275" s="22"/>
      <c r="D275" s="24" t="str">
        <f aca="false">IF(C275="","",IFERROR(INDEX(NV_TEN,MATCH(C275,NV_MA,0)),"MÃ KHÔNG CÓ"))</f>
        <v/>
      </c>
      <c r="E275" s="22"/>
      <c r="F275" s="22"/>
      <c r="G275" s="22"/>
      <c r="H275" s="22"/>
      <c r="I275" s="11"/>
      <c r="J275" s="22"/>
      <c r="K275" s="20" t="str">
        <f aca="false">IF(I275="","",IF(H275="LAK",I275*TYGIA_LAK,I275))</f>
        <v/>
      </c>
      <c r="L275" s="22"/>
      <c r="M275" s="22"/>
    </row>
    <row r="276" customFormat="false" ht="15" hidden="false" customHeight="false" outlineLevel="0" collapsed="false">
      <c r="A276" s="24" t="str">
        <f aca="false">IF(C276="","",ROW()-4)</f>
        <v/>
      </c>
      <c r="B276" s="46"/>
      <c r="C276" s="22"/>
      <c r="D276" s="24" t="str">
        <f aca="false">IF(C276="","",IFERROR(INDEX(NV_TEN,MATCH(C276,NV_MA,0)),"MÃ KHÔNG CÓ"))</f>
        <v/>
      </c>
      <c r="E276" s="22"/>
      <c r="F276" s="22"/>
      <c r="G276" s="22"/>
      <c r="H276" s="22"/>
      <c r="I276" s="11"/>
      <c r="J276" s="22"/>
      <c r="K276" s="20" t="str">
        <f aca="false">IF(I276="","",IF(H276="LAK",I276*TYGIA_LAK,I276))</f>
        <v/>
      </c>
      <c r="L276" s="22"/>
      <c r="M276" s="22"/>
    </row>
    <row r="277" customFormat="false" ht="15" hidden="false" customHeight="false" outlineLevel="0" collapsed="false">
      <c r="A277" s="24" t="str">
        <f aca="false">IF(C277="","",ROW()-4)</f>
        <v/>
      </c>
      <c r="B277" s="46"/>
      <c r="C277" s="22"/>
      <c r="D277" s="24" t="str">
        <f aca="false">IF(C277="","",IFERROR(INDEX(NV_TEN,MATCH(C277,NV_MA,0)),"MÃ KHÔNG CÓ"))</f>
        <v/>
      </c>
      <c r="E277" s="22"/>
      <c r="F277" s="22"/>
      <c r="G277" s="22"/>
      <c r="H277" s="22"/>
      <c r="I277" s="11"/>
      <c r="J277" s="22"/>
      <c r="K277" s="20" t="str">
        <f aca="false">IF(I277="","",IF(H277="LAK",I277*TYGIA_LAK,I277))</f>
        <v/>
      </c>
      <c r="L277" s="22"/>
      <c r="M277" s="22"/>
    </row>
    <row r="278" customFormat="false" ht="15" hidden="false" customHeight="false" outlineLevel="0" collapsed="false">
      <c r="A278" s="24" t="str">
        <f aca="false">IF(C278="","",ROW()-4)</f>
        <v/>
      </c>
      <c r="B278" s="46"/>
      <c r="C278" s="22"/>
      <c r="D278" s="24" t="str">
        <f aca="false">IF(C278="","",IFERROR(INDEX(NV_TEN,MATCH(C278,NV_MA,0)),"MÃ KHÔNG CÓ"))</f>
        <v/>
      </c>
      <c r="E278" s="22"/>
      <c r="F278" s="22"/>
      <c r="G278" s="22"/>
      <c r="H278" s="22"/>
      <c r="I278" s="11"/>
      <c r="J278" s="22"/>
      <c r="K278" s="20" t="str">
        <f aca="false">IF(I278="","",IF(H278="LAK",I278*TYGIA_LAK,I278))</f>
        <v/>
      </c>
      <c r="L278" s="22"/>
      <c r="M278" s="22"/>
    </row>
    <row r="279" customFormat="false" ht="15" hidden="false" customHeight="false" outlineLevel="0" collapsed="false">
      <c r="A279" s="24" t="str">
        <f aca="false">IF(C279="","",ROW()-4)</f>
        <v/>
      </c>
      <c r="B279" s="46"/>
      <c r="C279" s="22"/>
      <c r="D279" s="24" t="str">
        <f aca="false">IF(C279="","",IFERROR(INDEX(NV_TEN,MATCH(C279,NV_MA,0)),"MÃ KHÔNG CÓ"))</f>
        <v/>
      </c>
      <c r="E279" s="22"/>
      <c r="F279" s="22"/>
      <c r="G279" s="22"/>
      <c r="H279" s="22"/>
      <c r="I279" s="11"/>
      <c r="J279" s="22"/>
      <c r="K279" s="20" t="str">
        <f aca="false">IF(I279="","",IF(H279="LAK",I279*TYGIA_LAK,I279))</f>
        <v/>
      </c>
      <c r="L279" s="22"/>
      <c r="M279" s="22"/>
    </row>
    <row r="280" customFormat="false" ht="15" hidden="false" customHeight="false" outlineLevel="0" collapsed="false">
      <c r="A280" s="24" t="str">
        <f aca="false">IF(C280="","",ROW()-4)</f>
        <v/>
      </c>
      <c r="B280" s="46"/>
      <c r="C280" s="22"/>
      <c r="D280" s="24" t="str">
        <f aca="false">IF(C280="","",IFERROR(INDEX(NV_TEN,MATCH(C280,NV_MA,0)),"MÃ KHÔNG CÓ"))</f>
        <v/>
      </c>
      <c r="E280" s="22"/>
      <c r="F280" s="22"/>
      <c r="G280" s="22"/>
      <c r="H280" s="22"/>
      <c r="I280" s="11"/>
      <c r="J280" s="22"/>
      <c r="K280" s="20" t="str">
        <f aca="false">IF(I280="","",IF(H280="LAK",I280*TYGIA_LAK,I280))</f>
        <v/>
      </c>
      <c r="L280" s="22"/>
      <c r="M280" s="22"/>
    </row>
    <row r="281" customFormat="false" ht="15" hidden="false" customHeight="false" outlineLevel="0" collapsed="false">
      <c r="A281" s="24" t="str">
        <f aca="false">IF(C281="","",ROW()-4)</f>
        <v/>
      </c>
      <c r="B281" s="46"/>
      <c r="C281" s="22"/>
      <c r="D281" s="24" t="str">
        <f aca="false">IF(C281="","",IFERROR(INDEX(NV_TEN,MATCH(C281,NV_MA,0)),"MÃ KHÔNG CÓ"))</f>
        <v/>
      </c>
      <c r="E281" s="22"/>
      <c r="F281" s="22"/>
      <c r="G281" s="22"/>
      <c r="H281" s="22"/>
      <c r="I281" s="11"/>
      <c r="J281" s="22"/>
      <c r="K281" s="20" t="str">
        <f aca="false">IF(I281="","",IF(H281="LAK",I281*TYGIA_LAK,I281))</f>
        <v/>
      </c>
      <c r="L281" s="22"/>
      <c r="M281" s="22"/>
    </row>
    <row r="282" customFormat="false" ht="15" hidden="false" customHeight="false" outlineLevel="0" collapsed="false">
      <c r="A282" s="24" t="str">
        <f aca="false">IF(C282="","",ROW()-4)</f>
        <v/>
      </c>
      <c r="B282" s="46"/>
      <c r="C282" s="22"/>
      <c r="D282" s="24" t="str">
        <f aca="false">IF(C282="","",IFERROR(INDEX(NV_TEN,MATCH(C282,NV_MA,0)),"MÃ KHÔNG CÓ"))</f>
        <v/>
      </c>
      <c r="E282" s="22"/>
      <c r="F282" s="22"/>
      <c r="G282" s="22"/>
      <c r="H282" s="22"/>
      <c r="I282" s="11"/>
      <c r="J282" s="22"/>
      <c r="K282" s="20" t="str">
        <f aca="false">IF(I282="","",IF(H282="LAK",I282*TYGIA_LAK,I282))</f>
        <v/>
      </c>
      <c r="L282" s="22"/>
      <c r="M282" s="22"/>
    </row>
    <row r="283" customFormat="false" ht="15" hidden="false" customHeight="false" outlineLevel="0" collapsed="false">
      <c r="A283" s="24" t="str">
        <f aca="false">IF(C283="","",ROW()-4)</f>
        <v/>
      </c>
      <c r="B283" s="46"/>
      <c r="C283" s="22"/>
      <c r="D283" s="24" t="str">
        <f aca="false">IF(C283="","",IFERROR(INDEX(NV_TEN,MATCH(C283,NV_MA,0)),"MÃ KHÔNG CÓ"))</f>
        <v/>
      </c>
      <c r="E283" s="22"/>
      <c r="F283" s="22"/>
      <c r="G283" s="22"/>
      <c r="H283" s="22"/>
      <c r="I283" s="11"/>
      <c r="J283" s="22"/>
      <c r="K283" s="20" t="str">
        <f aca="false">IF(I283="","",IF(H283="LAK",I283*TYGIA_LAK,I283))</f>
        <v/>
      </c>
      <c r="L283" s="22"/>
      <c r="M283" s="22"/>
    </row>
    <row r="284" customFormat="false" ht="15" hidden="false" customHeight="false" outlineLevel="0" collapsed="false">
      <c r="A284" s="24" t="str">
        <f aca="false">IF(C284="","",ROW()-4)</f>
        <v/>
      </c>
      <c r="B284" s="46"/>
      <c r="C284" s="22"/>
      <c r="D284" s="24" t="str">
        <f aca="false">IF(C284="","",IFERROR(INDEX(NV_TEN,MATCH(C284,NV_MA,0)),"MÃ KHÔNG CÓ"))</f>
        <v/>
      </c>
      <c r="E284" s="22"/>
      <c r="F284" s="22"/>
      <c r="G284" s="22"/>
      <c r="H284" s="22"/>
      <c r="I284" s="11"/>
      <c r="J284" s="22"/>
      <c r="K284" s="20" t="str">
        <f aca="false">IF(I284="","",IF(H284="LAK",I284*TYGIA_LAK,I284))</f>
        <v/>
      </c>
      <c r="L284" s="22"/>
      <c r="M284" s="22"/>
    </row>
    <row r="285" customFormat="false" ht="15" hidden="false" customHeight="false" outlineLevel="0" collapsed="false">
      <c r="A285" s="24" t="str">
        <f aca="false">IF(C285="","",ROW()-4)</f>
        <v/>
      </c>
      <c r="B285" s="46"/>
      <c r="C285" s="22"/>
      <c r="D285" s="24" t="str">
        <f aca="false">IF(C285="","",IFERROR(INDEX(NV_TEN,MATCH(C285,NV_MA,0)),"MÃ KHÔNG CÓ"))</f>
        <v/>
      </c>
      <c r="E285" s="22"/>
      <c r="F285" s="22"/>
      <c r="G285" s="22"/>
      <c r="H285" s="22"/>
      <c r="I285" s="11"/>
      <c r="J285" s="22"/>
      <c r="K285" s="20" t="str">
        <f aca="false">IF(I285="","",IF(H285="LAK",I285*TYGIA_LAK,I285))</f>
        <v/>
      </c>
      <c r="L285" s="22"/>
      <c r="M285" s="22"/>
    </row>
    <row r="286" customFormat="false" ht="15" hidden="false" customHeight="false" outlineLevel="0" collapsed="false">
      <c r="A286" s="24" t="str">
        <f aca="false">IF(C286="","",ROW()-4)</f>
        <v/>
      </c>
      <c r="B286" s="46"/>
      <c r="C286" s="22"/>
      <c r="D286" s="24" t="str">
        <f aca="false">IF(C286="","",IFERROR(INDEX(NV_TEN,MATCH(C286,NV_MA,0)),"MÃ KHÔNG CÓ"))</f>
        <v/>
      </c>
      <c r="E286" s="22"/>
      <c r="F286" s="22"/>
      <c r="G286" s="22"/>
      <c r="H286" s="22"/>
      <c r="I286" s="11"/>
      <c r="J286" s="22"/>
      <c r="K286" s="20" t="str">
        <f aca="false">IF(I286="","",IF(H286="LAK",I286*TYGIA_LAK,I286))</f>
        <v/>
      </c>
      <c r="L286" s="22"/>
      <c r="M286" s="22"/>
    </row>
    <row r="287" customFormat="false" ht="15" hidden="false" customHeight="false" outlineLevel="0" collapsed="false">
      <c r="A287" s="24" t="str">
        <f aca="false">IF(C287="","",ROW()-4)</f>
        <v/>
      </c>
      <c r="B287" s="46"/>
      <c r="C287" s="22"/>
      <c r="D287" s="24" t="str">
        <f aca="false">IF(C287="","",IFERROR(INDEX(NV_TEN,MATCH(C287,NV_MA,0)),"MÃ KHÔNG CÓ"))</f>
        <v/>
      </c>
      <c r="E287" s="22"/>
      <c r="F287" s="22"/>
      <c r="G287" s="22"/>
      <c r="H287" s="22"/>
      <c r="I287" s="11"/>
      <c r="J287" s="22"/>
      <c r="K287" s="20" t="str">
        <f aca="false">IF(I287="","",IF(H287="LAK",I287*TYGIA_LAK,I287))</f>
        <v/>
      </c>
      <c r="L287" s="22"/>
      <c r="M287" s="22"/>
    </row>
    <row r="288" customFormat="false" ht="15" hidden="false" customHeight="false" outlineLevel="0" collapsed="false">
      <c r="A288" s="24" t="str">
        <f aca="false">IF(C288="","",ROW()-4)</f>
        <v/>
      </c>
      <c r="B288" s="46"/>
      <c r="C288" s="22"/>
      <c r="D288" s="24" t="str">
        <f aca="false">IF(C288="","",IFERROR(INDEX(NV_TEN,MATCH(C288,NV_MA,0)),"MÃ KHÔNG CÓ"))</f>
        <v/>
      </c>
      <c r="E288" s="22"/>
      <c r="F288" s="22"/>
      <c r="G288" s="22"/>
      <c r="H288" s="22"/>
      <c r="I288" s="11"/>
      <c r="J288" s="22"/>
      <c r="K288" s="20" t="str">
        <f aca="false">IF(I288="","",IF(H288="LAK",I288*TYGIA_LAK,I288))</f>
        <v/>
      </c>
      <c r="L288" s="22"/>
      <c r="M288" s="22"/>
    </row>
    <row r="289" customFormat="false" ht="15" hidden="false" customHeight="false" outlineLevel="0" collapsed="false">
      <c r="A289" s="24" t="str">
        <f aca="false">IF(C289="","",ROW()-4)</f>
        <v/>
      </c>
      <c r="B289" s="46"/>
      <c r="C289" s="22"/>
      <c r="D289" s="24" t="str">
        <f aca="false">IF(C289="","",IFERROR(INDEX(NV_TEN,MATCH(C289,NV_MA,0)),"MÃ KHÔNG CÓ"))</f>
        <v/>
      </c>
      <c r="E289" s="22"/>
      <c r="F289" s="22"/>
      <c r="G289" s="22"/>
      <c r="H289" s="22"/>
      <c r="I289" s="11"/>
      <c r="J289" s="22"/>
      <c r="K289" s="20" t="str">
        <f aca="false">IF(I289="","",IF(H289="LAK",I289*TYGIA_LAK,I289))</f>
        <v/>
      </c>
      <c r="L289" s="22"/>
      <c r="M289" s="22"/>
    </row>
    <row r="290" customFormat="false" ht="15" hidden="false" customHeight="false" outlineLevel="0" collapsed="false">
      <c r="A290" s="24" t="str">
        <f aca="false">IF(C290="","",ROW()-4)</f>
        <v/>
      </c>
      <c r="B290" s="46"/>
      <c r="C290" s="22"/>
      <c r="D290" s="24" t="str">
        <f aca="false">IF(C290="","",IFERROR(INDEX(NV_TEN,MATCH(C290,NV_MA,0)),"MÃ KHÔNG CÓ"))</f>
        <v/>
      </c>
      <c r="E290" s="22"/>
      <c r="F290" s="22"/>
      <c r="G290" s="22"/>
      <c r="H290" s="22"/>
      <c r="I290" s="11"/>
      <c r="J290" s="22"/>
      <c r="K290" s="20" t="str">
        <f aca="false">IF(I290="","",IF(H290="LAK",I290*TYGIA_LAK,I290))</f>
        <v/>
      </c>
      <c r="L290" s="22"/>
      <c r="M290" s="22"/>
    </row>
    <row r="291" customFormat="false" ht="15" hidden="false" customHeight="false" outlineLevel="0" collapsed="false">
      <c r="A291" s="24" t="str">
        <f aca="false">IF(C291="","",ROW()-4)</f>
        <v/>
      </c>
      <c r="B291" s="46"/>
      <c r="C291" s="22"/>
      <c r="D291" s="24" t="str">
        <f aca="false">IF(C291="","",IFERROR(INDEX(NV_TEN,MATCH(C291,NV_MA,0)),"MÃ KHÔNG CÓ"))</f>
        <v/>
      </c>
      <c r="E291" s="22"/>
      <c r="F291" s="22"/>
      <c r="G291" s="22"/>
      <c r="H291" s="22"/>
      <c r="I291" s="11"/>
      <c r="J291" s="22"/>
      <c r="K291" s="20" t="str">
        <f aca="false">IF(I291="","",IF(H291="LAK",I291*TYGIA_LAK,I291))</f>
        <v/>
      </c>
      <c r="L291" s="22"/>
      <c r="M291" s="22"/>
    </row>
    <row r="292" customFormat="false" ht="15" hidden="false" customHeight="false" outlineLevel="0" collapsed="false">
      <c r="A292" s="24" t="str">
        <f aca="false">IF(C292="","",ROW()-4)</f>
        <v/>
      </c>
      <c r="B292" s="46"/>
      <c r="C292" s="22"/>
      <c r="D292" s="24" t="str">
        <f aca="false">IF(C292="","",IFERROR(INDEX(NV_TEN,MATCH(C292,NV_MA,0)),"MÃ KHÔNG CÓ"))</f>
        <v/>
      </c>
      <c r="E292" s="22"/>
      <c r="F292" s="22"/>
      <c r="G292" s="22"/>
      <c r="H292" s="22"/>
      <c r="I292" s="11"/>
      <c r="J292" s="22"/>
      <c r="K292" s="20" t="str">
        <f aca="false">IF(I292="","",IF(H292="LAK",I292*TYGIA_LAK,I292))</f>
        <v/>
      </c>
      <c r="L292" s="22"/>
      <c r="M292" s="22"/>
    </row>
    <row r="293" customFormat="false" ht="15" hidden="false" customHeight="false" outlineLevel="0" collapsed="false">
      <c r="A293" s="24" t="str">
        <f aca="false">IF(C293="","",ROW()-4)</f>
        <v/>
      </c>
      <c r="B293" s="46"/>
      <c r="C293" s="22"/>
      <c r="D293" s="24" t="str">
        <f aca="false">IF(C293="","",IFERROR(INDEX(NV_TEN,MATCH(C293,NV_MA,0)),"MÃ KHÔNG CÓ"))</f>
        <v/>
      </c>
      <c r="E293" s="22"/>
      <c r="F293" s="22"/>
      <c r="G293" s="22"/>
      <c r="H293" s="22"/>
      <c r="I293" s="11"/>
      <c r="J293" s="22"/>
      <c r="K293" s="20" t="str">
        <f aca="false">IF(I293="","",IF(H293="LAK",I293*TYGIA_LAK,I293))</f>
        <v/>
      </c>
      <c r="L293" s="22"/>
      <c r="M293" s="22"/>
    </row>
    <row r="294" customFormat="false" ht="15" hidden="false" customHeight="false" outlineLevel="0" collapsed="false">
      <c r="A294" s="24" t="str">
        <f aca="false">IF(C294="","",ROW()-4)</f>
        <v/>
      </c>
      <c r="B294" s="46"/>
      <c r="C294" s="22"/>
      <c r="D294" s="24" t="str">
        <f aca="false">IF(C294="","",IFERROR(INDEX(NV_TEN,MATCH(C294,NV_MA,0)),"MÃ KHÔNG CÓ"))</f>
        <v/>
      </c>
      <c r="E294" s="22"/>
      <c r="F294" s="22"/>
      <c r="G294" s="22"/>
      <c r="H294" s="22"/>
      <c r="I294" s="11"/>
      <c r="J294" s="22"/>
      <c r="K294" s="20" t="str">
        <f aca="false">IF(I294="","",IF(H294="LAK",I294*TYGIA_LAK,I294))</f>
        <v/>
      </c>
      <c r="L294" s="22"/>
      <c r="M294" s="22"/>
    </row>
    <row r="295" customFormat="false" ht="15" hidden="false" customHeight="false" outlineLevel="0" collapsed="false">
      <c r="A295" s="24" t="str">
        <f aca="false">IF(C295="","",ROW()-4)</f>
        <v/>
      </c>
      <c r="B295" s="46"/>
      <c r="C295" s="22"/>
      <c r="D295" s="24" t="str">
        <f aca="false">IF(C295="","",IFERROR(INDEX(NV_TEN,MATCH(C295,NV_MA,0)),"MÃ KHÔNG CÓ"))</f>
        <v/>
      </c>
      <c r="E295" s="22"/>
      <c r="F295" s="22"/>
      <c r="G295" s="22"/>
      <c r="H295" s="22"/>
      <c r="I295" s="11"/>
      <c r="J295" s="22"/>
      <c r="K295" s="20" t="str">
        <f aca="false">IF(I295="","",IF(H295="LAK",I295*TYGIA_LAK,I295))</f>
        <v/>
      </c>
      <c r="L295" s="22"/>
      <c r="M295" s="22"/>
    </row>
    <row r="296" customFormat="false" ht="15" hidden="false" customHeight="false" outlineLevel="0" collapsed="false">
      <c r="A296" s="24" t="str">
        <f aca="false">IF(C296="","",ROW()-4)</f>
        <v/>
      </c>
      <c r="B296" s="46"/>
      <c r="C296" s="22"/>
      <c r="D296" s="24" t="str">
        <f aca="false">IF(C296="","",IFERROR(INDEX(NV_TEN,MATCH(C296,NV_MA,0)),"MÃ KHÔNG CÓ"))</f>
        <v/>
      </c>
      <c r="E296" s="22"/>
      <c r="F296" s="22"/>
      <c r="G296" s="22"/>
      <c r="H296" s="22"/>
      <c r="I296" s="11"/>
      <c r="J296" s="22"/>
      <c r="K296" s="20" t="str">
        <f aca="false">IF(I296="","",IF(H296="LAK",I296*TYGIA_LAK,I296))</f>
        <v/>
      </c>
      <c r="L296" s="22"/>
      <c r="M296" s="22"/>
    </row>
    <row r="297" customFormat="false" ht="15" hidden="false" customHeight="false" outlineLevel="0" collapsed="false">
      <c r="A297" s="24" t="str">
        <f aca="false">IF(C297="","",ROW()-4)</f>
        <v/>
      </c>
      <c r="B297" s="46"/>
      <c r="C297" s="22"/>
      <c r="D297" s="24" t="str">
        <f aca="false">IF(C297="","",IFERROR(INDEX(NV_TEN,MATCH(C297,NV_MA,0)),"MÃ KHÔNG CÓ"))</f>
        <v/>
      </c>
      <c r="E297" s="22"/>
      <c r="F297" s="22"/>
      <c r="G297" s="22"/>
      <c r="H297" s="22"/>
      <c r="I297" s="11"/>
      <c r="J297" s="22"/>
      <c r="K297" s="20" t="str">
        <f aca="false">IF(I297="","",IF(H297="LAK",I297*TYGIA_LAK,I297))</f>
        <v/>
      </c>
      <c r="L297" s="22"/>
      <c r="M297" s="22"/>
    </row>
    <row r="298" customFormat="false" ht="15" hidden="false" customHeight="false" outlineLevel="0" collapsed="false">
      <c r="A298" s="24" t="str">
        <f aca="false">IF(C298="","",ROW()-4)</f>
        <v/>
      </c>
      <c r="B298" s="46"/>
      <c r="C298" s="22"/>
      <c r="D298" s="24" t="str">
        <f aca="false">IF(C298="","",IFERROR(INDEX(NV_TEN,MATCH(C298,NV_MA,0)),"MÃ KHÔNG CÓ"))</f>
        <v/>
      </c>
      <c r="E298" s="22"/>
      <c r="F298" s="22"/>
      <c r="G298" s="22"/>
      <c r="H298" s="22"/>
      <c r="I298" s="11"/>
      <c r="J298" s="22"/>
      <c r="K298" s="20" t="str">
        <f aca="false">IF(I298="","",IF(H298="LAK",I298*TYGIA_LAK,I298))</f>
        <v/>
      </c>
      <c r="L298" s="22"/>
      <c r="M298" s="22"/>
    </row>
    <row r="299" customFormat="false" ht="15" hidden="false" customHeight="false" outlineLevel="0" collapsed="false">
      <c r="A299" s="24" t="str">
        <f aca="false">IF(C299="","",ROW()-4)</f>
        <v/>
      </c>
      <c r="B299" s="46"/>
      <c r="C299" s="22"/>
      <c r="D299" s="24" t="str">
        <f aca="false">IF(C299="","",IFERROR(INDEX(NV_TEN,MATCH(C299,NV_MA,0)),"MÃ KHÔNG CÓ"))</f>
        <v/>
      </c>
      <c r="E299" s="22"/>
      <c r="F299" s="22"/>
      <c r="G299" s="22"/>
      <c r="H299" s="22"/>
      <c r="I299" s="11"/>
      <c r="J299" s="22"/>
      <c r="K299" s="20" t="str">
        <f aca="false">IF(I299="","",IF(H299="LAK",I299*TYGIA_LAK,I299))</f>
        <v/>
      </c>
      <c r="L299" s="22"/>
      <c r="M299" s="22"/>
    </row>
    <row r="300" customFormat="false" ht="15" hidden="false" customHeight="false" outlineLevel="0" collapsed="false">
      <c r="A300" s="24" t="str">
        <f aca="false">IF(C300="","",ROW()-4)</f>
        <v/>
      </c>
      <c r="B300" s="46"/>
      <c r="C300" s="22"/>
      <c r="D300" s="24" t="str">
        <f aca="false">IF(C300="","",IFERROR(INDEX(NV_TEN,MATCH(C300,NV_MA,0)),"MÃ KHÔNG CÓ"))</f>
        <v/>
      </c>
      <c r="E300" s="22"/>
      <c r="F300" s="22"/>
      <c r="G300" s="22"/>
      <c r="H300" s="22"/>
      <c r="I300" s="11"/>
      <c r="J300" s="22"/>
      <c r="K300" s="20" t="str">
        <f aca="false">IF(I300="","",IF(H300="LAK",I300*TYGIA_LAK,I300))</f>
        <v/>
      </c>
      <c r="L300" s="22"/>
      <c r="M300" s="22"/>
    </row>
    <row r="301" customFormat="false" ht="15" hidden="false" customHeight="false" outlineLevel="0" collapsed="false">
      <c r="A301" s="24" t="str">
        <f aca="false">IF(C301="","",ROW()-4)</f>
        <v/>
      </c>
      <c r="B301" s="46"/>
      <c r="C301" s="22"/>
      <c r="D301" s="24" t="str">
        <f aca="false">IF(C301="","",IFERROR(INDEX(NV_TEN,MATCH(C301,NV_MA,0)),"MÃ KHÔNG CÓ"))</f>
        <v/>
      </c>
      <c r="E301" s="22"/>
      <c r="F301" s="22"/>
      <c r="G301" s="22"/>
      <c r="H301" s="22"/>
      <c r="I301" s="11"/>
      <c r="J301" s="22"/>
      <c r="K301" s="20" t="str">
        <f aca="false">IF(I301="","",IF(H301="LAK",I301*TYGIA_LAK,I301))</f>
        <v/>
      </c>
      <c r="L301" s="22"/>
      <c r="M301" s="22"/>
    </row>
    <row r="302" customFormat="false" ht="15" hidden="false" customHeight="false" outlineLevel="0" collapsed="false">
      <c r="A302" s="24" t="str">
        <f aca="false">IF(C302="","",ROW()-4)</f>
        <v/>
      </c>
      <c r="B302" s="46"/>
      <c r="C302" s="22"/>
      <c r="D302" s="24" t="str">
        <f aca="false">IF(C302="","",IFERROR(INDEX(NV_TEN,MATCH(C302,NV_MA,0)),"MÃ KHÔNG CÓ"))</f>
        <v/>
      </c>
      <c r="E302" s="22"/>
      <c r="F302" s="22"/>
      <c r="G302" s="22"/>
      <c r="H302" s="22"/>
      <c r="I302" s="11"/>
      <c r="J302" s="22"/>
      <c r="K302" s="20" t="str">
        <f aca="false">IF(I302="","",IF(H302="LAK",I302*TYGIA_LAK,I302))</f>
        <v/>
      </c>
      <c r="L302" s="22"/>
      <c r="M302" s="22"/>
    </row>
    <row r="303" customFormat="false" ht="15" hidden="false" customHeight="false" outlineLevel="0" collapsed="false">
      <c r="A303" s="24" t="str">
        <f aca="false">IF(C303="","",ROW()-4)</f>
        <v/>
      </c>
      <c r="B303" s="46"/>
      <c r="C303" s="22"/>
      <c r="D303" s="24" t="str">
        <f aca="false">IF(C303="","",IFERROR(INDEX(NV_TEN,MATCH(C303,NV_MA,0)),"MÃ KHÔNG CÓ"))</f>
        <v/>
      </c>
      <c r="E303" s="22"/>
      <c r="F303" s="22"/>
      <c r="G303" s="22"/>
      <c r="H303" s="22"/>
      <c r="I303" s="11"/>
      <c r="J303" s="22"/>
      <c r="K303" s="20" t="str">
        <f aca="false">IF(I303="","",IF(H303="LAK",I303*TYGIA_LAK,I303))</f>
        <v/>
      </c>
      <c r="L303" s="22"/>
      <c r="M303" s="22"/>
    </row>
    <row r="304" customFormat="false" ht="15" hidden="false" customHeight="false" outlineLevel="0" collapsed="false">
      <c r="A304" s="24" t="str">
        <f aca="false">IF(C304="","",ROW()-4)</f>
        <v/>
      </c>
      <c r="B304" s="46"/>
      <c r="C304" s="22"/>
      <c r="D304" s="24" t="str">
        <f aca="false">IF(C304="","",IFERROR(INDEX(NV_TEN,MATCH(C304,NV_MA,0)),"MÃ KHÔNG CÓ"))</f>
        <v/>
      </c>
      <c r="E304" s="22"/>
      <c r="F304" s="22"/>
      <c r="G304" s="22"/>
      <c r="H304" s="22"/>
      <c r="I304" s="11"/>
      <c r="J304" s="22"/>
      <c r="K304" s="20" t="str">
        <f aca="false">IF(I304="","",IF(H304="LAK",I304*TYGIA_LAK,I304))</f>
        <v/>
      </c>
      <c r="L304" s="22"/>
      <c r="M304" s="22"/>
    </row>
    <row r="305" customFormat="false" ht="15" hidden="false" customHeight="false" outlineLevel="0" collapsed="false">
      <c r="A305" s="24" t="str">
        <f aca="false">IF(C305="","",ROW()-4)</f>
        <v/>
      </c>
      <c r="B305" s="46"/>
      <c r="C305" s="22"/>
      <c r="D305" s="24" t="str">
        <f aca="false">IF(C305="","",IFERROR(INDEX(NV_TEN,MATCH(C305,NV_MA,0)),"MÃ KHÔNG CÓ"))</f>
        <v/>
      </c>
      <c r="E305" s="22"/>
      <c r="F305" s="22"/>
      <c r="G305" s="22"/>
      <c r="H305" s="22"/>
      <c r="I305" s="11"/>
      <c r="J305" s="22"/>
      <c r="K305" s="20" t="str">
        <f aca="false">IF(I305="","",IF(H305="LAK",I305*TYGIA_LAK,I305))</f>
        <v/>
      </c>
      <c r="L305" s="22"/>
      <c r="M305" s="22"/>
    </row>
    <row r="306" customFormat="false" ht="15" hidden="false" customHeight="false" outlineLevel="0" collapsed="false">
      <c r="A306" s="24" t="str">
        <f aca="false">IF(C306="","",ROW()-4)</f>
        <v/>
      </c>
      <c r="B306" s="46"/>
      <c r="C306" s="22"/>
      <c r="D306" s="24" t="str">
        <f aca="false">IF(C306="","",IFERROR(INDEX(NV_TEN,MATCH(C306,NV_MA,0)),"MÃ KHÔNG CÓ"))</f>
        <v/>
      </c>
      <c r="E306" s="22"/>
      <c r="F306" s="22"/>
      <c r="G306" s="22"/>
      <c r="H306" s="22"/>
      <c r="I306" s="11"/>
      <c r="J306" s="22"/>
      <c r="K306" s="20" t="str">
        <f aca="false">IF(I306="","",IF(H306="LAK",I306*TYGIA_LAK,I306))</f>
        <v/>
      </c>
      <c r="L306" s="22"/>
      <c r="M306" s="22"/>
    </row>
    <row r="307" customFormat="false" ht="15" hidden="false" customHeight="false" outlineLevel="0" collapsed="false">
      <c r="A307" s="24" t="str">
        <f aca="false">IF(C307="","",ROW()-4)</f>
        <v/>
      </c>
      <c r="B307" s="46"/>
      <c r="C307" s="22"/>
      <c r="D307" s="24" t="str">
        <f aca="false">IF(C307="","",IFERROR(INDEX(NV_TEN,MATCH(C307,NV_MA,0)),"MÃ KHÔNG CÓ"))</f>
        <v/>
      </c>
      <c r="E307" s="22"/>
      <c r="F307" s="22"/>
      <c r="G307" s="22"/>
      <c r="H307" s="22"/>
      <c r="I307" s="11"/>
      <c r="J307" s="22"/>
      <c r="K307" s="20" t="str">
        <f aca="false">IF(I307="","",IF(H307="LAK",I307*TYGIA_LAK,I307))</f>
        <v/>
      </c>
      <c r="L307" s="22"/>
      <c r="M307" s="22"/>
    </row>
    <row r="308" customFormat="false" ht="15" hidden="false" customHeight="false" outlineLevel="0" collapsed="false">
      <c r="A308" s="24" t="str">
        <f aca="false">IF(C308="","",ROW()-4)</f>
        <v/>
      </c>
      <c r="B308" s="46"/>
      <c r="C308" s="22"/>
      <c r="D308" s="24" t="str">
        <f aca="false">IF(C308="","",IFERROR(INDEX(NV_TEN,MATCH(C308,NV_MA,0)),"MÃ KHÔNG CÓ"))</f>
        <v/>
      </c>
      <c r="E308" s="22"/>
      <c r="F308" s="22"/>
      <c r="G308" s="22"/>
      <c r="H308" s="22"/>
      <c r="I308" s="11"/>
      <c r="J308" s="22"/>
      <c r="K308" s="20" t="str">
        <f aca="false">IF(I308="","",IF(H308="LAK",I308*TYGIA_LAK,I308))</f>
        <v/>
      </c>
      <c r="L308" s="22"/>
      <c r="M308" s="22"/>
    </row>
    <row r="309" customFormat="false" ht="15" hidden="false" customHeight="false" outlineLevel="0" collapsed="false">
      <c r="A309" s="24" t="str">
        <f aca="false">IF(C309="","",ROW()-4)</f>
        <v/>
      </c>
      <c r="B309" s="46"/>
      <c r="C309" s="22"/>
      <c r="D309" s="24" t="str">
        <f aca="false">IF(C309="","",IFERROR(INDEX(NV_TEN,MATCH(C309,NV_MA,0)),"MÃ KHÔNG CÓ"))</f>
        <v/>
      </c>
      <c r="E309" s="22"/>
      <c r="F309" s="22"/>
      <c r="G309" s="22"/>
      <c r="H309" s="22"/>
      <c r="I309" s="11"/>
      <c r="J309" s="22"/>
      <c r="K309" s="20" t="str">
        <f aca="false">IF(I309="","",IF(H309="LAK",I309*TYGIA_LAK,I309))</f>
        <v/>
      </c>
      <c r="L309" s="22"/>
      <c r="M309" s="22"/>
    </row>
    <row r="310" customFormat="false" ht="15" hidden="false" customHeight="false" outlineLevel="0" collapsed="false">
      <c r="A310" s="24" t="str">
        <f aca="false">IF(C310="","",ROW()-4)</f>
        <v/>
      </c>
      <c r="B310" s="46"/>
      <c r="C310" s="22"/>
      <c r="D310" s="24" t="str">
        <f aca="false">IF(C310="","",IFERROR(INDEX(NV_TEN,MATCH(C310,NV_MA,0)),"MÃ KHÔNG CÓ"))</f>
        <v/>
      </c>
      <c r="E310" s="22"/>
      <c r="F310" s="22"/>
      <c r="G310" s="22"/>
      <c r="H310" s="22"/>
      <c r="I310" s="11"/>
      <c r="J310" s="22"/>
      <c r="K310" s="20" t="str">
        <f aca="false">IF(I310="","",IF(H310="LAK",I310*TYGIA_LAK,I310))</f>
        <v/>
      </c>
      <c r="L310" s="22"/>
      <c r="M310" s="22"/>
    </row>
    <row r="311" customFormat="false" ht="15" hidden="false" customHeight="false" outlineLevel="0" collapsed="false">
      <c r="A311" s="24" t="str">
        <f aca="false">IF(C311="","",ROW()-4)</f>
        <v/>
      </c>
      <c r="B311" s="46"/>
      <c r="C311" s="22"/>
      <c r="D311" s="24" t="str">
        <f aca="false">IF(C311="","",IFERROR(INDEX(NV_TEN,MATCH(C311,NV_MA,0)),"MÃ KHÔNG CÓ"))</f>
        <v/>
      </c>
      <c r="E311" s="22"/>
      <c r="F311" s="22"/>
      <c r="G311" s="22"/>
      <c r="H311" s="22"/>
      <c r="I311" s="11"/>
      <c r="J311" s="22"/>
      <c r="K311" s="20" t="str">
        <f aca="false">IF(I311="","",IF(H311="LAK",I311*TYGIA_LAK,I311))</f>
        <v/>
      </c>
      <c r="L311" s="22"/>
      <c r="M311" s="22"/>
    </row>
    <row r="312" customFormat="false" ht="15" hidden="false" customHeight="false" outlineLevel="0" collapsed="false">
      <c r="A312" s="24" t="str">
        <f aca="false">IF(C312="","",ROW()-4)</f>
        <v/>
      </c>
      <c r="B312" s="46"/>
      <c r="C312" s="22"/>
      <c r="D312" s="24" t="str">
        <f aca="false">IF(C312="","",IFERROR(INDEX(NV_TEN,MATCH(C312,NV_MA,0)),"MÃ KHÔNG CÓ"))</f>
        <v/>
      </c>
      <c r="E312" s="22"/>
      <c r="F312" s="22"/>
      <c r="G312" s="22"/>
      <c r="H312" s="22"/>
      <c r="I312" s="11"/>
      <c r="J312" s="22"/>
      <c r="K312" s="20" t="str">
        <f aca="false">IF(I312="","",IF(H312="LAK",I312*TYGIA_LAK,I312))</f>
        <v/>
      </c>
      <c r="L312" s="22"/>
      <c r="M312" s="22"/>
    </row>
    <row r="313" customFormat="false" ht="15" hidden="false" customHeight="false" outlineLevel="0" collapsed="false">
      <c r="A313" s="24" t="str">
        <f aca="false">IF(C313="","",ROW()-4)</f>
        <v/>
      </c>
      <c r="B313" s="46"/>
      <c r="C313" s="22"/>
      <c r="D313" s="24" t="str">
        <f aca="false">IF(C313="","",IFERROR(INDEX(NV_TEN,MATCH(C313,NV_MA,0)),"MÃ KHÔNG CÓ"))</f>
        <v/>
      </c>
      <c r="E313" s="22"/>
      <c r="F313" s="22"/>
      <c r="G313" s="22"/>
      <c r="H313" s="22"/>
      <c r="I313" s="11"/>
      <c r="J313" s="22"/>
      <c r="K313" s="20" t="str">
        <f aca="false">IF(I313="","",IF(H313="LAK",I313*TYGIA_LAK,I313))</f>
        <v/>
      </c>
      <c r="L313" s="22"/>
      <c r="M313" s="22"/>
    </row>
    <row r="314" customFormat="false" ht="15" hidden="false" customHeight="false" outlineLevel="0" collapsed="false">
      <c r="A314" s="24" t="str">
        <f aca="false">IF(C314="","",ROW()-4)</f>
        <v/>
      </c>
      <c r="B314" s="46"/>
      <c r="C314" s="22"/>
      <c r="D314" s="24" t="str">
        <f aca="false">IF(C314="","",IFERROR(INDEX(NV_TEN,MATCH(C314,NV_MA,0)),"MÃ KHÔNG CÓ"))</f>
        <v/>
      </c>
      <c r="E314" s="22"/>
      <c r="F314" s="22"/>
      <c r="G314" s="22"/>
      <c r="H314" s="22"/>
      <c r="I314" s="11"/>
      <c r="J314" s="22"/>
      <c r="K314" s="20" t="str">
        <f aca="false">IF(I314="","",IF(H314="LAK",I314*TYGIA_LAK,I314))</f>
        <v/>
      </c>
      <c r="L314" s="22"/>
      <c r="M314" s="22"/>
    </row>
    <row r="315" customFormat="false" ht="15" hidden="false" customHeight="false" outlineLevel="0" collapsed="false">
      <c r="A315" s="24" t="str">
        <f aca="false">IF(C315="","",ROW()-4)</f>
        <v/>
      </c>
      <c r="B315" s="46"/>
      <c r="C315" s="22"/>
      <c r="D315" s="24" t="str">
        <f aca="false">IF(C315="","",IFERROR(INDEX(NV_TEN,MATCH(C315,NV_MA,0)),"MÃ KHÔNG CÓ"))</f>
        <v/>
      </c>
      <c r="E315" s="22"/>
      <c r="F315" s="22"/>
      <c r="G315" s="22"/>
      <c r="H315" s="22"/>
      <c r="I315" s="11"/>
      <c r="J315" s="22"/>
      <c r="K315" s="20" t="str">
        <f aca="false">IF(I315="","",IF(H315="LAK",I315*TYGIA_LAK,I315))</f>
        <v/>
      </c>
      <c r="L315" s="22"/>
      <c r="M315" s="22"/>
    </row>
    <row r="316" customFormat="false" ht="15" hidden="false" customHeight="false" outlineLevel="0" collapsed="false">
      <c r="A316" s="24" t="str">
        <f aca="false">IF(C316="","",ROW()-4)</f>
        <v/>
      </c>
      <c r="B316" s="46"/>
      <c r="C316" s="22"/>
      <c r="D316" s="24" t="str">
        <f aca="false">IF(C316="","",IFERROR(INDEX(NV_TEN,MATCH(C316,NV_MA,0)),"MÃ KHÔNG CÓ"))</f>
        <v/>
      </c>
      <c r="E316" s="22"/>
      <c r="F316" s="22"/>
      <c r="G316" s="22"/>
      <c r="H316" s="22"/>
      <c r="I316" s="11"/>
      <c r="J316" s="22"/>
      <c r="K316" s="20" t="str">
        <f aca="false">IF(I316="","",IF(H316="LAK",I316*TYGIA_LAK,I316))</f>
        <v/>
      </c>
      <c r="L316" s="22"/>
      <c r="M316" s="22"/>
    </row>
    <row r="317" customFormat="false" ht="15" hidden="false" customHeight="false" outlineLevel="0" collapsed="false">
      <c r="A317" s="24" t="str">
        <f aca="false">IF(C317="","",ROW()-4)</f>
        <v/>
      </c>
      <c r="B317" s="46"/>
      <c r="C317" s="22"/>
      <c r="D317" s="24" t="str">
        <f aca="false">IF(C317="","",IFERROR(INDEX(NV_TEN,MATCH(C317,NV_MA,0)),"MÃ KHÔNG CÓ"))</f>
        <v/>
      </c>
      <c r="E317" s="22"/>
      <c r="F317" s="22"/>
      <c r="G317" s="22"/>
      <c r="H317" s="22"/>
      <c r="I317" s="11"/>
      <c r="J317" s="22"/>
      <c r="K317" s="20" t="str">
        <f aca="false">IF(I317="","",IF(H317="LAK",I317*TYGIA_LAK,I317))</f>
        <v/>
      </c>
      <c r="L317" s="22"/>
      <c r="M317" s="22"/>
    </row>
    <row r="318" customFormat="false" ht="15" hidden="false" customHeight="false" outlineLevel="0" collapsed="false">
      <c r="A318" s="24" t="str">
        <f aca="false">IF(C318="","",ROW()-4)</f>
        <v/>
      </c>
      <c r="B318" s="46"/>
      <c r="C318" s="22"/>
      <c r="D318" s="24" t="str">
        <f aca="false">IF(C318="","",IFERROR(INDEX(NV_TEN,MATCH(C318,NV_MA,0)),"MÃ KHÔNG CÓ"))</f>
        <v/>
      </c>
      <c r="E318" s="22"/>
      <c r="F318" s="22"/>
      <c r="G318" s="22"/>
      <c r="H318" s="22"/>
      <c r="I318" s="11"/>
      <c r="J318" s="22"/>
      <c r="K318" s="20" t="str">
        <f aca="false">IF(I318="","",IF(H318="LAK",I318*TYGIA_LAK,I318))</f>
        <v/>
      </c>
      <c r="L318" s="22"/>
      <c r="M318" s="22"/>
    </row>
    <row r="319" customFormat="false" ht="15" hidden="false" customHeight="false" outlineLevel="0" collapsed="false">
      <c r="A319" s="24" t="str">
        <f aca="false">IF(C319="","",ROW()-4)</f>
        <v/>
      </c>
      <c r="B319" s="46"/>
      <c r="C319" s="22"/>
      <c r="D319" s="24" t="str">
        <f aca="false">IF(C319="","",IFERROR(INDEX(NV_TEN,MATCH(C319,NV_MA,0)),"MÃ KHÔNG CÓ"))</f>
        <v/>
      </c>
      <c r="E319" s="22"/>
      <c r="F319" s="22"/>
      <c r="G319" s="22"/>
      <c r="H319" s="22"/>
      <c r="I319" s="11"/>
      <c r="J319" s="22"/>
      <c r="K319" s="20" t="str">
        <f aca="false">IF(I319="","",IF(H319="LAK",I319*TYGIA_LAK,I319))</f>
        <v/>
      </c>
      <c r="L319" s="22"/>
      <c r="M319" s="22"/>
    </row>
    <row r="320" customFormat="false" ht="15" hidden="false" customHeight="false" outlineLevel="0" collapsed="false">
      <c r="A320" s="24" t="str">
        <f aca="false">IF(C320="","",ROW()-4)</f>
        <v/>
      </c>
      <c r="B320" s="46"/>
      <c r="C320" s="22"/>
      <c r="D320" s="24" t="str">
        <f aca="false">IF(C320="","",IFERROR(INDEX(NV_TEN,MATCH(C320,NV_MA,0)),"MÃ KHÔNG CÓ"))</f>
        <v/>
      </c>
      <c r="E320" s="22"/>
      <c r="F320" s="22"/>
      <c r="G320" s="22"/>
      <c r="H320" s="22"/>
      <c r="I320" s="11"/>
      <c r="J320" s="22"/>
      <c r="K320" s="20" t="str">
        <f aca="false">IF(I320="","",IF(H320="LAK",I320*TYGIA_LAK,I320))</f>
        <v/>
      </c>
      <c r="L320" s="22"/>
      <c r="M320" s="22"/>
    </row>
    <row r="321" customFormat="false" ht="15" hidden="false" customHeight="false" outlineLevel="0" collapsed="false">
      <c r="A321" s="24" t="str">
        <f aca="false">IF(C321="","",ROW()-4)</f>
        <v/>
      </c>
      <c r="B321" s="46"/>
      <c r="C321" s="22"/>
      <c r="D321" s="24" t="str">
        <f aca="false">IF(C321="","",IFERROR(INDEX(NV_TEN,MATCH(C321,NV_MA,0)),"MÃ KHÔNG CÓ"))</f>
        <v/>
      </c>
      <c r="E321" s="22"/>
      <c r="F321" s="22"/>
      <c r="G321" s="22"/>
      <c r="H321" s="22"/>
      <c r="I321" s="11"/>
      <c r="J321" s="22"/>
      <c r="K321" s="20" t="str">
        <f aca="false">IF(I321="","",IF(H321="LAK",I321*TYGIA_LAK,I321))</f>
        <v/>
      </c>
      <c r="L321" s="22"/>
      <c r="M321" s="22"/>
    </row>
    <row r="322" customFormat="false" ht="15" hidden="false" customHeight="false" outlineLevel="0" collapsed="false">
      <c r="A322" s="24" t="str">
        <f aca="false">IF(C322="","",ROW()-4)</f>
        <v/>
      </c>
      <c r="B322" s="46"/>
      <c r="C322" s="22"/>
      <c r="D322" s="24" t="str">
        <f aca="false">IF(C322="","",IFERROR(INDEX(NV_TEN,MATCH(C322,NV_MA,0)),"MÃ KHÔNG CÓ"))</f>
        <v/>
      </c>
      <c r="E322" s="22"/>
      <c r="F322" s="22"/>
      <c r="G322" s="22"/>
      <c r="H322" s="22"/>
      <c r="I322" s="11"/>
      <c r="J322" s="22"/>
      <c r="K322" s="20" t="str">
        <f aca="false">IF(I322="","",IF(H322="LAK",I322*TYGIA_LAK,I322))</f>
        <v/>
      </c>
      <c r="L322" s="22"/>
      <c r="M322" s="22"/>
    </row>
    <row r="323" customFormat="false" ht="15" hidden="false" customHeight="false" outlineLevel="0" collapsed="false">
      <c r="A323" s="24" t="str">
        <f aca="false">IF(C323="","",ROW()-4)</f>
        <v/>
      </c>
      <c r="B323" s="46"/>
      <c r="C323" s="22"/>
      <c r="D323" s="24" t="str">
        <f aca="false">IF(C323="","",IFERROR(INDEX(NV_TEN,MATCH(C323,NV_MA,0)),"MÃ KHÔNG CÓ"))</f>
        <v/>
      </c>
      <c r="E323" s="22"/>
      <c r="F323" s="22"/>
      <c r="G323" s="22"/>
      <c r="H323" s="22"/>
      <c r="I323" s="11"/>
      <c r="J323" s="22"/>
      <c r="K323" s="20" t="str">
        <f aca="false">IF(I323="","",IF(H323="LAK",I323*TYGIA_LAK,I323))</f>
        <v/>
      </c>
      <c r="L323" s="22"/>
      <c r="M323" s="22"/>
    </row>
    <row r="324" customFormat="false" ht="15" hidden="false" customHeight="false" outlineLevel="0" collapsed="false">
      <c r="A324" s="24" t="str">
        <f aca="false">IF(C324="","",ROW()-4)</f>
        <v/>
      </c>
      <c r="B324" s="46"/>
      <c r="C324" s="22"/>
      <c r="D324" s="24" t="str">
        <f aca="false">IF(C324="","",IFERROR(INDEX(NV_TEN,MATCH(C324,NV_MA,0)),"MÃ KHÔNG CÓ"))</f>
        <v/>
      </c>
      <c r="E324" s="22"/>
      <c r="F324" s="22"/>
      <c r="G324" s="22"/>
      <c r="H324" s="22"/>
      <c r="I324" s="11"/>
      <c r="J324" s="22"/>
      <c r="K324" s="20" t="str">
        <f aca="false">IF(I324="","",IF(H324="LAK",I324*TYGIA_LAK,I324))</f>
        <v/>
      </c>
      <c r="L324" s="22"/>
      <c r="M324" s="22"/>
    </row>
    <row r="325" customFormat="false" ht="15" hidden="false" customHeight="false" outlineLevel="0" collapsed="false">
      <c r="A325" s="24" t="str">
        <f aca="false">IF(C325="","",ROW()-4)</f>
        <v/>
      </c>
      <c r="B325" s="46"/>
      <c r="C325" s="22"/>
      <c r="D325" s="24" t="str">
        <f aca="false">IF(C325="","",IFERROR(INDEX(NV_TEN,MATCH(C325,NV_MA,0)),"MÃ KHÔNG CÓ"))</f>
        <v/>
      </c>
      <c r="E325" s="22"/>
      <c r="F325" s="22"/>
      <c r="G325" s="22"/>
      <c r="H325" s="22"/>
      <c r="I325" s="11"/>
      <c r="J325" s="22"/>
      <c r="K325" s="20" t="str">
        <f aca="false">IF(I325="","",IF(H325="LAK",I325*TYGIA_LAK,I325))</f>
        <v/>
      </c>
      <c r="L325" s="22"/>
      <c r="M325" s="22"/>
    </row>
    <row r="326" customFormat="false" ht="15" hidden="false" customHeight="false" outlineLevel="0" collapsed="false">
      <c r="A326" s="24" t="str">
        <f aca="false">IF(C326="","",ROW()-4)</f>
        <v/>
      </c>
      <c r="B326" s="46"/>
      <c r="C326" s="22"/>
      <c r="D326" s="24" t="str">
        <f aca="false">IF(C326="","",IFERROR(INDEX(NV_TEN,MATCH(C326,NV_MA,0)),"MÃ KHÔNG CÓ"))</f>
        <v/>
      </c>
      <c r="E326" s="22"/>
      <c r="F326" s="22"/>
      <c r="G326" s="22"/>
      <c r="H326" s="22"/>
      <c r="I326" s="11"/>
      <c r="J326" s="22"/>
      <c r="K326" s="20" t="str">
        <f aca="false">IF(I326="","",IF(H326="LAK",I326*TYGIA_LAK,I326))</f>
        <v/>
      </c>
      <c r="L326" s="22"/>
      <c r="M326" s="22"/>
    </row>
    <row r="327" customFormat="false" ht="15" hidden="false" customHeight="false" outlineLevel="0" collapsed="false">
      <c r="A327" s="24" t="str">
        <f aca="false">IF(C327="","",ROW()-4)</f>
        <v/>
      </c>
      <c r="B327" s="46"/>
      <c r="C327" s="22"/>
      <c r="D327" s="24" t="str">
        <f aca="false">IF(C327="","",IFERROR(INDEX(NV_TEN,MATCH(C327,NV_MA,0)),"MÃ KHÔNG CÓ"))</f>
        <v/>
      </c>
      <c r="E327" s="22"/>
      <c r="F327" s="22"/>
      <c r="G327" s="22"/>
      <c r="H327" s="22"/>
      <c r="I327" s="11"/>
      <c r="J327" s="22"/>
      <c r="K327" s="20" t="str">
        <f aca="false">IF(I327="","",IF(H327="LAK",I327*TYGIA_LAK,I327))</f>
        <v/>
      </c>
      <c r="L327" s="22"/>
      <c r="M327" s="22"/>
    </row>
    <row r="328" customFormat="false" ht="15" hidden="false" customHeight="false" outlineLevel="0" collapsed="false">
      <c r="A328" s="24" t="str">
        <f aca="false">IF(C328="","",ROW()-4)</f>
        <v/>
      </c>
      <c r="B328" s="46"/>
      <c r="C328" s="22"/>
      <c r="D328" s="24" t="str">
        <f aca="false">IF(C328="","",IFERROR(INDEX(NV_TEN,MATCH(C328,NV_MA,0)),"MÃ KHÔNG CÓ"))</f>
        <v/>
      </c>
      <c r="E328" s="22"/>
      <c r="F328" s="22"/>
      <c r="G328" s="22"/>
      <c r="H328" s="22"/>
      <c r="I328" s="11"/>
      <c r="J328" s="22"/>
      <c r="K328" s="20" t="str">
        <f aca="false">IF(I328="","",IF(H328="LAK",I328*TYGIA_LAK,I328))</f>
        <v/>
      </c>
      <c r="L328" s="22"/>
      <c r="M328" s="22"/>
    </row>
    <row r="329" customFormat="false" ht="15" hidden="false" customHeight="false" outlineLevel="0" collapsed="false">
      <c r="A329" s="24" t="str">
        <f aca="false">IF(C329="","",ROW()-4)</f>
        <v/>
      </c>
      <c r="B329" s="46"/>
      <c r="C329" s="22"/>
      <c r="D329" s="24" t="str">
        <f aca="false">IF(C329="","",IFERROR(INDEX(NV_TEN,MATCH(C329,NV_MA,0)),"MÃ KHÔNG CÓ"))</f>
        <v/>
      </c>
      <c r="E329" s="22"/>
      <c r="F329" s="22"/>
      <c r="G329" s="22"/>
      <c r="H329" s="22"/>
      <c r="I329" s="11"/>
      <c r="J329" s="22"/>
      <c r="K329" s="20" t="str">
        <f aca="false">IF(I329="","",IF(H329="LAK",I329*TYGIA_LAK,I329))</f>
        <v/>
      </c>
      <c r="L329" s="22"/>
      <c r="M329" s="22"/>
    </row>
    <row r="330" customFormat="false" ht="15" hidden="false" customHeight="false" outlineLevel="0" collapsed="false">
      <c r="A330" s="24" t="str">
        <f aca="false">IF(C330="","",ROW()-4)</f>
        <v/>
      </c>
      <c r="B330" s="46"/>
      <c r="C330" s="22"/>
      <c r="D330" s="24" t="str">
        <f aca="false">IF(C330="","",IFERROR(INDEX(NV_TEN,MATCH(C330,NV_MA,0)),"MÃ KHÔNG CÓ"))</f>
        <v/>
      </c>
      <c r="E330" s="22"/>
      <c r="F330" s="22"/>
      <c r="G330" s="22"/>
      <c r="H330" s="22"/>
      <c r="I330" s="11"/>
      <c r="J330" s="22"/>
      <c r="K330" s="20" t="str">
        <f aca="false">IF(I330="","",IF(H330="LAK",I330*TYGIA_LAK,I330))</f>
        <v/>
      </c>
      <c r="L330" s="22"/>
      <c r="M330" s="22"/>
    </row>
    <row r="331" customFormat="false" ht="15" hidden="false" customHeight="false" outlineLevel="0" collapsed="false">
      <c r="A331" s="24" t="str">
        <f aca="false">IF(C331="","",ROW()-4)</f>
        <v/>
      </c>
      <c r="B331" s="46"/>
      <c r="C331" s="22"/>
      <c r="D331" s="24" t="str">
        <f aca="false">IF(C331="","",IFERROR(INDEX(NV_TEN,MATCH(C331,NV_MA,0)),"MÃ KHÔNG CÓ"))</f>
        <v/>
      </c>
      <c r="E331" s="22"/>
      <c r="F331" s="22"/>
      <c r="G331" s="22"/>
      <c r="H331" s="22"/>
      <c r="I331" s="11"/>
      <c r="J331" s="22"/>
      <c r="K331" s="20" t="str">
        <f aca="false">IF(I331="","",IF(H331="LAK",I331*TYGIA_LAK,I331))</f>
        <v/>
      </c>
      <c r="L331" s="22"/>
      <c r="M331" s="22"/>
    </row>
    <row r="332" customFormat="false" ht="15" hidden="false" customHeight="false" outlineLevel="0" collapsed="false">
      <c r="A332" s="24" t="str">
        <f aca="false">IF(C332="","",ROW()-4)</f>
        <v/>
      </c>
      <c r="B332" s="46"/>
      <c r="C332" s="22"/>
      <c r="D332" s="24" t="str">
        <f aca="false">IF(C332="","",IFERROR(INDEX(NV_TEN,MATCH(C332,NV_MA,0)),"MÃ KHÔNG CÓ"))</f>
        <v/>
      </c>
      <c r="E332" s="22"/>
      <c r="F332" s="22"/>
      <c r="G332" s="22"/>
      <c r="H332" s="22"/>
      <c r="I332" s="11"/>
      <c r="J332" s="22"/>
      <c r="K332" s="20" t="str">
        <f aca="false">IF(I332="","",IF(H332="LAK",I332*TYGIA_LAK,I332))</f>
        <v/>
      </c>
      <c r="L332" s="22"/>
      <c r="M332" s="22"/>
    </row>
    <row r="333" customFormat="false" ht="15" hidden="false" customHeight="false" outlineLevel="0" collapsed="false">
      <c r="A333" s="24" t="str">
        <f aca="false">IF(C333="","",ROW()-4)</f>
        <v/>
      </c>
      <c r="B333" s="46"/>
      <c r="C333" s="22"/>
      <c r="D333" s="24" t="str">
        <f aca="false">IF(C333="","",IFERROR(INDEX(NV_TEN,MATCH(C333,NV_MA,0)),"MÃ KHÔNG CÓ"))</f>
        <v/>
      </c>
      <c r="E333" s="22"/>
      <c r="F333" s="22"/>
      <c r="G333" s="22"/>
      <c r="H333" s="22"/>
      <c r="I333" s="11"/>
      <c r="J333" s="22"/>
      <c r="K333" s="20" t="str">
        <f aca="false">IF(I333="","",IF(H333="LAK",I333*TYGIA_LAK,I333))</f>
        <v/>
      </c>
      <c r="L333" s="22"/>
      <c r="M333" s="22"/>
    </row>
    <row r="334" customFormat="false" ht="15" hidden="false" customHeight="false" outlineLevel="0" collapsed="false">
      <c r="A334" s="24" t="str">
        <f aca="false">IF(C334="","",ROW()-4)</f>
        <v/>
      </c>
      <c r="B334" s="46"/>
      <c r="C334" s="22"/>
      <c r="D334" s="24" t="str">
        <f aca="false">IF(C334="","",IFERROR(INDEX(NV_TEN,MATCH(C334,NV_MA,0)),"MÃ KHÔNG CÓ"))</f>
        <v/>
      </c>
      <c r="E334" s="22"/>
      <c r="F334" s="22"/>
      <c r="G334" s="22"/>
      <c r="H334" s="22"/>
      <c r="I334" s="11"/>
      <c r="J334" s="22"/>
      <c r="K334" s="20" t="str">
        <f aca="false">IF(I334="","",IF(H334="LAK",I334*TYGIA_LAK,I334))</f>
        <v/>
      </c>
      <c r="L334" s="22"/>
      <c r="M334" s="22"/>
    </row>
    <row r="335" customFormat="false" ht="15" hidden="false" customHeight="false" outlineLevel="0" collapsed="false">
      <c r="A335" s="24" t="str">
        <f aca="false">IF(C335="","",ROW()-4)</f>
        <v/>
      </c>
      <c r="B335" s="46"/>
      <c r="C335" s="22"/>
      <c r="D335" s="24" t="str">
        <f aca="false">IF(C335="","",IFERROR(INDEX(NV_TEN,MATCH(C335,NV_MA,0)),"MÃ KHÔNG CÓ"))</f>
        <v/>
      </c>
      <c r="E335" s="22"/>
      <c r="F335" s="22"/>
      <c r="G335" s="22"/>
      <c r="H335" s="22"/>
      <c r="I335" s="11"/>
      <c r="J335" s="22"/>
      <c r="K335" s="20" t="str">
        <f aca="false">IF(I335="","",IF(H335="LAK",I335*TYGIA_LAK,I335))</f>
        <v/>
      </c>
      <c r="L335" s="22"/>
      <c r="M335" s="22"/>
    </row>
    <row r="336" customFormat="false" ht="15" hidden="false" customHeight="false" outlineLevel="0" collapsed="false">
      <c r="A336" s="24" t="str">
        <f aca="false">IF(C336="","",ROW()-4)</f>
        <v/>
      </c>
      <c r="B336" s="46"/>
      <c r="C336" s="22"/>
      <c r="D336" s="24" t="str">
        <f aca="false">IF(C336="","",IFERROR(INDEX(NV_TEN,MATCH(C336,NV_MA,0)),"MÃ KHÔNG CÓ"))</f>
        <v/>
      </c>
      <c r="E336" s="22"/>
      <c r="F336" s="22"/>
      <c r="G336" s="22"/>
      <c r="H336" s="22"/>
      <c r="I336" s="11"/>
      <c r="J336" s="22"/>
      <c r="K336" s="20" t="str">
        <f aca="false">IF(I336="","",IF(H336="LAK",I336*TYGIA_LAK,I336))</f>
        <v/>
      </c>
      <c r="L336" s="22"/>
      <c r="M336" s="22"/>
    </row>
    <row r="337" customFormat="false" ht="15" hidden="false" customHeight="false" outlineLevel="0" collapsed="false">
      <c r="A337" s="24" t="str">
        <f aca="false">IF(C337="","",ROW()-4)</f>
        <v/>
      </c>
      <c r="B337" s="46"/>
      <c r="C337" s="22"/>
      <c r="D337" s="24" t="str">
        <f aca="false">IF(C337="","",IFERROR(INDEX(NV_TEN,MATCH(C337,NV_MA,0)),"MÃ KHÔNG CÓ"))</f>
        <v/>
      </c>
      <c r="E337" s="22"/>
      <c r="F337" s="22"/>
      <c r="G337" s="22"/>
      <c r="H337" s="22"/>
      <c r="I337" s="11"/>
      <c r="J337" s="22"/>
      <c r="K337" s="20" t="str">
        <f aca="false">IF(I337="","",IF(H337="LAK",I337*TYGIA_LAK,I337))</f>
        <v/>
      </c>
      <c r="L337" s="22"/>
      <c r="M337" s="22"/>
    </row>
    <row r="338" customFormat="false" ht="15" hidden="false" customHeight="false" outlineLevel="0" collapsed="false">
      <c r="A338" s="24" t="str">
        <f aca="false">IF(C338="","",ROW()-4)</f>
        <v/>
      </c>
      <c r="B338" s="46"/>
      <c r="C338" s="22"/>
      <c r="D338" s="24" t="str">
        <f aca="false">IF(C338="","",IFERROR(INDEX(NV_TEN,MATCH(C338,NV_MA,0)),"MÃ KHÔNG CÓ"))</f>
        <v/>
      </c>
      <c r="E338" s="22"/>
      <c r="F338" s="22"/>
      <c r="G338" s="22"/>
      <c r="H338" s="22"/>
      <c r="I338" s="11"/>
      <c r="J338" s="22"/>
      <c r="K338" s="20" t="str">
        <f aca="false">IF(I338="","",IF(H338="LAK",I338*TYGIA_LAK,I338))</f>
        <v/>
      </c>
      <c r="L338" s="22"/>
      <c r="M338" s="22"/>
    </row>
    <row r="339" customFormat="false" ht="15" hidden="false" customHeight="false" outlineLevel="0" collapsed="false">
      <c r="A339" s="24" t="str">
        <f aca="false">IF(C339="","",ROW()-4)</f>
        <v/>
      </c>
      <c r="B339" s="46"/>
      <c r="C339" s="22"/>
      <c r="D339" s="24" t="str">
        <f aca="false">IF(C339="","",IFERROR(INDEX(NV_TEN,MATCH(C339,NV_MA,0)),"MÃ KHÔNG CÓ"))</f>
        <v/>
      </c>
      <c r="E339" s="22"/>
      <c r="F339" s="22"/>
      <c r="G339" s="22"/>
      <c r="H339" s="22"/>
      <c r="I339" s="11"/>
      <c r="J339" s="22"/>
      <c r="K339" s="20" t="str">
        <f aca="false">IF(I339="","",IF(H339="LAK",I339*TYGIA_LAK,I339))</f>
        <v/>
      </c>
      <c r="L339" s="22"/>
      <c r="M339" s="22"/>
    </row>
    <row r="340" customFormat="false" ht="15" hidden="false" customHeight="false" outlineLevel="0" collapsed="false">
      <c r="A340" s="24" t="str">
        <f aca="false">IF(C340="","",ROW()-4)</f>
        <v/>
      </c>
      <c r="B340" s="46"/>
      <c r="C340" s="22"/>
      <c r="D340" s="24" t="str">
        <f aca="false">IF(C340="","",IFERROR(INDEX(NV_TEN,MATCH(C340,NV_MA,0)),"MÃ KHÔNG CÓ"))</f>
        <v/>
      </c>
      <c r="E340" s="22"/>
      <c r="F340" s="22"/>
      <c r="G340" s="22"/>
      <c r="H340" s="22"/>
      <c r="I340" s="11"/>
      <c r="J340" s="22"/>
      <c r="K340" s="20" t="str">
        <f aca="false">IF(I340="","",IF(H340="LAK",I340*TYGIA_LAK,I340))</f>
        <v/>
      </c>
      <c r="L340" s="22"/>
      <c r="M340" s="22"/>
    </row>
    <row r="341" customFormat="false" ht="15" hidden="false" customHeight="false" outlineLevel="0" collapsed="false">
      <c r="A341" s="24" t="str">
        <f aca="false">IF(C341="","",ROW()-4)</f>
        <v/>
      </c>
      <c r="B341" s="46"/>
      <c r="C341" s="22"/>
      <c r="D341" s="24" t="str">
        <f aca="false">IF(C341="","",IFERROR(INDEX(NV_TEN,MATCH(C341,NV_MA,0)),"MÃ KHÔNG CÓ"))</f>
        <v/>
      </c>
      <c r="E341" s="22"/>
      <c r="F341" s="22"/>
      <c r="G341" s="22"/>
      <c r="H341" s="22"/>
      <c r="I341" s="11"/>
      <c r="J341" s="22"/>
      <c r="K341" s="20" t="str">
        <f aca="false">IF(I341="","",IF(H341="LAK",I341*TYGIA_LAK,I341))</f>
        <v/>
      </c>
      <c r="L341" s="22"/>
      <c r="M341" s="22"/>
    </row>
    <row r="342" customFormat="false" ht="15" hidden="false" customHeight="false" outlineLevel="0" collapsed="false">
      <c r="A342" s="24" t="str">
        <f aca="false">IF(C342="","",ROW()-4)</f>
        <v/>
      </c>
      <c r="B342" s="46"/>
      <c r="C342" s="22"/>
      <c r="D342" s="24" t="str">
        <f aca="false">IF(C342="","",IFERROR(INDEX(NV_TEN,MATCH(C342,NV_MA,0)),"MÃ KHÔNG CÓ"))</f>
        <v/>
      </c>
      <c r="E342" s="22"/>
      <c r="F342" s="22"/>
      <c r="G342" s="22"/>
      <c r="H342" s="22"/>
      <c r="I342" s="11"/>
      <c r="J342" s="22"/>
      <c r="K342" s="20" t="str">
        <f aca="false">IF(I342="","",IF(H342="LAK",I342*TYGIA_LAK,I342))</f>
        <v/>
      </c>
      <c r="L342" s="22"/>
      <c r="M342" s="22"/>
    </row>
    <row r="343" customFormat="false" ht="15" hidden="false" customHeight="false" outlineLevel="0" collapsed="false">
      <c r="A343" s="24" t="str">
        <f aca="false">IF(C343="","",ROW()-4)</f>
        <v/>
      </c>
      <c r="B343" s="46"/>
      <c r="C343" s="22"/>
      <c r="D343" s="24" t="str">
        <f aca="false">IF(C343="","",IFERROR(INDEX(NV_TEN,MATCH(C343,NV_MA,0)),"MÃ KHÔNG CÓ"))</f>
        <v/>
      </c>
      <c r="E343" s="22"/>
      <c r="F343" s="22"/>
      <c r="G343" s="22"/>
      <c r="H343" s="22"/>
      <c r="I343" s="11"/>
      <c r="J343" s="22"/>
      <c r="K343" s="20" t="str">
        <f aca="false">IF(I343="","",IF(H343="LAK",I343*TYGIA_LAK,I343))</f>
        <v/>
      </c>
      <c r="L343" s="22"/>
      <c r="M343" s="22"/>
    </row>
    <row r="344" customFormat="false" ht="15" hidden="false" customHeight="false" outlineLevel="0" collapsed="false">
      <c r="A344" s="24" t="str">
        <f aca="false">IF(C344="","",ROW()-4)</f>
        <v/>
      </c>
      <c r="B344" s="46"/>
      <c r="C344" s="22"/>
      <c r="D344" s="24" t="str">
        <f aca="false">IF(C344="","",IFERROR(INDEX(NV_TEN,MATCH(C344,NV_MA,0)),"MÃ KHÔNG CÓ"))</f>
        <v/>
      </c>
      <c r="E344" s="22"/>
      <c r="F344" s="22"/>
      <c r="G344" s="22"/>
      <c r="H344" s="22"/>
      <c r="I344" s="11"/>
      <c r="J344" s="22"/>
      <c r="K344" s="20" t="str">
        <f aca="false">IF(I344="","",IF(H344="LAK",I344*TYGIA_LAK,I344))</f>
        <v/>
      </c>
      <c r="L344" s="22"/>
      <c r="M344" s="22"/>
    </row>
    <row r="345" customFormat="false" ht="15" hidden="false" customHeight="false" outlineLevel="0" collapsed="false">
      <c r="A345" s="24" t="str">
        <f aca="false">IF(C345="","",ROW()-4)</f>
        <v/>
      </c>
      <c r="B345" s="46"/>
      <c r="C345" s="22"/>
      <c r="D345" s="24" t="str">
        <f aca="false">IF(C345="","",IFERROR(INDEX(NV_TEN,MATCH(C345,NV_MA,0)),"MÃ KHÔNG CÓ"))</f>
        <v/>
      </c>
      <c r="E345" s="22"/>
      <c r="F345" s="22"/>
      <c r="G345" s="22"/>
      <c r="H345" s="22"/>
      <c r="I345" s="11"/>
      <c r="J345" s="22"/>
      <c r="K345" s="20" t="str">
        <f aca="false">IF(I345="","",IF(H345="LAK",I345*TYGIA_LAK,I345))</f>
        <v/>
      </c>
      <c r="L345" s="22"/>
      <c r="M345" s="22"/>
    </row>
    <row r="346" customFormat="false" ht="15" hidden="false" customHeight="false" outlineLevel="0" collapsed="false">
      <c r="A346" s="24" t="str">
        <f aca="false">IF(C346="","",ROW()-4)</f>
        <v/>
      </c>
      <c r="B346" s="46"/>
      <c r="C346" s="22"/>
      <c r="D346" s="24" t="str">
        <f aca="false">IF(C346="","",IFERROR(INDEX(NV_TEN,MATCH(C346,NV_MA,0)),"MÃ KHÔNG CÓ"))</f>
        <v/>
      </c>
      <c r="E346" s="22"/>
      <c r="F346" s="22"/>
      <c r="G346" s="22"/>
      <c r="H346" s="22"/>
      <c r="I346" s="11"/>
      <c r="J346" s="22"/>
      <c r="K346" s="20" t="str">
        <f aca="false">IF(I346="","",IF(H346="LAK",I346*TYGIA_LAK,I346))</f>
        <v/>
      </c>
      <c r="L346" s="22"/>
      <c r="M346" s="22"/>
    </row>
    <row r="347" customFormat="false" ht="15" hidden="false" customHeight="false" outlineLevel="0" collapsed="false">
      <c r="A347" s="24" t="str">
        <f aca="false">IF(C347="","",ROW()-4)</f>
        <v/>
      </c>
      <c r="B347" s="46"/>
      <c r="C347" s="22"/>
      <c r="D347" s="24" t="str">
        <f aca="false">IF(C347="","",IFERROR(INDEX(NV_TEN,MATCH(C347,NV_MA,0)),"MÃ KHÔNG CÓ"))</f>
        <v/>
      </c>
      <c r="E347" s="22"/>
      <c r="F347" s="22"/>
      <c r="G347" s="22"/>
      <c r="H347" s="22"/>
      <c r="I347" s="11"/>
      <c r="J347" s="22"/>
      <c r="K347" s="20" t="str">
        <f aca="false">IF(I347="","",IF(H347="LAK",I347*TYGIA_LAK,I347))</f>
        <v/>
      </c>
      <c r="L347" s="22"/>
      <c r="M347" s="22"/>
    </row>
    <row r="348" customFormat="false" ht="15" hidden="false" customHeight="false" outlineLevel="0" collapsed="false">
      <c r="A348" s="24" t="str">
        <f aca="false">IF(C348="","",ROW()-4)</f>
        <v/>
      </c>
      <c r="B348" s="46"/>
      <c r="C348" s="22"/>
      <c r="D348" s="24" t="str">
        <f aca="false">IF(C348="","",IFERROR(INDEX(NV_TEN,MATCH(C348,NV_MA,0)),"MÃ KHÔNG CÓ"))</f>
        <v/>
      </c>
      <c r="E348" s="22"/>
      <c r="F348" s="22"/>
      <c r="G348" s="22"/>
      <c r="H348" s="22"/>
      <c r="I348" s="11"/>
      <c r="J348" s="22"/>
      <c r="K348" s="20" t="str">
        <f aca="false">IF(I348="","",IF(H348="LAK",I348*TYGIA_LAK,I348))</f>
        <v/>
      </c>
      <c r="L348" s="22"/>
      <c r="M348" s="22"/>
    </row>
    <row r="349" customFormat="false" ht="15" hidden="false" customHeight="false" outlineLevel="0" collapsed="false">
      <c r="A349" s="24" t="str">
        <f aca="false">IF(C349="","",ROW()-4)</f>
        <v/>
      </c>
      <c r="B349" s="46"/>
      <c r="C349" s="22"/>
      <c r="D349" s="24" t="str">
        <f aca="false">IF(C349="","",IFERROR(INDEX(NV_TEN,MATCH(C349,NV_MA,0)),"MÃ KHÔNG CÓ"))</f>
        <v/>
      </c>
      <c r="E349" s="22"/>
      <c r="F349" s="22"/>
      <c r="G349" s="22"/>
      <c r="H349" s="22"/>
      <c r="I349" s="11"/>
      <c r="J349" s="22"/>
      <c r="K349" s="20" t="str">
        <f aca="false">IF(I349="","",IF(H349="LAK",I349*TYGIA_LAK,I349))</f>
        <v/>
      </c>
      <c r="L349" s="22"/>
      <c r="M349" s="22"/>
    </row>
    <row r="350" customFormat="false" ht="15" hidden="false" customHeight="false" outlineLevel="0" collapsed="false">
      <c r="A350" s="24" t="str">
        <f aca="false">IF(C350="","",ROW()-4)</f>
        <v/>
      </c>
      <c r="B350" s="46"/>
      <c r="C350" s="22"/>
      <c r="D350" s="24" t="str">
        <f aca="false">IF(C350="","",IFERROR(INDEX(NV_TEN,MATCH(C350,NV_MA,0)),"MÃ KHÔNG CÓ"))</f>
        <v/>
      </c>
      <c r="E350" s="22"/>
      <c r="F350" s="22"/>
      <c r="G350" s="22"/>
      <c r="H350" s="22"/>
      <c r="I350" s="11"/>
      <c r="J350" s="22"/>
      <c r="K350" s="20" t="str">
        <f aca="false">IF(I350="","",IF(H350="LAK",I350*TYGIA_LAK,I350))</f>
        <v/>
      </c>
      <c r="L350" s="22"/>
      <c r="M350" s="22"/>
    </row>
    <row r="351" customFormat="false" ht="15" hidden="false" customHeight="false" outlineLevel="0" collapsed="false">
      <c r="A351" s="24" t="str">
        <f aca="false">IF(C351="","",ROW()-4)</f>
        <v/>
      </c>
      <c r="B351" s="46"/>
      <c r="C351" s="22"/>
      <c r="D351" s="24" t="str">
        <f aca="false">IF(C351="","",IFERROR(INDEX(NV_TEN,MATCH(C351,NV_MA,0)),"MÃ KHÔNG CÓ"))</f>
        <v/>
      </c>
      <c r="E351" s="22"/>
      <c r="F351" s="22"/>
      <c r="G351" s="22"/>
      <c r="H351" s="22"/>
      <c r="I351" s="11"/>
      <c r="J351" s="22"/>
      <c r="K351" s="20" t="str">
        <f aca="false">IF(I351="","",IF(H351="LAK",I351*TYGIA_LAK,I351))</f>
        <v/>
      </c>
      <c r="L351" s="22"/>
      <c r="M351" s="22"/>
    </row>
    <row r="352" customFormat="false" ht="15" hidden="false" customHeight="false" outlineLevel="0" collapsed="false">
      <c r="A352" s="24" t="str">
        <f aca="false">IF(C352="","",ROW()-4)</f>
        <v/>
      </c>
      <c r="B352" s="46"/>
      <c r="C352" s="22"/>
      <c r="D352" s="24" t="str">
        <f aca="false">IF(C352="","",IFERROR(INDEX(NV_TEN,MATCH(C352,NV_MA,0)),"MÃ KHÔNG CÓ"))</f>
        <v/>
      </c>
      <c r="E352" s="22"/>
      <c r="F352" s="22"/>
      <c r="G352" s="22"/>
      <c r="H352" s="22"/>
      <c r="I352" s="11"/>
      <c r="J352" s="22"/>
      <c r="K352" s="20" t="str">
        <f aca="false">IF(I352="","",IF(H352="LAK",I352*TYGIA_LAK,I352))</f>
        <v/>
      </c>
      <c r="L352" s="22"/>
      <c r="M352" s="22"/>
    </row>
    <row r="353" customFormat="false" ht="15" hidden="false" customHeight="false" outlineLevel="0" collapsed="false">
      <c r="A353" s="24" t="str">
        <f aca="false">IF(C353="","",ROW()-4)</f>
        <v/>
      </c>
      <c r="B353" s="46"/>
      <c r="C353" s="22"/>
      <c r="D353" s="24" t="str">
        <f aca="false">IF(C353="","",IFERROR(INDEX(NV_TEN,MATCH(C353,NV_MA,0)),"MÃ KHÔNG CÓ"))</f>
        <v/>
      </c>
      <c r="E353" s="22"/>
      <c r="F353" s="22"/>
      <c r="G353" s="22"/>
      <c r="H353" s="22"/>
      <c r="I353" s="11"/>
      <c r="J353" s="22"/>
      <c r="K353" s="20" t="str">
        <f aca="false">IF(I353="","",IF(H353="LAK",I353*TYGIA_LAK,I353))</f>
        <v/>
      </c>
      <c r="L353" s="22"/>
      <c r="M353" s="22"/>
    </row>
    <row r="354" customFormat="false" ht="15" hidden="false" customHeight="false" outlineLevel="0" collapsed="false">
      <c r="A354" s="24" t="str">
        <f aca="false">IF(C354="","",ROW()-4)</f>
        <v/>
      </c>
      <c r="B354" s="46"/>
      <c r="C354" s="22"/>
      <c r="D354" s="24" t="str">
        <f aca="false">IF(C354="","",IFERROR(INDEX(NV_TEN,MATCH(C354,NV_MA,0)),"MÃ KHÔNG CÓ"))</f>
        <v/>
      </c>
      <c r="E354" s="22"/>
      <c r="F354" s="22"/>
      <c r="G354" s="22"/>
      <c r="H354" s="22"/>
      <c r="I354" s="11"/>
      <c r="J354" s="22"/>
      <c r="K354" s="20" t="str">
        <f aca="false">IF(I354="","",IF(H354="LAK",I354*TYGIA_LAK,I354))</f>
        <v/>
      </c>
      <c r="L354" s="22"/>
      <c r="M354" s="22"/>
    </row>
    <row r="355" customFormat="false" ht="15" hidden="false" customHeight="false" outlineLevel="0" collapsed="false">
      <c r="A355" s="24" t="str">
        <f aca="false">IF(C355="","",ROW()-4)</f>
        <v/>
      </c>
      <c r="B355" s="46"/>
      <c r="C355" s="22"/>
      <c r="D355" s="24" t="str">
        <f aca="false">IF(C355="","",IFERROR(INDEX(NV_TEN,MATCH(C355,NV_MA,0)),"MÃ KHÔNG CÓ"))</f>
        <v/>
      </c>
      <c r="E355" s="22"/>
      <c r="F355" s="22"/>
      <c r="G355" s="22"/>
      <c r="H355" s="22"/>
      <c r="I355" s="11"/>
      <c r="J355" s="22"/>
      <c r="K355" s="20" t="str">
        <f aca="false">IF(I355="","",IF(H355="LAK",I355*TYGIA_LAK,I355))</f>
        <v/>
      </c>
      <c r="L355" s="22"/>
      <c r="M355" s="22"/>
    </row>
    <row r="356" customFormat="false" ht="15" hidden="false" customHeight="false" outlineLevel="0" collapsed="false">
      <c r="A356" s="24" t="str">
        <f aca="false">IF(C356="","",ROW()-4)</f>
        <v/>
      </c>
      <c r="B356" s="46"/>
      <c r="C356" s="22"/>
      <c r="D356" s="24" t="str">
        <f aca="false">IF(C356="","",IFERROR(INDEX(NV_TEN,MATCH(C356,NV_MA,0)),"MÃ KHÔNG CÓ"))</f>
        <v/>
      </c>
      <c r="E356" s="22"/>
      <c r="F356" s="22"/>
      <c r="G356" s="22"/>
      <c r="H356" s="22"/>
      <c r="I356" s="11"/>
      <c r="J356" s="22"/>
      <c r="K356" s="20" t="str">
        <f aca="false">IF(I356="","",IF(H356="LAK",I356*TYGIA_LAK,I356))</f>
        <v/>
      </c>
      <c r="L356" s="22"/>
      <c r="M356" s="22"/>
    </row>
    <row r="357" customFormat="false" ht="15" hidden="false" customHeight="false" outlineLevel="0" collapsed="false">
      <c r="A357" s="24" t="str">
        <f aca="false">IF(C357="","",ROW()-4)</f>
        <v/>
      </c>
      <c r="B357" s="46"/>
      <c r="C357" s="22"/>
      <c r="D357" s="24" t="str">
        <f aca="false">IF(C357="","",IFERROR(INDEX(NV_TEN,MATCH(C357,NV_MA,0)),"MÃ KHÔNG CÓ"))</f>
        <v/>
      </c>
      <c r="E357" s="22"/>
      <c r="F357" s="22"/>
      <c r="G357" s="22"/>
      <c r="H357" s="22"/>
      <c r="I357" s="11"/>
      <c r="J357" s="22"/>
      <c r="K357" s="20" t="str">
        <f aca="false">IF(I357="","",IF(H357="LAK",I357*TYGIA_LAK,I357))</f>
        <v/>
      </c>
      <c r="L357" s="22"/>
      <c r="M357" s="22"/>
    </row>
    <row r="358" customFormat="false" ht="15" hidden="false" customHeight="false" outlineLevel="0" collapsed="false">
      <c r="A358" s="24" t="str">
        <f aca="false">IF(C358="","",ROW()-4)</f>
        <v/>
      </c>
      <c r="B358" s="46"/>
      <c r="C358" s="22"/>
      <c r="D358" s="24" t="str">
        <f aca="false">IF(C358="","",IFERROR(INDEX(NV_TEN,MATCH(C358,NV_MA,0)),"MÃ KHÔNG CÓ"))</f>
        <v/>
      </c>
      <c r="E358" s="22"/>
      <c r="F358" s="22"/>
      <c r="G358" s="22"/>
      <c r="H358" s="22"/>
      <c r="I358" s="11"/>
      <c r="J358" s="22"/>
      <c r="K358" s="20" t="str">
        <f aca="false">IF(I358="","",IF(H358="LAK",I358*TYGIA_LAK,I358))</f>
        <v/>
      </c>
      <c r="L358" s="22"/>
      <c r="M358" s="22"/>
    </row>
    <row r="359" customFormat="false" ht="15" hidden="false" customHeight="false" outlineLevel="0" collapsed="false">
      <c r="A359" s="24" t="str">
        <f aca="false">IF(C359="","",ROW()-4)</f>
        <v/>
      </c>
      <c r="B359" s="46"/>
      <c r="C359" s="22"/>
      <c r="D359" s="24" t="str">
        <f aca="false">IF(C359="","",IFERROR(INDEX(NV_TEN,MATCH(C359,NV_MA,0)),"MÃ KHÔNG CÓ"))</f>
        <v/>
      </c>
      <c r="E359" s="22"/>
      <c r="F359" s="22"/>
      <c r="G359" s="22"/>
      <c r="H359" s="22"/>
      <c r="I359" s="11"/>
      <c r="J359" s="22"/>
      <c r="K359" s="20" t="str">
        <f aca="false">IF(I359="","",IF(H359="LAK",I359*TYGIA_LAK,I359))</f>
        <v/>
      </c>
      <c r="L359" s="22"/>
      <c r="M359" s="22"/>
    </row>
    <row r="360" customFormat="false" ht="15" hidden="false" customHeight="false" outlineLevel="0" collapsed="false">
      <c r="A360" s="24" t="str">
        <f aca="false">IF(C360="","",ROW()-4)</f>
        <v/>
      </c>
      <c r="B360" s="46"/>
      <c r="C360" s="22"/>
      <c r="D360" s="24" t="str">
        <f aca="false">IF(C360="","",IFERROR(INDEX(NV_TEN,MATCH(C360,NV_MA,0)),"MÃ KHÔNG CÓ"))</f>
        <v/>
      </c>
      <c r="E360" s="22"/>
      <c r="F360" s="22"/>
      <c r="G360" s="22"/>
      <c r="H360" s="22"/>
      <c r="I360" s="11"/>
      <c r="J360" s="22"/>
      <c r="K360" s="20" t="str">
        <f aca="false">IF(I360="","",IF(H360="LAK",I360*TYGIA_LAK,I360))</f>
        <v/>
      </c>
      <c r="L360" s="22"/>
      <c r="M360" s="22"/>
    </row>
    <row r="361" customFormat="false" ht="15" hidden="false" customHeight="false" outlineLevel="0" collapsed="false">
      <c r="A361" s="24" t="str">
        <f aca="false">IF(C361="","",ROW()-4)</f>
        <v/>
      </c>
      <c r="B361" s="46"/>
      <c r="C361" s="22"/>
      <c r="D361" s="24" t="str">
        <f aca="false">IF(C361="","",IFERROR(INDEX(NV_TEN,MATCH(C361,NV_MA,0)),"MÃ KHÔNG CÓ"))</f>
        <v/>
      </c>
      <c r="E361" s="22"/>
      <c r="F361" s="22"/>
      <c r="G361" s="22"/>
      <c r="H361" s="22"/>
      <c r="I361" s="11"/>
      <c r="J361" s="22"/>
      <c r="K361" s="20" t="str">
        <f aca="false">IF(I361="","",IF(H361="LAK",I361*TYGIA_LAK,I361))</f>
        <v/>
      </c>
      <c r="L361" s="22"/>
      <c r="M361" s="22"/>
    </row>
    <row r="362" customFormat="false" ht="15" hidden="false" customHeight="false" outlineLevel="0" collapsed="false">
      <c r="A362" s="24" t="str">
        <f aca="false">IF(C362="","",ROW()-4)</f>
        <v/>
      </c>
      <c r="B362" s="46"/>
      <c r="C362" s="22"/>
      <c r="D362" s="24" t="str">
        <f aca="false">IF(C362="","",IFERROR(INDEX(NV_TEN,MATCH(C362,NV_MA,0)),"MÃ KHÔNG CÓ"))</f>
        <v/>
      </c>
      <c r="E362" s="22"/>
      <c r="F362" s="22"/>
      <c r="G362" s="22"/>
      <c r="H362" s="22"/>
      <c r="I362" s="11"/>
      <c r="J362" s="22"/>
      <c r="K362" s="20" t="str">
        <f aca="false">IF(I362="","",IF(H362="LAK",I362*TYGIA_LAK,I362))</f>
        <v/>
      </c>
      <c r="L362" s="22"/>
      <c r="M362" s="22"/>
    </row>
    <row r="363" customFormat="false" ht="15" hidden="false" customHeight="false" outlineLevel="0" collapsed="false">
      <c r="A363" s="24" t="str">
        <f aca="false">IF(C363="","",ROW()-4)</f>
        <v/>
      </c>
      <c r="B363" s="46"/>
      <c r="C363" s="22"/>
      <c r="D363" s="24" t="str">
        <f aca="false">IF(C363="","",IFERROR(INDEX(NV_TEN,MATCH(C363,NV_MA,0)),"MÃ KHÔNG CÓ"))</f>
        <v/>
      </c>
      <c r="E363" s="22"/>
      <c r="F363" s="22"/>
      <c r="G363" s="22"/>
      <c r="H363" s="22"/>
      <c r="I363" s="11"/>
      <c r="J363" s="22"/>
      <c r="K363" s="20" t="str">
        <f aca="false">IF(I363="","",IF(H363="LAK",I363*TYGIA_LAK,I363))</f>
        <v/>
      </c>
      <c r="L363" s="22"/>
      <c r="M363" s="22"/>
    </row>
    <row r="364" customFormat="false" ht="15" hidden="false" customHeight="false" outlineLevel="0" collapsed="false">
      <c r="A364" s="24" t="str">
        <f aca="false">IF(C364="","",ROW()-4)</f>
        <v/>
      </c>
      <c r="B364" s="46"/>
      <c r="C364" s="22"/>
      <c r="D364" s="24" t="str">
        <f aca="false">IF(C364="","",IFERROR(INDEX(NV_TEN,MATCH(C364,NV_MA,0)),"MÃ KHÔNG CÓ"))</f>
        <v/>
      </c>
      <c r="E364" s="22"/>
      <c r="F364" s="22"/>
      <c r="G364" s="22"/>
      <c r="H364" s="22"/>
      <c r="I364" s="11"/>
      <c r="J364" s="22"/>
      <c r="K364" s="20" t="str">
        <f aca="false">IF(I364="","",IF(H364="LAK",I364*TYGIA_LAK,I364))</f>
        <v/>
      </c>
      <c r="L364" s="22"/>
      <c r="M364" s="22"/>
    </row>
    <row r="365" customFormat="false" ht="15" hidden="false" customHeight="false" outlineLevel="0" collapsed="false">
      <c r="A365" s="24" t="str">
        <f aca="false">IF(C365="","",ROW()-4)</f>
        <v/>
      </c>
      <c r="B365" s="46"/>
      <c r="C365" s="22"/>
      <c r="D365" s="24" t="str">
        <f aca="false">IF(C365="","",IFERROR(INDEX(NV_TEN,MATCH(C365,NV_MA,0)),"MÃ KHÔNG CÓ"))</f>
        <v/>
      </c>
      <c r="E365" s="22"/>
      <c r="F365" s="22"/>
      <c r="G365" s="22"/>
      <c r="H365" s="22"/>
      <c r="I365" s="11"/>
      <c r="J365" s="22"/>
      <c r="K365" s="20" t="str">
        <f aca="false">IF(I365="","",IF(H365="LAK",I365*TYGIA_LAK,I365))</f>
        <v/>
      </c>
      <c r="L365" s="22"/>
      <c r="M365" s="22"/>
    </row>
    <row r="366" customFormat="false" ht="15" hidden="false" customHeight="false" outlineLevel="0" collapsed="false">
      <c r="A366" s="24" t="str">
        <f aca="false">IF(C366="","",ROW()-4)</f>
        <v/>
      </c>
      <c r="B366" s="46"/>
      <c r="C366" s="22"/>
      <c r="D366" s="24" t="str">
        <f aca="false">IF(C366="","",IFERROR(INDEX(NV_TEN,MATCH(C366,NV_MA,0)),"MÃ KHÔNG CÓ"))</f>
        <v/>
      </c>
      <c r="E366" s="22"/>
      <c r="F366" s="22"/>
      <c r="G366" s="22"/>
      <c r="H366" s="22"/>
      <c r="I366" s="11"/>
      <c r="J366" s="22"/>
      <c r="K366" s="20" t="str">
        <f aca="false">IF(I366="","",IF(H366="LAK",I366*TYGIA_LAK,I366))</f>
        <v/>
      </c>
      <c r="L366" s="22"/>
      <c r="M366" s="22"/>
    </row>
    <row r="367" customFormat="false" ht="15" hidden="false" customHeight="false" outlineLevel="0" collapsed="false">
      <c r="A367" s="24" t="str">
        <f aca="false">IF(C367="","",ROW()-4)</f>
        <v/>
      </c>
      <c r="B367" s="46"/>
      <c r="C367" s="22"/>
      <c r="D367" s="24" t="str">
        <f aca="false">IF(C367="","",IFERROR(INDEX(NV_TEN,MATCH(C367,NV_MA,0)),"MÃ KHÔNG CÓ"))</f>
        <v/>
      </c>
      <c r="E367" s="22"/>
      <c r="F367" s="22"/>
      <c r="G367" s="22"/>
      <c r="H367" s="22"/>
      <c r="I367" s="11"/>
      <c r="J367" s="22"/>
      <c r="K367" s="20" t="str">
        <f aca="false">IF(I367="","",IF(H367="LAK",I367*TYGIA_LAK,I367))</f>
        <v/>
      </c>
      <c r="L367" s="22"/>
      <c r="M367" s="22"/>
    </row>
    <row r="368" customFormat="false" ht="15" hidden="false" customHeight="false" outlineLevel="0" collapsed="false">
      <c r="A368" s="24" t="str">
        <f aca="false">IF(C368="","",ROW()-4)</f>
        <v/>
      </c>
      <c r="B368" s="46"/>
      <c r="C368" s="22"/>
      <c r="D368" s="24" t="str">
        <f aca="false">IF(C368="","",IFERROR(INDEX(NV_TEN,MATCH(C368,NV_MA,0)),"MÃ KHÔNG CÓ"))</f>
        <v/>
      </c>
      <c r="E368" s="22"/>
      <c r="F368" s="22"/>
      <c r="G368" s="22"/>
      <c r="H368" s="22"/>
      <c r="I368" s="11"/>
      <c r="J368" s="22"/>
      <c r="K368" s="20" t="str">
        <f aca="false">IF(I368="","",IF(H368="LAK",I368*TYGIA_LAK,I368))</f>
        <v/>
      </c>
      <c r="L368" s="22"/>
      <c r="M368" s="22"/>
    </row>
    <row r="369" customFormat="false" ht="15" hidden="false" customHeight="false" outlineLevel="0" collapsed="false">
      <c r="A369" s="24" t="str">
        <f aca="false">IF(C369="","",ROW()-4)</f>
        <v/>
      </c>
      <c r="B369" s="46"/>
      <c r="C369" s="22"/>
      <c r="D369" s="24" t="str">
        <f aca="false">IF(C369="","",IFERROR(INDEX(NV_TEN,MATCH(C369,NV_MA,0)),"MÃ KHÔNG CÓ"))</f>
        <v/>
      </c>
      <c r="E369" s="22"/>
      <c r="F369" s="22"/>
      <c r="G369" s="22"/>
      <c r="H369" s="22"/>
      <c r="I369" s="11"/>
      <c r="J369" s="22"/>
      <c r="K369" s="20" t="str">
        <f aca="false">IF(I369="","",IF(H369="LAK",I369*TYGIA_LAK,I369))</f>
        <v/>
      </c>
      <c r="L369" s="22"/>
      <c r="M369" s="22"/>
    </row>
    <row r="370" customFormat="false" ht="15" hidden="false" customHeight="false" outlineLevel="0" collapsed="false">
      <c r="A370" s="24" t="str">
        <f aca="false">IF(C370="","",ROW()-4)</f>
        <v/>
      </c>
      <c r="B370" s="46"/>
      <c r="C370" s="22"/>
      <c r="D370" s="24" t="str">
        <f aca="false">IF(C370="","",IFERROR(INDEX(NV_TEN,MATCH(C370,NV_MA,0)),"MÃ KHÔNG CÓ"))</f>
        <v/>
      </c>
      <c r="E370" s="22"/>
      <c r="F370" s="22"/>
      <c r="G370" s="22"/>
      <c r="H370" s="22"/>
      <c r="I370" s="11"/>
      <c r="J370" s="22"/>
      <c r="K370" s="20" t="str">
        <f aca="false">IF(I370="","",IF(H370="LAK",I370*TYGIA_LAK,I370))</f>
        <v/>
      </c>
      <c r="L370" s="22"/>
      <c r="M370" s="22"/>
    </row>
    <row r="371" customFormat="false" ht="15" hidden="false" customHeight="false" outlineLevel="0" collapsed="false">
      <c r="A371" s="24" t="str">
        <f aca="false">IF(C371="","",ROW()-4)</f>
        <v/>
      </c>
      <c r="B371" s="46"/>
      <c r="C371" s="22"/>
      <c r="D371" s="24" t="str">
        <f aca="false">IF(C371="","",IFERROR(INDEX(NV_TEN,MATCH(C371,NV_MA,0)),"MÃ KHÔNG CÓ"))</f>
        <v/>
      </c>
      <c r="E371" s="22"/>
      <c r="F371" s="22"/>
      <c r="G371" s="22"/>
      <c r="H371" s="22"/>
      <c r="I371" s="11"/>
      <c r="J371" s="22"/>
      <c r="K371" s="20" t="str">
        <f aca="false">IF(I371="","",IF(H371="LAK",I371*TYGIA_LAK,I371))</f>
        <v/>
      </c>
      <c r="L371" s="22"/>
      <c r="M371" s="22"/>
    </row>
    <row r="372" customFormat="false" ht="15" hidden="false" customHeight="false" outlineLevel="0" collapsed="false">
      <c r="A372" s="24" t="str">
        <f aca="false">IF(C372="","",ROW()-4)</f>
        <v/>
      </c>
      <c r="B372" s="46"/>
      <c r="C372" s="22"/>
      <c r="D372" s="24" t="str">
        <f aca="false">IF(C372="","",IFERROR(INDEX(NV_TEN,MATCH(C372,NV_MA,0)),"MÃ KHÔNG CÓ"))</f>
        <v/>
      </c>
      <c r="E372" s="22"/>
      <c r="F372" s="22"/>
      <c r="G372" s="22"/>
      <c r="H372" s="22"/>
      <c r="I372" s="11"/>
      <c r="J372" s="22"/>
      <c r="K372" s="20" t="str">
        <f aca="false">IF(I372="","",IF(H372="LAK",I372*TYGIA_LAK,I372))</f>
        <v/>
      </c>
      <c r="L372" s="22"/>
      <c r="M372" s="22"/>
    </row>
    <row r="373" customFormat="false" ht="15" hidden="false" customHeight="false" outlineLevel="0" collapsed="false">
      <c r="A373" s="24" t="str">
        <f aca="false">IF(C373="","",ROW()-4)</f>
        <v/>
      </c>
      <c r="B373" s="46"/>
      <c r="C373" s="22"/>
      <c r="D373" s="24" t="str">
        <f aca="false">IF(C373="","",IFERROR(INDEX(NV_TEN,MATCH(C373,NV_MA,0)),"MÃ KHÔNG CÓ"))</f>
        <v/>
      </c>
      <c r="E373" s="22"/>
      <c r="F373" s="22"/>
      <c r="G373" s="22"/>
      <c r="H373" s="22"/>
      <c r="I373" s="11"/>
      <c r="J373" s="22"/>
      <c r="K373" s="20" t="str">
        <f aca="false">IF(I373="","",IF(H373="LAK",I373*TYGIA_LAK,I373))</f>
        <v/>
      </c>
      <c r="L373" s="22"/>
      <c r="M373" s="22"/>
    </row>
    <row r="374" customFormat="false" ht="15" hidden="false" customHeight="false" outlineLevel="0" collapsed="false">
      <c r="A374" s="24" t="str">
        <f aca="false">IF(C374="","",ROW()-4)</f>
        <v/>
      </c>
      <c r="B374" s="46"/>
      <c r="C374" s="22"/>
      <c r="D374" s="24" t="str">
        <f aca="false">IF(C374="","",IFERROR(INDEX(NV_TEN,MATCH(C374,NV_MA,0)),"MÃ KHÔNG CÓ"))</f>
        <v/>
      </c>
      <c r="E374" s="22"/>
      <c r="F374" s="22"/>
      <c r="G374" s="22"/>
      <c r="H374" s="22"/>
      <c r="I374" s="11"/>
      <c r="J374" s="22"/>
      <c r="K374" s="20" t="str">
        <f aca="false">IF(I374="","",IF(H374="LAK",I374*TYGIA_LAK,I374))</f>
        <v/>
      </c>
      <c r="L374" s="22"/>
      <c r="M374" s="22"/>
    </row>
    <row r="375" customFormat="false" ht="15" hidden="false" customHeight="false" outlineLevel="0" collapsed="false">
      <c r="A375" s="24" t="str">
        <f aca="false">IF(C375="","",ROW()-4)</f>
        <v/>
      </c>
      <c r="B375" s="46"/>
      <c r="C375" s="22"/>
      <c r="D375" s="24" t="str">
        <f aca="false">IF(C375="","",IFERROR(INDEX(NV_TEN,MATCH(C375,NV_MA,0)),"MÃ KHÔNG CÓ"))</f>
        <v/>
      </c>
      <c r="E375" s="22"/>
      <c r="F375" s="22"/>
      <c r="G375" s="22"/>
      <c r="H375" s="22"/>
      <c r="I375" s="11"/>
      <c r="J375" s="22"/>
      <c r="K375" s="20" t="str">
        <f aca="false">IF(I375="","",IF(H375="LAK",I375*TYGIA_LAK,I375))</f>
        <v/>
      </c>
      <c r="L375" s="22"/>
      <c r="M375" s="22"/>
    </row>
    <row r="376" customFormat="false" ht="15" hidden="false" customHeight="false" outlineLevel="0" collapsed="false">
      <c r="A376" s="24" t="str">
        <f aca="false">IF(C376="","",ROW()-4)</f>
        <v/>
      </c>
      <c r="B376" s="46"/>
      <c r="C376" s="22"/>
      <c r="D376" s="24" t="str">
        <f aca="false">IF(C376="","",IFERROR(INDEX(NV_TEN,MATCH(C376,NV_MA,0)),"MÃ KHÔNG CÓ"))</f>
        <v/>
      </c>
      <c r="E376" s="22"/>
      <c r="F376" s="22"/>
      <c r="G376" s="22"/>
      <c r="H376" s="22"/>
      <c r="I376" s="11"/>
      <c r="J376" s="22"/>
      <c r="K376" s="20" t="str">
        <f aca="false">IF(I376="","",IF(H376="LAK",I376*TYGIA_LAK,I376))</f>
        <v/>
      </c>
      <c r="L376" s="22"/>
      <c r="M376" s="22"/>
    </row>
    <row r="377" customFormat="false" ht="15" hidden="false" customHeight="false" outlineLevel="0" collapsed="false">
      <c r="A377" s="24" t="str">
        <f aca="false">IF(C377="","",ROW()-4)</f>
        <v/>
      </c>
      <c r="B377" s="46"/>
      <c r="C377" s="22"/>
      <c r="D377" s="24" t="str">
        <f aca="false">IF(C377="","",IFERROR(INDEX(NV_TEN,MATCH(C377,NV_MA,0)),"MÃ KHÔNG CÓ"))</f>
        <v/>
      </c>
      <c r="E377" s="22"/>
      <c r="F377" s="22"/>
      <c r="G377" s="22"/>
      <c r="H377" s="22"/>
      <c r="I377" s="11"/>
      <c r="J377" s="22"/>
      <c r="K377" s="20" t="str">
        <f aca="false">IF(I377="","",IF(H377="LAK",I377*TYGIA_LAK,I377))</f>
        <v/>
      </c>
      <c r="L377" s="22"/>
      <c r="M377" s="22"/>
    </row>
    <row r="378" customFormat="false" ht="15" hidden="false" customHeight="false" outlineLevel="0" collapsed="false">
      <c r="A378" s="24" t="str">
        <f aca="false">IF(C378="","",ROW()-4)</f>
        <v/>
      </c>
      <c r="B378" s="46"/>
      <c r="C378" s="22"/>
      <c r="D378" s="24" t="str">
        <f aca="false">IF(C378="","",IFERROR(INDEX(NV_TEN,MATCH(C378,NV_MA,0)),"MÃ KHÔNG CÓ"))</f>
        <v/>
      </c>
      <c r="E378" s="22"/>
      <c r="F378" s="22"/>
      <c r="G378" s="22"/>
      <c r="H378" s="22"/>
      <c r="I378" s="11"/>
      <c r="J378" s="22"/>
      <c r="K378" s="20" t="str">
        <f aca="false">IF(I378="","",IF(H378="LAK",I378*TYGIA_LAK,I378))</f>
        <v/>
      </c>
      <c r="L378" s="22"/>
      <c r="M378" s="22"/>
    </row>
    <row r="379" customFormat="false" ht="15" hidden="false" customHeight="false" outlineLevel="0" collapsed="false">
      <c r="A379" s="24" t="str">
        <f aca="false">IF(C379="","",ROW()-4)</f>
        <v/>
      </c>
      <c r="B379" s="46"/>
      <c r="C379" s="22"/>
      <c r="D379" s="24" t="str">
        <f aca="false">IF(C379="","",IFERROR(INDEX(NV_TEN,MATCH(C379,NV_MA,0)),"MÃ KHÔNG CÓ"))</f>
        <v/>
      </c>
      <c r="E379" s="22"/>
      <c r="F379" s="22"/>
      <c r="G379" s="22"/>
      <c r="H379" s="22"/>
      <c r="I379" s="11"/>
      <c r="J379" s="22"/>
      <c r="K379" s="20" t="str">
        <f aca="false">IF(I379="","",IF(H379="LAK",I379*TYGIA_LAK,I379))</f>
        <v/>
      </c>
      <c r="L379" s="22"/>
      <c r="M379" s="22"/>
    </row>
    <row r="380" customFormat="false" ht="15" hidden="false" customHeight="false" outlineLevel="0" collapsed="false">
      <c r="A380" s="24" t="str">
        <f aca="false">IF(C380="","",ROW()-4)</f>
        <v/>
      </c>
      <c r="B380" s="46"/>
      <c r="C380" s="22"/>
      <c r="D380" s="24" t="str">
        <f aca="false">IF(C380="","",IFERROR(INDEX(NV_TEN,MATCH(C380,NV_MA,0)),"MÃ KHÔNG CÓ"))</f>
        <v/>
      </c>
      <c r="E380" s="22"/>
      <c r="F380" s="22"/>
      <c r="G380" s="22"/>
      <c r="H380" s="22"/>
      <c r="I380" s="11"/>
      <c r="J380" s="22"/>
      <c r="K380" s="20" t="str">
        <f aca="false">IF(I380="","",IF(H380="LAK",I380*TYGIA_LAK,I380))</f>
        <v/>
      </c>
      <c r="L380" s="22"/>
      <c r="M380" s="22"/>
    </row>
    <row r="381" customFormat="false" ht="15" hidden="false" customHeight="false" outlineLevel="0" collapsed="false">
      <c r="A381" s="24" t="str">
        <f aca="false">IF(C381="","",ROW()-4)</f>
        <v/>
      </c>
      <c r="B381" s="46"/>
      <c r="C381" s="22"/>
      <c r="D381" s="24" t="str">
        <f aca="false">IF(C381="","",IFERROR(INDEX(NV_TEN,MATCH(C381,NV_MA,0)),"MÃ KHÔNG CÓ"))</f>
        <v/>
      </c>
      <c r="E381" s="22"/>
      <c r="F381" s="22"/>
      <c r="G381" s="22"/>
      <c r="H381" s="22"/>
      <c r="I381" s="11"/>
      <c r="J381" s="22"/>
      <c r="K381" s="20" t="str">
        <f aca="false">IF(I381="","",IF(H381="LAK",I381*TYGIA_LAK,I381))</f>
        <v/>
      </c>
      <c r="L381" s="22"/>
      <c r="M381" s="22"/>
    </row>
    <row r="382" customFormat="false" ht="15" hidden="false" customHeight="false" outlineLevel="0" collapsed="false">
      <c r="A382" s="24" t="str">
        <f aca="false">IF(C382="","",ROW()-4)</f>
        <v/>
      </c>
      <c r="B382" s="46"/>
      <c r="C382" s="22"/>
      <c r="D382" s="24" t="str">
        <f aca="false">IF(C382="","",IFERROR(INDEX(NV_TEN,MATCH(C382,NV_MA,0)),"MÃ KHÔNG CÓ"))</f>
        <v/>
      </c>
      <c r="E382" s="22"/>
      <c r="F382" s="22"/>
      <c r="G382" s="22"/>
      <c r="H382" s="22"/>
      <c r="I382" s="11"/>
      <c r="J382" s="22"/>
      <c r="K382" s="20" t="str">
        <f aca="false">IF(I382="","",IF(H382="LAK",I382*TYGIA_LAK,I382))</f>
        <v/>
      </c>
      <c r="L382" s="22"/>
      <c r="M382" s="22"/>
    </row>
    <row r="383" customFormat="false" ht="15" hidden="false" customHeight="false" outlineLevel="0" collapsed="false">
      <c r="A383" s="24" t="str">
        <f aca="false">IF(C383="","",ROW()-4)</f>
        <v/>
      </c>
      <c r="B383" s="46"/>
      <c r="C383" s="22"/>
      <c r="D383" s="24" t="str">
        <f aca="false">IF(C383="","",IFERROR(INDEX(NV_TEN,MATCH(C383,NV_MA,0)),"MÃ KHÔNG CÓ"))</f>
        <v/>
      </c>
      <c r="E383" s="22"/>
      <c r="F383" s="22"/>
      <c r="G383" s="22"/>
      <c r="H383" s="22"/>
      <c r="I383" s="11"/>
      <c r="J383" s="22"/>
      <c r="K383" s="20" t="str">
        <f aca="false">IF(I383="","",IF(H383="LAK",I383*TYGIA_LAK,I383))</f>
        <v/>
      </c>
      <c r="L383" s="22"/>
      <c r="M383" s="22"/>
    </row>
    <row r="384" customFormat="false" ht="15" hidden="false" customHeight="false" outlineLevel="0" collapsed="false">
      <c r="A384" s="24" t="str">
        <f aca="false">IF(C384="","",ROW()-4)</f>
        <v/>
      </c>
      <c r="B384" s="46"/>
      <c r="C384" s="22"/>
      <c r="D384" s="24" t="str">
        <f aca="false">IF(C384="","",IFERROR(INDEX(NV_TEN,MATCH(C384,NV_MA,0)),"MÃ KHÔNG CÓ"))</f>
        <v/>
      </c>
      <c r="E384" s="22"/>
      <c r="F384" s="22"/>
      <c r="G384" s="22"/>
      <c r="H384" s="22"/>
      <c r="I384" s="11"/>
      <c r="J384" s="22"/>
      <c r="K384" s="20" t="str">
        <f aca="false">IF(I384="","",IF(H384="LAK",I384*TYGIA_LAK,I384))</f>
        <v/>
      </c>
      <c r="L384" s="22"/>
      <c r="M384" s="22"/>
    </row>
    <row r="385" customFormat="false" ht="15" hidden="false" customHeight="false" outlineLevel="0" collapsed="false">
      <c r="A385" s="24" t="str">
        <f aca="false">IF(C385="","",ROW()-4)</f>
        <v/>
      </c>
      <c r="B385" s="46"/>
      <c r="C385" s="22"/>
      <c r="D385" s="24" t="str">
        <f aca="false">IF(C385="","",IFERROR(INDEX(NV_TEN,MATCH(C385,NV_MA,0)),"MÃ KHÔNG CÓ"))</f>
        <v/>
      </c>
      <c r="E385" s="22"/>
      <c r="F385" s="22"/>
      <c r="G385" s="22"/>
      <c r="H385" s="22"/>
      <c r="I385" s="11"/>
      <c r="J385" s="22"/>
      <c r="K385" s="20" t="str">
        <f aca="false">IF(I385="","",IF(H385="LAK",I385*TYGIA_LAK,I385))</f>
        <v/>
      </c>
      <c r="L385" s="22"/>
      <c r="M385" s="22"/>
    </row>
    <row r="386" customFormat="false" ht="15" hidden="false" customHeight="false" outlineLevel="0" collapsed="false">
      <c r="A386" s="24" t="str">
        <f aca="false">IF(C386="","",ROW()-4)</f>
        <v/>
      </c>
      <c r="B386" s="46"/>
      <c r="C386" s="22"/>
      <c r="D386" s="24" t="str">
        <f aca="false">IF(C386="","",IFERROR(INDEX(NV_TEN,MATCH(C386,NV_MA,0)),"MÃ KHÔNG CÓ"))</f>
        <v/>
      </c>
      <c r="E386" s="22"/>
      <c r="F386" s="22"/>
      <c r="G386" s="22"/>
      <c r="H386" s="22"/>
      <c r="I386" s="11"/>
      <c r="J386" s="22"/>
      <c r="K386" s="20" t="str">
        <f aca="false">IF(I386="","",IF(H386="LAK",I386*TYGIA_LAK,I386))</f>
        <v/>
      </c>
      <c r="L386" s="22"/>
      <c r="M386" s="22"/>
    </row>
    <row r="387" customFormat="false" ht="15" hidden="false" customHeight="false" outlineLevel="0" collapsed="false">
      <c r="A387" s="24" t="str">
        <f aca="false">IF(C387="","",ROW()-4)</f>
        <v/>
      </c>
      <c r="B387" s="46"/>
      <c r="C387" s="22"/>
      <c r="D387" s="24" t="str">
        <f aca="false">IF(C387="","",IFERROR(INDEX(NV_TEN,MATCH(C387,NV_MA,0)),"MÃ KHÔNG CÓ"))</f>
        <v/>
      </c>
      <c r="E387" s="22"/>
      <c r="F387" s="22"/>
      <c r="G387" s="22"/>
      <c r="H387" s="22"/>
      <c r="I387" s="11"/>
      <c r="J387" s="22"/>
      <c r="K387" s="20" t="str">
        <f aca="false">IF(I387="","",IF(H387="LAK",I387*TYGIA_LAK,I387))</f>
        <v/>
      </c>
      <c r="L387" s="22"/>
      <c r="M387" s="22"/>
    </row>
    <row r="388" customFormat="false" ht="15" hidden="false" customHeight="false" outlineLevel="0" collapsed="false">
      <c r="A388" s="24" t="str">
        <f aca="false">IF(C388="","",ROW()-4)</f>
        <v/>
      </c>
      <c r="B388" s="46"/>
      <c r="C388" s="22"/>
      <c r="D388" s="24" t="str">
        <f aca="false">IF(C388="","",IFERROR(INDEX(NV_TEN,MATCH(C388,NV_MA,0)),"MÃ KHÔNG CÓ"))</f>
        <v/>
      </c>
      <c r="E388" s="22"/>
      <c r="F388" s="22"/>
      <c r="G388" s="22"/>
      <c r="H388" s="22"/>
      <c r="I388" s="11"/>
      <c r="J388" s="22"/>
      <c r="K388" s="20" t="str">
        <f aca="false">IF(I388="","",IF(H388="LAK",I388*TYGIA_LAK,I388))</f>
        <v/>
      </c>
      <c r="L388" s="22"/>
      <c r="M388" s="22"/>
    </row>
    <row r="389" customFormat="false" ht="15" hidden="false" customHeight="false" outlineLevel="0" collapsed="false">
      <c r="A389" s="24" t="str">
        <f aca="false">IF(C389="","",ROW()-4)</f>
        <v/>
      </c>
      <c r="B389" s="46"/>
      <c r="C389" s="22"/>
      <c r="D389" s="24" t="str">
        <f aca="false">IF(C389="","",IFERROR(INDEX(NV_TEN,MATCH(C389,NV_MA,0)),"MÃ KHÔNG CÓ"))</f>
        <v/>
      </c>
      <c r="E389" s="22"/>
      <c r="F389" s="22"/>
      <c r="G389" s="22"/>
      <c r="H389" s="22"/>
      <c r="I389" s="11"/>
      <c r="J389" s="22"/>
      <c r="K389" s="20" t="str">
        <f aca="false">IF(I389="","",IF(H389="LAK",I389*TYGIA_LAK,I389))</f>
        <v/>
      </c>
      <c r="L389" s="22"/>
      <c r="M389" s="22"/>
    </row>
    <row r="390" customFormat="false" ht="15" hidden="false" customHeight="false" outlineLevel="0" collapsed="false">
      <c r="A390" s="24" t="str">
        <f aca="false">IF(C390="","",ROW()-4)</f>
        <v/>
      </c>
      <c r="B390" s="46"/>
      <c r="C390" s="22"/>
      <c r="D390" s="24" t="str">
        <f aca="false">IF(C390="","",IFERROR(INDEX(NV_TEN,MATCH(C390,NV_MA,0)),"MÃ KHÔNG CÓ"))</f>
        <v/>
      </c>
      <c r="E390" s="22"/>
      <c r="F390" s="22"/>
      <c r="G390" s="22"/>
      <c r="H390" s="22"/>
      <c r="I390" s="11"/>
      <c r="J390" s="22"/>
      <c r="K390" s="20" t="str">
        <f aca="false">IF(I390="","",IF(H390="LAK",I390*TYGIA_LAK,I390))</f>
        <v/>
      </c>
      <c r="L390" s="22"/>
      <c r="M390" s="22"/>
    </row>
    <row r="391" customFormat="false" ht="15" hidden="false" customHeight="false" outlineLevel="0" collapsed="false">
      <c r="A391" s="24" t="str">
        <f aca="false">IF(C391="","",ROW()-4)</f>
        <v/>
      </c>
      <c r="B391" s="46"/>
      <c r="C391" s="22"/>
      <c r="D391" s="24" t="str">
        <f aca="false">IF(C391="","",IFERROR(INDEX(NV_TEN,MATCH(C391,NV_MA,0)),"MÃ KHÔNG CÓ"))</f>
        <v/>
      </c>
      <c r="E391" s="22"/>
      <c r="F391" s="22"/>
      <c r="G391" s="22"/>
      <c r="H391" s="22"/>
      <c r="I391" s="11"/>
      <c r="J391" s="22"/>
      <c r="K391" s="20" t="str">
        <f aca="false">IF(I391="","",IF(H391="LAK",I391*TYGIA_LAK,I391))</f>
        <v/>
      </c>
      <c r="L391" s="22"/>
      <c r="M391" s="22"/>
    </row>
    <row r="392" customFormat="false" ht="15" hidden="false" customHeight="false" outlineLevel="0" collapsed="false">
      <c r="A392" s="24" t="str">
        <f aca="false">IF(C392="","",ROW()-4)</f>
        <v/>
      </c>
      <c r="B392" s="46"/>
      <c r="C392" s="22"/>
      <c r="D392" s="24" t="str">
        <f aca="false">IF(C392="","",IFERROR(INDEX(NV_TEN,MATCH(C392,NV_MA,0)),"MÃ KHÔNG CÓ"))</f>
        <v/>
      </c>
      <c r="E392" s="22"/>
      <c r="F392" s="22"/>
      <c r="G392" s="22"/>
      <c r="H392" s="22"/>
      <c r="I392" s="11"/>
      <c r="J392" s="22"/>
      <c r="K392" s="20" t="str">
        <f aca="false">IF(I392="","",IF(H392="LAK",I392*TYGIA_LAK,I392))</f>
        <v/>
      </c>
      <c r="L392" s="22"/>
      <c r="M392" s="22"/>
    </row>
    <row r="393" customFormat="false" ht="15" hidden="false" customHeight="false" outlineLevel="0" collapsed="false">
      <c r="A393" s="24" t="str">
        <f aca="false">IF(C393="","",ROW()-4)</f>
        <v/>
      </c>
      <c r="B393" s="46"/>
      <c r="C393" s="22"/>
      <c r="D393" s="24" t="str">
        <f aca="false">IF(C393="","",IFERROR(INDEX(NV_TEN,MATCH(C393,NV_MA,0)),"MÃ KHÔNG CÓ"))</f>
        <v/>
      </c>
      <c r="E393" s="22"/>
      <c r="F393" s="22"/>
      <c r="G393" s="22"/>
      <c r="H393" s="22"/>
      <c r="I393" s="11"/>
      <c r="J393" s="22"/>
      <c r="K393" s="20" t="str">
        <f aca="false">IF(I393="","",IF(H393="LAK",I393*TYGIA_LAK,I393))</f>
        <v/>
      </c>
      <c r="L393" s="22"/>
      <c r="M393" s="22"/>
    </row>
    <row r="394" customFormat="false" ht="15" hidden="false" customHeight="false" outlineLevel="0" collapsed="false">
      <c r="A394" s="24" t="str">
        <f aca="false">IF(C394="","",ROW()-4)</f>
        <v/>
      </c>
      <c r="B394" s="46"/>
      <c r="C394" s="22"/>
      <c r="D394" s="24" t="str">
        <f aca="false">IF(C394="","",IFERROR(INDEX(NV_TEN,MATCH(C394,NV_MA,0)),"MÃ KHÔNG CÓ"))</f>
        <v/>
      </c>
      <c r="E394" s="22"/>
      <c r="F394" s="22"/>
      <c r="G394" s="22"/>
      <c r="H394" s="22"/>
      <c r="I394" s="11"/>
      <c r="J394" s="22"/>
      <c r="K394" s="20" t="str">
        <f aca="false">IF(I394="","",IF(H394="LAK",I394*TYGIA_LAK,I394))</f>
        <v/>
      </c>
      <c r="L394" s="22"/>
      <c r="M394" s="22"/>
    </row>
    <row r="395" customFormat="false" ht="15" hidden="false" customHeight="false" outlineLevel="0" collapsed="false">
      <c r="A395" s="24" t="str">
        <f aca="false">IF(C395="","",ROW()-4)</f>
        <v/>
      </c>
      <c r="B395" s="46"/>
      <c r="C395" s="22"/>
      <c r="D395" s="24" t="str">
        <f aca="false">IF(C395="","",IFERROR(INDEX(NV_TEN,MATCH(C395,NV_MA,0)),"MÃ KHÔNG CÓ"))</f>
        <v/>
      </c>
      <c r="E395" s="22"/>
      <c r="F395" s="22"/>
      <c r="G395" s="22"/>
      <c r="H395" s="22"/>
      <c r="I395" s="11"/>
      <c r="J395" s="22"/>
      <c r="K395" s="20" t="str">
        <f aca="false">IF(I395="","",IF(H395="LAK",I395*TYGIA_LAK,I395))</f>
        <v/>
      </c>
      <c r="L395" s="22"/>
      <c r="M395" s="22"/>
    </row>
    <row r="396" customFormat="false" ht="15" hidden="false" customHeight="false" outlineLevel="0" collapsed="false">
      <c r="A396" s="24" t="str">
        <f aca="false">IF(C396="","",ROW()-4)</f>
        <v/>
      </c>
      <c r="B396" s="46"/>
      <c r="C396" s="22"/>
      <c r="D396" s="24" t="str">
        <f aca="false">IF(C396="","",IFERROR(INDEX(NV_TEN,MATCH(C396,NV_MA,0)),"MÃ KHÔNG CÓ"))</f>
        <v/>
      </c>
      <c r="E396" s="22"/>
      <c r="F396" s="22"/>
      <c r="G396" s="22"/>
      <c r="H396" s="22"/>
      <c r="I396" s="11"/>
      <c r="J396" s="22"/>
      <c r="K396" s="20" t="str">
        <f aca="false">IF(I396="","",IF(H396="LAK",I396*TYGIA_LAK,I396))</f>
        <v/>
      </c>
      <c r="L396" s="22"/>
      <c r="M396" s="22"/>
    </row>
    <row r="397" customFormat="false" ht="15" hidden="false" customHeight="false" outlineLevel="0" collapsed="false">
      <c r="A397" s="24" t="str">
        <f aca="false">IF(C397="","",ROW()-4)</f>
        <v/>
      </c>
      <c r="B397" s="46"/>
      <c r="C397" s="22"/>
      <c r="D397" s="24" t="str">
        <f aca="false">IF(C397="","",IFERROR(INDEX(NV_TEN,MATCH(C397,NV_MA,0)),"MÃ KHÔNG CÓ"))</f>
        <v/>
      </c>
      <c r="E397" s="22"/>
      <c r="F397" s="22"/>
      <c r="G397" s="22"/>
      <c r="H397" s="22"/>
      <c r="I397" s="11"/>
      <c r="J397" s="22"/>
      <c r="K397" s="20" t="str">
        <f aca="false">IF(I397="","",IF(H397="LAK",I397*TYGIA_LAK,I397))</f>
        <v/>
      </c>
      <c r="L397" s="22"/>
      <c r="M397" s="22"/>
    </row>
    <row r="398" customFormat="false" ht="15" hidden="false" customHeight="false" outlineLevel="0" collapsed="false">
      <c r="A398" s="24" t="str">
        <f aca="false">IF(C398="","",ROW()-4)</f>
        <v/>
      </c>
      <c r="B398" s="46"/>
      <c r="C398" s="22"/>
      <c r="D398" s="24" t="str">
        <f aca="false">IF(C398="","",IFERROR(INDEX(NV_TEN,MATCH(C398,NV_MA,0)),"MÃ KHÔNG CÓ"))</f>
        <v/>
      </c>
      <c r="E398" s="22"/>
      <c r="F398" s="22"/>
      <c r="G398" s="22"/>
      <c r="H398" s="22"/>
      <c r="I398" s="11"/>
      <c r="J398" s="22"/>
      <c r="K398" s="20" t="str">
        <f aca="false">IF(I398="","",IF(H398="LAK",I398*TYGIA_LAK,I398))</f>
        <v/>
      </c>
      <c r="L398" s="22"/>
      <c r="M398" s="22"/>
    </row>
    <row r="399" customFormat="false" ht="15" hidden="false" customHeight="false" outlineLevel="0" collapsed="false">
      <c r="A399" s="24" t="str">
        <f aca="false">IF(C399="","",ROW()-4)</f>
        <v/>
      </c>
      <c r="B399" s="46"/>
      <c r="C399" s="22"/>
      <c r="D399" s="24" t="str">
        <f aca="false">IF(C399="","",IFERROR(INDEX(NV_TEN,MATCH(C399,NV_MA,0)),"MÃ KHÔNG CÓ"))</f>
        <v/>
      </c>
      <c r="E399" s="22"/>
      <c r="F399" s="22"/>
      <c r="G399" s="22"/>
      <c r="H399" s="22"/>
      <c r="I399" s="11"/>
      <c r="J399" s="22"/>
      <c r="K399" s="20" t="str">
        <f aca="false">IF(I399="","",IF(H399="LAK",I399*TYGIA_LAK,I399))</f>
        <v/>
      </c>
      <c r="L399" s="22"/>
      <c r="M399" s="22"/>
    </row>
    <row r="400" customFormat="false" ht="15" hidden="false" customHeight="false" outlineLevel="0" collapsed="false">
      <c r="A400" s="24" t="str">
        <f aca="false">IF(C400="","",ROW()-4)</f>
        <v/>
      </c>
      <c r="B400" s="46"/>
      <c r="C400" s="22"/>
      <c r="D400" s="24" t="str">
        <f aca="false">IF(C400="","",IFERROR(INDEX(NV_TEN,MATCH(C400,NV_MA,0)),"MÃ KHÔNG CÓ"))</f>
        <v/>
      </c>
      <c r="E400" s="22"/>
      <c r="F400" s="22"/>
      <c r="G400" s="22"/>
      <c r="H400" s="22"/>
      <c r="I400" s="11"/>
      <c r="J400" s="22"/>
      <c r="K400" s="20" t="str">
        <f aca="false">IF(I400="","",IF(H400="LAK",I400*TYGIA_LAK,I400))</f>
        <v/>
      </c>
      <c r="L400" s="22"/>
      <c r="M400" s="22"/>
    </row>
    <row r="401" customFormat="false" ht="15" hidden="false" customHeight="false" outlineLevel="0" collapsed="false">
      <c r="A401" s="24" t="str">
        <f aca="false">IF(C401="","",ROW()-4)</f>
        <v/>
      </c>
      <c r="B401" s="46"/>
      <c r="C401" s="22"/>
      <c r="D401" s="24" t="str">
        <f aca="false">IF(C401="","",IFERROR(INDEX(NV_TEN,MATCH(C401,NV_MA,0)),"MÃ KHÔNG CÓ"))</f>
        <v/>
      </c>
      <c r="E401" s="22"/>
      <c r="F401" s="22"/>
      <c r="G401" s="22"/>
      <c r="H401" s="22"/>
      <c r="I401" s="11"/>
      <c r="J401" s="22"/>
      <c r="K401" s="20" t="str">
        <f aca="false">IF(I401="","",IF(H401="LAK",I401*TYGIA_LAK,I401))</f>
        <v/>
      </c>
      <c r="L401" s="22"/>
      <c r="M401" s="22"/>
    </row>
    <row r="402" customFormat="false" ht="15" hidden="false" customHeight="false" outlineLevel="0" collapsed="false">
      <c r="A402" s="24" t="str">
        <f aca="false">IF(C402="","",ROW()-4)</f>
        <v/>
      </c>
      <c r="B402" s="46"/>
      <c r="C402" s="22"/>
      <c r="D402" s="24" t="str">
        <f aca="false">IF(C402="","",IFERROR(INDEX(NV_TEN,MATCH(C402,NV_MA,0)),"MÃ KHÔNG CÓ"))</f>
        <v/>
      </c>
      <c r="E402" s="22"/>
      <c r="F402" s="22"/>
      <c r="G402" s="22"/>
      <c r="H402" s="22"/>
      <c r="I402" s="11"/>
      <c r="J402" s="22"/>
      <c r="K402" s="20" t="str">
        <f aca="false">IF(I402="","",IF(H402="LAK",I402*TYGIA_LAK,I402))</f>
        <v/>
      </c>
      <c r="L402" s="22"/>
      <c r="M402" s="22"/>
    </row>
    <row r="403" customFormat="false" ht="15" hidden="false" customHeight="false" outlineLevel="0" collapsed="false">
      <c r="A403" s="24" t="str">
        <f aca="false">IF(C403="","",ROW()-4)</f>
        <v/>
      </c>
      <c r="B403" s="46"/>
      <c r="C403" s="22"/>
      <c r="D403" s="24" t="str">
        <f aca="false">IF(C403="","",IFERROR(INDEX(NV_TEN,MATCH(C403,NV_MA,0)),"MÃ KHÔNG CÓ"))</f>
        <v/>
      </c>
      <c r="E403" s="22"/>
      <c r="F403" s="22"/>
      <c r="G403" s="22"/>
      <c r="H403" s="22"/>
      <c r="I403" s="11"/>
      <c r="J403" s="22"/>
      <c r="K403" s="20" t="str">
        <f aca="false">IF(I403="","",IF(H403="LAK",I403*TYGIA_LAK,I403))</f>
        <v/>
      </c>
      <c r="L403" s="22"/>
      <c r="M403" s="22"/>
    </row>
    <row r="404" customFormat="false" ht="15" hidden="false" customHeight="false" outlineLevel="0" collapsed="false">
      <c r="A404" s="24" t="str">
        <f aca="false">IF(C404="","",ROW()-4)</f>
        <v/>
      </c>
      <c r="B404" s="46"/>
      <c r="C404" s="22"/>
      <c r="D404" s="24" t="str">
        <f aca="false">IF(C404="","",IFERROR(INDEX(NV_TEN,MATCH(C404,NV_MA,0)),"MÃ KHÔNG CÓ"))</f>
        <v/>
      </c>
      <c r="E404" s="22"/>
      <c r="F404" s="22"/>
      <c r="G404" s="22"/>
      <c r="H404" s="22"/>
      <c r="I404" s="11"/>
      <c r="J404" s="22"/>
      <c r="K404" s="20" t="str">
        <f aca="false">IF(I404="","",IF(H404="LAK",I404*TYGIA_LAK,I404))</f>
        <v/>
      </c>
      <c r="L404" s="22"/>
      <c r="M404" s="22"/>
    </row>
    <row r="405" customFormat="false" ht="15" hidden="false" customHeight="false" outlineLevel="0" collapsed="false">
      <c r="A405" s="24" t="str">
        <f aca="false">IF(C405="","",ROW()-4)</f>
        <v/>
      </c>
      <c r="B405" s="46"/>
      <c r="C405" s="22"/>
      <c r="D405" s="24" t="str">
        <f aca="false">IF(C405="","",IFERROR(INDEX(NV_TEN,MATCH(C405,NV_MA,0)),"MÃ KHÔNG CÓ"))</f>
        <v/>
      </c>
      <c r="E405" s="22"/>
      <c r="F405" s="22"/>
      <c r="G405" s="22"/>
      <c r="H405" s="22"/>
      <c r="I405" s="11"/>
      <c r="J405" s="22"/>
      <c r="K405" s="20" t="str">
        <f aca="false">IF(I405="","",IF(H405="LAK",I405*TYGIA_LAK,I405))</f>
        <v/>
      </c>
      <c r="L405" s="22"/>
      <c r="M405" s="22"/>
    </row>
    <row r="406" customFormat="false" ht="15" hidden="false" customHeight="false" outlineLevel="0" collapsed="false">
      <c r="A406" s="24" t="str">
        <f aca="false">IF(C406="","",ROW()-4)</f>
        <v/>
      </c>
      <c r="B406" s="46"/>
      <c r="C406" s="22"/>
      <c r="D406" s="24" t="str">
        <f aca="false">IF(C406="","",IFERROR(INDEX(NV_TEN,MATCH(C406,NV_MA,0)),"MÃ KHÔNG CÓ"))</f>
        <v/>
      </c>
      <c r="E406" s="22"/>
      <c r="F406" s="22"/>
      <c r="G406" s="22"/>
      <c r="H406" s="22"/>
      <c r="I406" s="11"/>
      <c r="J406" s="22"/>
      <c r="K406" s="20" t="str">
        <f aca="false">IF(I406="","",IF(H406="LAK",I406*TYGIA_LAK,I406))</f>
        <v/>
      </c>
      <c r="L406" s="22"/>
      <c r="M406" s="22"/>
    </row>
    <row r="407" customFormat="false" ht="15" hidden="false" customHeight="false" outlineLevel="0" collapsed="false">
      <c r="A407" s="24" t="str">
        <f aca="false">IF(C407="","",ROW()-4)</f>
        <v/>
      </c>
      <c r="B407" s="46"/>
      <c r="C407" s="22"/>
      <c r="D407" s="24" t="str">
        <f aca="false">IF(C407="","",IFERROR(INDEX(NV_TEN,MATCH(C407,NV_MA,0)),"MÃ KHÔNG CÓ"))</f>
        <v/>
      </c>
      <c r="E407" s="22"/>
      <c r="F407" s="22"/>
      <c r="G407" s="22"/>
      <c r="H407" s="22"/>
      <c r="I407" s="11"/>
      <c r="J407" s="22"/>
      <c r="K407" s="20" t="str">
        <f aca="false">IF(I407="","",IF(H407="LAK",I407*TYGIA_LAK,I407))</f>
        <v/>
      </c>
      <c r="L407" s="22"/>
      <c r="M407" s="22"/>
    </row>
    <row r="408" customFormat="false" ht="15" hidden="false" customHeight="false" outlineLevel="0" collapsed="false">
      <c r="A408" s="24" t="str">
        <f aca="false">IF(C408="","",ROW()-4)</f>
        <v/>
      </c>
      <c r="B408" s="46"/>
      <c r="C408" s="22"/>
      <c r="D408" s="24" t="str">
        <f aca="false">IF(C408="","",IFERROR(INDEX(NV_TEN,MATCH(C408,NV_MA,0)),"MÃ KHÔNG CÓ"))</f>
        <v/>
      </c>
      <c r="E408" s="22"/>
      <c r="F408" s="22"/>
      <c r="G408" s="22"/>
      <c r="H408" s="22"/>
      <c r="I408" s="11"/>
      <c r="J408" s="22"/>
      <c r="K408" s="20" t="str">
        <f aca="false">IF(I408="","",IF(H408="LAK",I408*TYGIA_LAK,I408))</f>
        <v/>
      </c>
      <c r="L408" s="22"/>
      <c r="M408" s="22"/>
    </row>
    <row r="409" customFormat="false" ht="15" hidden="false" customHeight="false" outlineLevel="0" collapsed="false">
      <c r="A409" s="24" t="str">
        <f aca="false">IF(C409="","",ROW()-4)</f>
        <v/>
      </c>
      <c r="B409" s="46"/>
      <c r="C409" s="22"/>
      <c r="D409" s="24" t="str">
        <f aca="false">IF(C409="","",IFERROR(INDEX(NV_TEN,MATCH(C409,NV_MA,0)),"MÃ KHÔNG CÓ"))</f>
        <v/>
      </c>
      <c r="E409" s="22"/>
      <c r="F409" s="22"/>
      <c r="G409" s="22"/>
      <c r="H409" s="22"/>
      <c r="I409" s="11"/>
      <c r="J409" s="22"/>
      <c r="K409" s="20" t="str">
        <f aca="false">IF(I409="","",IF(H409="LAK",I409*TYGIA_LAK,I409))</f>
        <v/>
      </c>
      <c r="L409" s="22"/>
      <c r="M409" s="22"/>
    </row>
    <row r="410" customFormat="false" ht="15" hidden="false" customHeight="false" outlineLevel="0" collapsed="false">
      <c r="A410" s="24" t="str">
        <f aca="false">IF(C410="","",ROW()-4)</f>
        <v/>
      </c>
      <c r="B410" s="46"/>
      <c r="C410" s="22"/>
      <c r="D410" s="24" t="str">
        <f aca="false">IF(C410="","",IFERROR(INDEX(NV_TEN,MATCH(C410,NV_MA,0)),"MÃ KHÔNG CÓ"))</f>
        <v/>
      </c>
      <c r="E410" s="22"/>
      <c r="F410" s="22"/>
      <c r="G410" s="22"/>
      <c r="H410" s="22"/>
      <c r="I410" s="11"/>
      <c r="J410" s="22"/>
      <c r="K410" s="20" t="str">
        <f aca="false">IF(I410="","",IF(H410="LAK",I410*TYGIA_LAK,I410))</f>
        <v/>
      </c>
      <c r="L410" s="22"/>
      <c r="M410" s="22"/>
    </row>
    <row r="411" customFormat="false" ht="15" hidden="false" customHeight="false" outlineLevel="0" collapsed="false">
      <c r="A411" s="24" t="str">
        <f aca="false">IF(C411="","",ROW()-4)</f>
        <v/>
      </c>
      <c r="B411" s="46"/>
      <c r="C411" s="22"/>
      <c r="D411" s="24" t="str">
        <f aca="false">IF(C411="","",IFERROR(INDEX(NV_TEN,MATCH(C411,NV_MA,0)),"MÃ KHÔNG CÓ"))</f>
        <v/>
      </c>
      <c r="E411" s="22"/>
      <c r="F411" s="22"/>
      <c r="G411" s="22"/>
      <c r="H411" s="22"/>
      <c r="I411" s="11"/>
      <c r="J411" s="22"/>
      <c r="K411" s="20" t="str">
        <f aca="false">IF(I411="","",IF(H411="LAK",I411*TYGIA_LAK,I411))</f>
        <v/>
      </c>
      <c r="L411" s="22"/>
      <c r="M411" s="22"/>
    </row>
    <row r="412" customFormat="false" ht="15" hidden="false" customHeight="false" outlineLevel="0" collapsed="false">
      <c r="A412" s="24" t="str">
        <f aca="false">IF(C412="","",ROW()-4)</f>
        <v/>
      </c>
      <c r="B412" s="46"/>
      <c r="C412" s="22"/>
      <c r="D412" s="24" t="str">
        <f aca="false">IF(C412="","",IFERROR(INDEX(NV_TEN,MATCH(C412,NV_MA,0)),"MÃ KHÔNG CÓ"))</f>
        <v/>
      </c>
      <c r="E412" s="22"/>
      <c r="F412" s="22"/>
      <c r="G412" s="22"/>
      <c r="H412" s="22"/>
      <c r="I412" s="11"/>
      <c r="J412" s="22"/>
      <c r="K412" s="20" t="str">
        <f aca="false">IF(I412="","",IF(H412="LAK",I412*TYGIA_LAK,I412))</f>
        <v/>
      </c>
      <c r="L412" s="22"/>
      <c r="M412" s="22"/>
    </row>
    <row r="413" customFormat="false" ht="15" hidden="false" customHeight="false" outlineLevel="0" collapsed="false">
      <c r="A413" s="24" t="str">
        <f aca="false">IF(C413="","",ROW()-4)</f>
        <v/>
      </c>
      <c r="B413" s="46"/>
      <c r="C413" s="22"/>
      <c r="D413" s="24" t="str">
        <f aca="false">IF(C413="","",IFERROR(INDEX(NV_TEN,MATCH(C413,NV_MA,0)),"MÃ KHÔNG CÓ"))</f>
        <v/>
      </c>
      <c r="E413" s="22"/>
      <c r="F413" s="22"/>
      <c r="G413" s="22"/>
      <c r="H413" s="22"/>
      <c r="I413" s="11"/>
      <c r="J413" s="22"/>
      <c r="K413" s="20" t="str">
        <f aca="false">IF(I413="","",IF(H413="LAK",I413*TYGIA_LAK,I413))</f>
        <v/>
      </c>
      <c r="L413" s="22"/>
      <c r="M413" s="22"/>
    </row>
    <row r="414" customFormat="false" ht="15" hidden="false" customHeight="false" outlineLevel="0" collapsed="false">
      <c r="A414" s="24" t="str">
        <f aca="false">IF(C414="","",ROW()-4)</f>
        <v/>
      </c>
      <c r="B414" s="46"/>
      <c r="C414" s="22"/>
      <c r="D414" s="24" t="str">
        <f aca="false">IF(C414="","",IFERROR(INDEX(NV_TEN,MATCH(C414,NV_MA,0)),"MÃ KHÔNG CÓ"))</f>
        <v/>
      </c>
      <c r="E414" s="22"/>
      <c r="F414" s="22"/>
      <c r="G414" s="22"/>
      <c r="H414" s="22"/>
      <c r="I414" s="11"/>
      <c r="J414" s="22"/>
      <c r="K414" s="20" t="str">
        <f aca="false">IF(I414="","",IF(H414="LAK",I414*TYGIA_LAK,I414))</f>
        <v/>
      </c>
      <c r="L414" s="22"/>
      <c r="M414" s="22"/>
    </row>
    <row r="415" customFormat="false" ht="15" hidden="false" customHeight="false" outlineLevel="0" collapsed="false">
      <c r="A415" s="24" t="str">
        <f aca="false">IF(C415="","",ROW()-4)</f>
        <v/>
      </c>
      <c r="B415" s="46"/>
      <c r="C415" s="22"/>
      <c r="D415" s="24" t="str">
        <f aca="false">IF(C415="","",IFERROR(INDEX(NV_TEN,MATCH(C415,NV_MA,0)),"MÃ KHÔNG CÓ"))</f>
        <v/>
      </c>
      <c r="E415" s="22"/>
      <c r="F415" s="22"/>
      <c r="G415" s="22"/>
      <c r="H415" s="22"/>
      <c r="I415" s="11"/>
      <c r="J415" s="22"/>
      <c r="K415" s="20" t="str">
        <f aca="false">IF(I415="","",IF(H415="LAK",I415*TYGIA_LAK,I415))</f>
        <v/>
      </c>
      <c r="L415" s="22"/>
      <c r="M415" s="22"/>
    </row>
    <row r="416" customFormat="false" ht="15" hidden="false" customHeight="false" outlineLevel="0" collapsed="false">
      <c r="A416" s="24" t="str">
        <f aca="false">IF(C416="","",ROW()-4)</f>
        <v/>
      </c>
      <c r="B416" s="46"/>
      <c r="C416" s="22"/>
      <c r="D416" s="24" t="str">
        <f aca="false">IF(C416="","",IFERROR(INDEX(NV_TEN,MATCH(C416,NV_MA,0)),"MÃ KHÔNG CÓ"))</f>
        <v/>
      </c>
      <c r="E416" s="22"/>
      <c r="F416" s="22"/>
      <c r="G416" s="22"/>
      <c r="H416" s="22"/>
      <c r="I416" s="11"/>
      <c r="J416" s="22"/>
      <c r="K416" s="20" t="str">
        <f aca="false">IF(I416="","",IF(H416="LAK",I416*TYGIA_LAK,I416))</f>
        <v/>
      </c>
      <c r="L416" s="22"/>
      <c r="M416" s="22"/>
    </row>
    <row r="417" customFormat="false" ht="15" hidden="false" customHeight="false" outlineLevel="0" collapsed="false">
      <c r="A417" s="24" t="str">
        <f aca="false">IF(C417="","",ROW()-4)</f>
        <v/>
      </c>
      <c r="B417" s="46"/>
      <c r="C417" s="22"/>
      <c r="D417" s="24" t="str">
        <f aca="false">IF(C417="","",IFERROR(INDEX(NV_TEN,MATCH(C417,NV_MA,0)),"MÃ KHÔNG CÓ"))</f>
        <v/>
      </c>
      <c r="E417" s="22"/>
      <c r="F417" s="22"/>
      <c r="G417" s="22"/>
      <c r="H417" s="22"/>
      <c r="I417" s="11"/>
      <c r="J417" s="22"/>
      <c r="K417" s="20" t="str">
        <f aca="false">IF(I417="","",IF(H417="LAK",I417*TYGIA_LAK,I417))</f>
        <v/>
      </c>
      <c r="L417" s="22"/>
      <c r="M417" s="22"/>
    </row>
    <row r="418" customFormat="false" ht="15" hidden="false" customHeight="false" outlineLevel="0" collapsed="false">
      <c r="A418" s="24" t="str">
        <f aca="false">IF(C418="","",ROW()-4)</f>
        <v/>
      </c>
      <c r="B418" s="46"/>
      <c r="C418" s="22"/>
      <c r="D418" s="24" t="str">
        <f aca="false">IF(C418="","",IFERROR(INDEX(NV_TEN,MATCH(C418,NV_MA,0)),"MÃ KHÔNG CÓ"))</f>
        <v/>
      </c>
      <c r="E418" s="22"/>
      <c r="F418" s="22"/>
      <c r="G418" s="22"/>
      <c r="H418" s="22"/>
      <c r="I418" s="11"/>
      <c r="J418" s="22"/>
      <c r="K418" s="20" t="str">
        <f aca="false">IF(I418="","",IF(H418="LAK",I418*TYGIA_LAK,I418))</f>
        <v/>
      </c>
      <c r="L418" s="22"/>
      <c r="M418" s="22"/>
    </row>
    <row r="419" customFormat="false" ht="15" hidden="false" customHeight="false" outlineLevel="0" collapsed="false">
      <c r="A419" s="24" t="str">
        <f aca="false">IF(C419="","",ROW()-4)</f>
        <v/>
      </c>
      <c r="B419" s="46"/>
      <c r="C419" s="22"/>
      <c r="D419" s="24" t="str">
        <f aca="false">IF(C419="","",IFERROR(INDEX(NV_TEN,MATCH(C419,NV_MA,0)),"MÃ KHÔNG CÓ"))</f>
        <v/>
      </c>
      <c r="E419" s="22"/>
      <c r="F419" s="22"/>
      <c r="G419" s="22"/>
      <c r="H419" s="22"/>
      <c r="I419" s="11"/>
      <c r="J419" s="22"/>
      <c r="K419" s="20" t="str">
        <f aca="false">IF(I419="","",IF(H419="LAK",I419*TYGIA_LAK,I419))</f>
        <v/>
      </c>
      <c r="L419" s="22"/>
      <c r="M419" s="22"/>
    </row>
    <row r="420" customFormat="false" ht="15" hidden="false" customHeight="false" outlineLevel="0" collapsed="false">
      <c r="A420" s="24" t="str">
        <f aca="false">IF(C420="","",ROW()-4)</f>
        <v/>
      </c>
      <c r="B420" s="46"/>
      <c r="C420" s="22"/>
      <c r="D420" s="24" t="str">
        <f aca="false">IF(C420="","",IFERROR(INDEX(NV_TEN,MATCH(C420,NV_MA,0)),"MÃ KHÔNG CÓ"))</f>
        <v/>
      </c>
      <c r="E420" s="22"/>
      <c r="F420" s="22"/>
      <c r="G420" s="22"/>
      <c r="H420" s="22"/>
      <c r="I420" s="11"/>
      <c r="J420" s="22"/>
      <c r="K420" s="20" t="str">
        <f aca="false">IF(I420="","",IF(H420="LAK",I420*TYGIA_LAK,I420))</f>
        <v/>
      </c>
      <c r="L420" s="22"/>
      <c r="M420" s="22"/>
    </row>
    <row r="421" customFormat="false" ht="15" hidden="false" customHeight="false" outlineLevel="0" collapsed="false">
      <c r="A421" s="24" t="str">
        <f aca="false">IF(C421="","",ROW()-4)</f>
        <v/>
      </c>
      <c r="B421" s="46"/>
      <c r="C421" s="22"/>
      <c r="D421" s="24" t="str">
        <f aca="false">IF(C421="","",IFERROR(INDEX(NV_TEN,MATCH(C421,NV_MA,0)),"MÃ KHÔNG CÓ"))</f>
        <v/>
      </c>
      <c r="E421" s="22"/>
      <c r="F421" s="22"/>
      <c r="G421" s="22"/>
      <c r="H421" s="22"/>
      <c r="I421" s="11"/>
      <c r="J421" s="22"/>
      <c r="K421" s="20" t="str">
        <f aca="false">IF(I421="","",IF(H421="LAK",I421*TYGIA_LAK,I421))</f>
        <v/>
      </c>
      <c r="L421" s="22"/>
      <c r="M421" s="22"/>
    </row>
    <row r="422" customFormat="false" ht="15" hidden="false" customHeight="false" outlineLevel="0" collapsed="false">
      <c r="A422" s="24" t="str">
        <f aca="false">IF(C422="","",ROW()-4)</f>
        <v/>
      </c>
      <c r="B422" s="46"/>
      <c r="C422" s="22"/>
      <c r="D422" s="24" t="str">
        <f aca="false">IF(C422="","",IFERROR(INDEX(NV_TEN,MATCH(C422,NV_MA,0)),"MÃ KHÔNG CÓ"))</f>
        <v/>
      </c>
      <c r="E422" s="22"/>
      <c r="F422" s="22"/>
      <c r="G422" s="22"/>
      <c r="H422" s="22"/>
      <c r="I422" s="11"/>
      <c r="J422" s="22"/>
      <c r="K422" s="20" t="str">
        <f aca="false">IF(I422="","",IF(H422="LAK",I422*TYGIA_LAK,I422))</f>
        <v/>
      </c>
      <c r="L422" s="22"/>
      <c r="M422" s="22"/>
    </row>
    <row r="423" customFormat="false" ht="15" hidden="false" customHeight="false" outlineLevel="0" collapsed="false">
      <c r="A423" s="24" t="str">
        <f aca="false">IF(C423="","",ROW()-4)</f>
        <v/>
      </c>
      <c r="B423" s="46"/>
      <c r="C423" s="22"/>
      <c r="D423" s="24" t="str">
        <f aca="false">IF(C423="","",IFERROR(INDEX(NV_TEN,MATCH(C423,NV_MA,0)),"MÃ KHÔNG CÓ"))</f>
        <v/>
      </c>
      <c r="E423" s="22"/>
      <c r="F423" s="22"/>
      <c r="G423" s="22"/>
      <c r="H423" s="22"/>
      <c r="I423" s="11"/>
      <c r="J423" s="22"/>
      <c r="K423" s="20" t="str">
        <f aca="false">IF(I423="","",IF(H423="LAK",I423*TYGIA_LAK,I423))</f>
        <v/>
      </c>
      <c r="L423" s="22"/>
      <c r="M423" s="22"/>
    </row>
    <row r="424" customFormat="false" ht="15" hidden="false" customHeight="false" outlineLevel="0" collapsed="false">
      <c r="A424" s="24" t="str">
        <f aca="false">IF(C424="","",ROW()-4)</f>
        <v/>
      </c>
      <c r="B424" s="46"/>
      <c r="C424" s="22"/>
      <c r="D424" s="24" t="str">
        <f aca="false">IF(C424="","",IFERROR(INDEX(NV_TEN,MATCH(C424,NV_MA,0)),"MÃ KHÔNG CÓ"))</f>
        <v/>
      </c>
      <c r="E424" s="22"/>
      <c r="F424" s="22"/>
      <c r="G424" s="22"/>
      <c r="H424" s="22"/>
      <c r="I424" s="11"/>
      <c r="J424" s="22"/>
      <c r="K424" s="20" t="str">
        <f aca="false">IF(I424="","",IF(H424="LAK",I424*TYGIA_LAK,I424))</f>
        <v/>
      </c>
      <c r="L424" s="22"/>
      <c r="M424" s="22"/>
    </row>
    <row r="425" customFormat="false" ht="15" hidden="false" customHeight="false" outlineLevel="0" collapsed="false">
      <c r="A425" s="24" t="str">
        <f aca="false">IF(C425="","",ROW()-4)</f>
        <v/>
      </c>
      <c r="B425" s="46"/>
      <c r="C425" s="22"/>
      <c r="D425" s="24" t="str">
        <f aca="false">IF(C425="","",IFERROR(INDEX(NV_TEN,MATCH(C425,NV_MA,0)),"MÃ KHÔNG CÓ"))</f>
        <v/>
      </c>
      <c r="E425" s="22"/>
      <c r="F425" s="22"/>
      <c r="G425" s="22"/>
      <c r="H425" s="22"/>
      <c r="I425" s="11"/>
      <c r="J425" s="22"/>
      <c r="K425" s="20" t="str">
        <f aca="false">IF(I425="","",IF(H425="LAK",I425*TYGIA_LAK,I425))</f>
        <v/>
      </c>
      <c r="L425" s="22"/>
      <c r="M425" s="22"/>
    </row>
    <row r="426" customFormat="false" ht="15" hidden="false" customHeight="false" outlineLevel="0" collapsed="false">
      <c r="A426" s="24" t="str">
        <f aca="false">IF(C426="","",ROW()-4)</f>
        <v/>
      </c>
      <c r="B426" s="46"/>
      <c r="C426" s="22"/>
      <c r="D426" s="24" t="str">
        <f aca="false">IF(C426="","",IFERROR(INDEX(NV_TEN,MATCH(C426,NV_MA,0)),"MÃ KHÔNG CÓ"))</f>
        <v/>
      </c>
      <c r="E426" s="22"/>
      <c r="F426" s="22"/>
      <c r="G426" s="22"/>
      <c r="H426" s="22"/>
      <c r="I426" s="11"/>
      <c r="J426" s="22"/>
      <c r="K426" s="20" t="str">
        <f aca="false">IF(I426="","",IF(H426="LAK",I426*TYGIA_LAK,I426))</f>
        <v/>
      </c>
      <c r="L426" s="22"/>
      <c r="M426" s="22"/>
    </row>
    <row r="427" customFormat="false" ht="15" hidden="false" customHeight="false" outlineLevel="0" collapsed="false">
      <c r="A427" s="24" t="str">
        <f aca="false">IF(C427="","",ROW()-4)</f>
        <v/>
      </c>
      <c r="B427" s="46"/>
      <c r="C427" s="22"/>
      <c r="D427" s="24" t="str">
        <f aca="false">IF(C427="","",IFERROR(INDEX(NV_TEN,MATCH(C427,NV_MA,0)),"MÃ KHÔNG CÓ"))</f>
        <v/>
      </c>
      <c r="E427" s="22"/>
      <c r="F427" s="22"/>
      <c r="G427" s="22"/>
      <c r="H427" s="22"/>
      <c r="I427" s="11"/>
      <c r="J427" s="22"/>
      <c r="K427" s="20" t="str">
        <f aca="false">IF(I427="","",IF(H427="LAK",I427*TYGIA_LAK,I427))</f>
        <v/>
      </c>
      <c r="L427" s="22"/>
      <c r="M427" s="22"/>
    </row>
    <row r="428" customFormat="false" ht="15" hidden="false" customHeight="false" outlineLevel="0" collapsed="false">
      <c r="A428" s="24" t="str">
        <f aca="false">IF(C428="","",ROW()-4)</f>
        <v/>
      </c>
      <c r="B428" s="46"/>
      <c r="C428" s="22"/>
      <c r="D428" s="24" t="str">
        <f aca="false">IF(C428="","",IFERROR(INDEX(NV_TEN,MATCH(C428,NV_MA,0)),"MÃ KHÔNG CÓ"))</f>
        <v/>
      </c>
      <c r="E428" s="22"/>
      <c r="F428" s="22"/>
      <c r="G428" s="22"/>
      <c r="H428" s="22"/>
      <c r="I428" s="11"/>
      <c r="J428" s="22"/>
      <c r="K428" s="20" t="str">
        <f aca="false">IF(I428="","",IF(H428="LAK",I428*TYGIA_LAK,I428))</f>
        <v/>
      </c>
      <c r="L428" s="22"/>
      <c r="M428" s="22"/>
    </row>
    <row r="429" customFormat="false" ht="15" hidden="false" customHeight="false" outlineLevel="0" collapsed="false">
      <c r="A429" s="24" t="str">
        <f aca="false">IF(C429="","",ROW()-4)</f>
        <v/>
      </c>
      <c r="B429" s="46"/>
      <c r="C429" s="22"/>
      <c r="D429" s="24" t="str">
        <f aca="false">IF(C429="","",IFERROR(INDEX(NV_TEN,MATCH(C429,NV_MA,0)),"MÃ KHÔNG CÓ"))</f>
        <v/>
      </c>
      <c r="E429" s="22"/>
      <c r="F429" s="22"/>
      <c r="G429" s="22"/>
      <c r="H429" s="22"/>
      <c r="I429" s="11"/>
      <c r="J429" s="22"/>
      <c r="K429" s="20" t="str">
        <f aca="false">IF(I429="","",IF(H429="LAK",I429*TYGIA_LAK,I429))</f>
        <v/>
      </c>
      <c r="L429" s="22"/>
      <c r="M429" s="22"/>
    </row>
    <row r="430" customFormat="false" ht="15" hidden="false" customHeight="false" outlineLevel="0" collapsed="false">
      <c r="A430" s="24" t="str">
        <f aca="false">IF(C430="","",ROW()-4)</f>
        <v/>
      </c>
      <c r="B430" s="46"/>
      <c r="C430" s="22"/>
      <c r="D430" s="24" t="str">
        <f aca="false">IF(C430="","",IFERROR(INDEX(NV_TEN,MATCH(C430,NV_MA,0)),"MÃ KHÔNG CÓ"))</f>
        <v/>
      </c>
      <c r="E430" s="22"/>
      <c r="F430" s="22"/>
      <c r="G430" s="22"/>
      <c r="H430" s="22"/>
      <c r="I430" s="11"/>
      <c r="J430" s="22"/>
      <c r="K430" s="20" t="str">
        <f aca="false">IF(I430="","",IF(H430="LAK",I430*TYGIA_LAK,I430))</f>
        <v/>
      </c>
      <c r="L430" s="22"/>
      <c r="M430" s="22"/>
    </row>
    <row r="431" customFormat="false" ht="15" hidden="false" customHeight="false" outlineLevel="0" collapsed="false">
      <c r="A431" s="24" t="str">
        <f aca="false">IF(C431="","",ROW()-4)</f>
        <v/>
      </c>
      <c r="B431" s="46"/>
      <c r="C431" s="22"/>
      <c r="D431" s="24" t="str">
        <f aca="false">IF(C431="","",IFERROR(INDEX(NV_TEN,MATCH(C431,NV_MA,0)),"MÃ KHÔNG CÓ"))</f>
        <v/>
      </c>
      <c r="E431" s="22"/>
      <c r="F431" s="22"/>
      <c r="G431" s="22"/>
      <c r="H431" s="22"/>
      <c r="I431" s="11"/>
      <c r="J431" s="22"/>
      <c r="K431" s="20" t="str">
        <f aca="false">IF(I431="","",IF(H431="LAK",I431*TYGIA_LAK,I431))</f>
        <v/>
      </c>
      <c r="L431" s="22"/>
      <c r="M431" s="22"/>
    </row>
    <row r="432" customFormat="false" ht="15" hidden="false" customHeight="false" outlineLevel="0" collapsed="false">
      <c r="A432" s="24" t="str">
        <f aca="false">IF(C432="","",ROW()-4)</f>
        <v/>
      </c>
      <c r="B432" s="46"/>
      <c r="C432" s="22"/>
      <c r="D432" s="24" t="str">
        <f aca="false">IF(C432="","",IFERROR(INDEX(NV_TEN,MATCH(C432,NV_MA,0)),"MÃ KHÔNG CÓ"))</f>
        <v/>
      </c>
      <c r="E432" s="22"/>
      <c r="F432" s="22"/>
      <c r="G432" s="22"/>
      <c r="H432" s="22"/>
      <c r="I432" s="11"/>
      <c r="J432" s="22"/>
      <c r="K432" s="20" t="str">
        <f aca="false">IF(I432="","",IF(H432="LAK",I432*TYGIA_LAK,I432))</f>
        <v/>
      </c>
      <c r="L432" s="22"/>
      <c r="M432" s="22"/>
    </row>
    <row r="433" customFormat="false" ht="15" hidden="false" customHeight="false" outlineLevel="0" collapsed="false">
      <c r="A433" s="24" t="str">
        <f aca="false">IF(C433="","",ROW()-4)</f>
        <v/>
      </c>
      <c r="B433" s="46"/>
      <c r="C433" s="22"/>
      <c r="D433" s="24" t="str">
        <f aca="false">IF(C433="","",IFERROR(INDEX(NV_TEN,MATCH(C433,NV_MA,0)),"MÃ KHÔNG CÓ"))</f>
        <v/>
      </c>
      <c r="E433" s="22"/>
      <c r="F433" s="22"/>
      <c r="G433" s="22"/>
      <c r="H433" s="22"/>
      <c r="I433" s="11"/>
      <c r="J433" s="22"/>
      <c r="K433" s="20" t="str">
        <f aca="false">IF(I433="","",IF(H433="LAK",I433*TYGIA_LAK,I433))</f>
        <v/>
      </c>
      <c r="L433" s="22"/>
      <c r="M433" s="22"/>
    </row>
    <row r="434" customFormat="false" ht="15" hidden="false" customHeight="false" outlineLevel="0" collapsed="false">
      <c r="A434" s="24" t="str">
        <f aca="false">IF(C434="","",ROW()-4)</f>
        <v/>
      </c>
      <c r="B434" s="46"/>
      <c r="C434" s="22"/>
      <c r="D434" s="24" t="str">
        <f aca="false">IF(C434="","",IFERROR(INDEX(NV_TEN,MATCH(C434,NV_MA,0)),"MÃ KHÔNG CÓ"))</f>
        <v/>
      </c>
      <c r="E434" s="22"/>
      <c r="F434" s="22"/>
      <c r="G434" s="22"/>
      <c r="H434" s="22"/>
      <c r="I434" s="11"/>
      <c r="J434" s="22"/>
      <c r="K434" s="20" t="str">
        <f aca="false">IF(I434="","",IF(H434="LAK",I434*TYGIA_LAK,I434))</f>
        <v/>
      </c>
      <c r="L434" s="22"/>
      <c r="M434" s="22"/>
    </row>
    <row r="435" customFormat="false" ht="15" hidden="false" customHeight="false" outlineLevel="0" collapsed="false">
      <c r="A435" s="24" t="str">
        <f aca="false">IF(C435="","",ROW()-4)</f>
        <v/>
      </c>
      <c r="B435" s="46"/>
      <c r="C435" s="22"/>
      <c r="D435" s="24" t="str">
        <f aca="false">IF(C435="","",IFERROR(INDEX(NV_TEN,MATCH(C435,NV_MA,0)),"MÃ KHÔNG CÓ"))</f>
        <v/>
      </c>
      <c r="E435" s="22"/>
      <c r="F435" s="22"/>
      <c r="G435" s="22"/>
      <c r="H435" s="22"/>
      <c r="I435" s="11"/>
      <c r="J435" s="22"/>
      <c r="K435" s="20" t="str">
        <f aca="false">IF(I435="","",IF(H435="LAK",I435*TYGIA_LAK,I435))</f>
        <v/>
      </c>
      <c r="L435" s="22"/>
      <c r="M435" s="22"/>
    </row>
    <row r="436" customFormat="false" ht="15" hidden="false" customHeight="false" outlineLevel="0" collapsed="false">
      <c r="A436" s="24" t="str">
        <f aca="false">IF(C436="","",ROW()-4)</f>
        <v/>
      </c>
      <c r="B436" s="46"/>
      <c r="C436" s="22"/>
      <c r="D436" s="24" t="str">
        <f aca="false">IF(C436="","",IFERROR(INDEX(NV_TEN,MATCH(C436,NV_MA,0)),"MÃ KHÔNG CÓ"))</f>
        <v/>
      </c>
      <c r="E436" s="22"/>
      <c r="F436" s="22"/>
      <c r="G436" s="22"/>
      <c r="H436" s="22"/>
      <c r="I436" s="11"/>
      <c r="J436" s="22"/>
      <c r="K436" s="20" t="str">
        <f aca="false">IF(I436="","",IF(H436="LAK",I436*TYGIA_LAK,I436))</f>
        <v/>
      </c>
      <c r="L436" s="22"/>
      <c r="M436" s="22"/>
    </row>
    <row r="437" customFormat="false" ht="15" hidden="false" customHeight="false" outlineLevel="0" collapsed="false">
      <c r="A437" s="24" t="str">
        <f aca="false">IF(C437="","",ROW()-4)</f>
        <v/>
      </c>
      <c r="B437" s="46"/>
      <c r="C437" s="22"/>
      <c r="D437" s="24" t="str">
        <f aca="false">IF(C437="","",IFERROR(INDEX(NV_TEN,MATCH(C437,NV_MA,0)),"MÃ KHÔNG CÓ"))</f>
        <v/>
      </c>
      <c r="E437" s="22"/>
      <c r="F437" s="22"/>
      <c r="G437" s="22"/>
      <c r="H437" s="22"/>
      <c r="I437" s="11"/>
      <c r="J437" s="22"/>
      <c r="K437" s="20" t="str">
        <f aca="false">IF(I437="","",IF(H437="LAK",I437*TYGIA_LAK,I437))</f>
        <v/>
      </c>
      <c r="L437" s="22"/>
      <c r="M437" s="22"/>
    </row>
    <row r="438" customFormat="false" ht="15" hidden="false" customHeight="false" outlineLevel="0" collapsed="false">
      <c r="A438" s="24" t="str">
        <f aca="false">IF(C438="","",ROW()-4)</f>
        <v/>
      </c>
      <c r="B438" s="46"/>
      <c r="C438" s="22"/>
      <c r="D438" s="24" t="str">
        <f aca="false">IF(C438="","",IFERROR(INDEX(NV_TEN,MATCH(C438,NV_MA,0)),"MÃ KHÔNG CÓ"))</f>
        <v/>
      </c>
      <c r="E438" s="22"/>
      <c r="F438" s="22"/>
      <c r="G438" s="22"/>
      <c r="H438" s="22"/>
      <c r="I438" s="11"/>
      <c r="J438" s="22"/>
      <c r="K438" s="20" t="str">
        <f aca="false">IF(I438="","",IF(H438="LAK",I438*TYGIA_LAK,I438))</f>
        <v/>
      </c>
      <c r="L438" s="22"/>
      <c r="M438" s="22"/>
    </row>
    <row r="439" customFormat="false" ht="15" hidden="false" customHeight="false" outlineLevel="0" collapsed="false">
      <c r="A439" s="24" t="str">
        <f aca="false">IF(C439="","",ROW()-4)</f>
        <v/>
      </c>
      <c r="B439" s="46"/>
      <c r="C439" s="22"/>
      <c r="D439" s="24" t="str">
        <f aca="false">IF(C439="","",IFERROR(INDEX(NV_TEN,MATCH(C439,NV_MA,0)),"MÃ KHÔNG CÓ"))</f>
        <v/>
      </c>
      <c r="E439" s="22"/>
      <c r="F439" s="22"/>
      <c r="G439" s="22"/>
      <c r="H439" s="22"/>
      <c r="I439" s="11"/>
      <c r="J439" s="22"/>
      <c r="K439" s="20" t="str">
        <f aca="false">IF(I439="","",IF(H439="LAK",I439*TYGIA_LAK,I439))</f>
        <v/>
      </c>
      <c r="L439" s="22"/>
      <c r="M439" s="22"/>
    </row>
    <row r="440" customFormat="false" ht="15" hidden="false" customHeight="false" outlineLevel="0" collapsed="false">
      <c r="A440" s="24" t="str">
        <f aca="false">IF(C440="","",ROW()-4)</f>
        <v/>
      </c>
      <c r="B440" s="46"/>
      <c r="C440" s="22"/>
      <c r="D440" s="24" t="str">
        <f aca="false">IF(C440="","",IFERROR(INDEX(NV_TEN,MATCH(C440,NV_MA,0)),"MÃ KHÔNG CÓ"))</f>
        <v/>
      </c>
      <c r="E440" s="22"/>
      <c r="F440" s="22"/>
      <c r="G440" s="22"/>
      <c r="H440" s="22"/>
      <c r="I440" s="11"/>
      <c r="J440" s="22"/>
      <c r="K440" s="20" t="str">
        <f aca="false">IF(I440="","",IF(H440="LAK",I440*TYGIA_LAK,I440))</f>
        <v/>
      </c>
      <c r="L440" s="22"/>
      <c r="M440" s="22"/>
    </row>
    <row r="441" customFormat="false" ht="15" hidden="false" customHeight="false" outlineLevel="0" collapsed="false">
      <c r="A441" s="24" t="str">
        <f aca="false">IF(C441="","",ROW()-4)</f>
        <v/>
      </c>
      <c r="B441" s="46"/>
      <c r="C441" s="22"/>
      <c r="D441" s="24" t="str">
        <f aca="false">IF(C441="","",IFERROR(INDEX(NV_TEN,MATCH(C441,NV_MA,0)),"MÃ KHÔNG CÓ"))</f>
        <v/>
      </c>
      <c r="E441" s="22"/>
      <c r="F441" s="22"/>
      <c r="G441" s="22"/>
      <c r="H441" s="22"/>
      <c r="I441" s="11"/>
      <c r="J441" s="22"/>
      <c r="K441" s="20" t="str">
        <f aca="false">IF(I441="","",IF(H441="LAK",I441*TYGIA_LAK,I441))</f>
        <v/>
      </c>
      <c r="L441" s="22"/>
      <c r="M441" s="22"/>
    </row>
    <row r="442" customFormat="false" ht="15" hidden="false" customHeight="false" outlineLevel="0" collapsed="false">
      <c r="A442" s="24" t="str">
        <f aca="false">IF(C442="","",ROW()-4)</f>
        <v/>
      </c>
      <c r="B442" s="46"/>
      <c r="C442" s="22"/>
      <c r="D442" s="24" t="str">
        <f aca="false">IF(C442="","",IFERROR(INDEX(NV_TEN,MATCH(C442,NV_MA,0)),"MÃ KHÔNG CÓ"))</f>
        <v/>
      </c>
      <c r="E442" s="22"/>
      <c r="F442" s="22"/>
      <c r="G442" s="22"/>
      <c r="H442" s="22"/>
      <c r="I442" s="11"/>
      <c r="J442" s="22"/>
      <c r="K442" s="20" t="str">
        <f aca="false">IF(I442="","",IF(H442="LAK",I442*TYGIA_LAK,I442))</f>
        <v/>
      </c>
      <c r="L442" s="22"/>
      <c r="M442" s="22"/>
    </row>
    <row r="443" customFormat="false" ht="15" hidden="false" customHeight="false" outlineLevel="0" collapsed="false">
      <c r="A443" s="24" t="str">
        <f aca="false">IF(C443="","",ROW()-4)</f>
        <v/>
      </c>
      <c r="B443" s="46"/>
      <c r="C443" s="22"/>
      <c r="D443" s="24" t="str">
        <f aca="false">IF(C443="","",IFERROR(INDEX(NV_TEN,MATCH(C443,NV_MA,0)),"MÃ KHÔNG CÓ"))</f>
        <v/>
      </c>
      <c r="E443" s="22"/>
      <c r="F443" s="22"/>
      <c r="G443" s="22"/>
      <c r="H443" s="22"/>
      <c r="I443" s="11"/>
      <c r="J443" s="22"/>
      <c r="K443" s="20" t="str">
        <f aca="false">IF(I443="","",IF(H443="LAK",I443*TYGIA_LAK,I443))</f>
        <v/>
      </c>
      <c r="L443" s="22"/>
      <c r="M443" s="22"/>
    </row>
    <row r="444" customFormat="false" ht="15" hidden="false" customHeight="false" outlineLevel="0" collapsed="false">
      <c r="A444" s="24" t="str">
        <f aca="false">IF(C444="","",ROW()-4)</f>
        <v/>
      </c>
      <c r="B444" s="46"/>
      <c r="C444" s="22"/>
      <c r="D444" s="24" t="str">
        <f aca="false">IF(C444="","",IFERROR(INDEX(NV_TEN,MATCH(C444,NV_MA,0)),"MÃ KHÔNG CÓ"))</f>
        <v/>
      </c>
      <c r="E444" s="22"/>
      <c r="F444" s="22"/>
      <c r="G444" s="22"/>
      <c r="H444" s="22"/>
      <c r="I444" s="11"/>
      <c r="J444" s="22"/>
      <c r="K444" s="20" t="str">
        <f aca="false">IF(I444="","",IF(H444="LAK",I444*TYGIA_LAK,I444))</f>
        <v/>
      </c>
      <c r="L444" s="22"/>
      <c r="M444" s="22"/>
    </row>
    <row r="445" customFormat="false" ht="15" hidden="false" customHeight="false" outlineLevel="0" collapsed="false">
      <c r="A445" s="24" t="str">
        <f aca="false">IF(C445="","",ROW()-4)</f>
        <v/>
      </c>
      <c r="B445" s="46"/>
      <c r="C445" s="22"/>
      <c r="D445" s="24" t="str">
        <f aca="false">IF(C445="","",IFERROR(INDEX(NV_TEN,MATCH(C445,NV_MA,0)),"MÃ KHÔNG CÓ"))</f>
        <v/>
      </c>
      <c r="E445" s="22"/>
      <c r="F445" s="22"/>
      <c r="G445" s="22"/>
      <c r="H445" s="22"/>
      <c r="I445" s="11"/>
      <c r="J445" s="22"/>
      <c r="K445" s="20" t="str">
        <f aca="false">IF(I445="","",IF(H445="LAK",I445*TYGIA_LAK,I445))</f>
        <v/>
      </c>
      <c r="L445" s="22"/>
      <c r="M445" s="22"/>
    </row>
    <row r="446" customFormat="false" ht="15" hidden="false" customHeight="false" outlineLevel="0" collapsed="false">
      <c r="A446" s="24" t="str">
        <f aca="false">IF(C446="","",ROW()-4)</f>
        <v/>
      </c>
      <c r="B446" s="46"/>
      <c r="C446" s="22"/>
      <c r="D446" s="24" t="str">
        <f aca="false">IF(C446="","",IFERROR(INDEX(NV_TEN,MATCH(C446,NV_MA,0)),"MÃ KHÔNG CÓ"))</f>
        <v/>
      </c>
      <c r="E446" s="22"/>
      <c r="F446" s="22"/>
      <c r="G446" s="22"/>
      <c r="H446" s="22"/>
      <c r="I446" s="11"/>
      <c r="J446" s="22"/>
      <c r="K446" s="20" t="str">
        <f aca="false">IF(I446="","",IF(H446="LAK",I446*TYGIA_LAK,I446))</f>
        <v/>
      </c>
      <c r="L446" s="22"/>
      <c r="M446" s="22"/>
    </row>
    <row r="447" customFormat="false" ht="15" hidden="false" customHeight="false" outlineLevel="0" collapsed="false">
      <c r="A447" s="24" t="str">
        <f aca="false">IF(C447="","",ROW()-4)</f>
        <v/>
      </c>
      <c r="B447" s="46"/>
      <c r="C447" s="22"/>
      <c r="D447" s="24" t="str">
        <f aca="false">IF(C447="","",IFERROR(INDEX(NV_TEN,MATCH(C447,NV_MA,0)),"MÃ KHÔNG CÓ"))</f>
        <v/>
      </c>
      <c r="E447" s="22"/>
      <c r="F447" s="22"/>
      <c r="G447" s="22"/>
      <c r="H447" s="22"/>
      <c r="I447" s="11"/>
      <c r="J447" s="22"/>
      <c r="K447" s="20" t="str">
        <f aca="false">IF(I447="","",IF(H447="LAK",I447*TYGIA_LAK,I447))</f>
        <v/>
      </c>
      <c r="L447" s="22"/>
      <c r="M447" s="22"/>
    </row>
    <row r="448" customFormat="false" ht="15" hidden="false" customHeight="false" outlineLevel="0" collapsed="false">
      <c r="A448" s="24" t="str">
        <f aca="false">IF(C448="","",ROW()-4)</f>
        <v/>
      </c>
      <c r="B448" s="46"/>
      <c r="C448" s="22"/>
      <c r="D448" s="24" t="str">
        <f aca="false">IF(C448="","",IFERROR(INDEX(NV_TEN,MATCH(C448,NV_MA,0)),"MÃ KHÔNG CÓ"))</f>
        <v/>
      </c>
      <c r="E448" s="22"/>
      <c r="F448" s="22"/>
      <c r="G448" s="22"/>
      <c r="H448" s="22"/>
      <c r="I448" s="11"/>
      <c r="J448" s="22"/>
      <c r="K448" s="20" t="str">
        <f aca="false">IF(I448="","",IF(H448="LAK",I448*TYGIA_LAK,I448))</f>
        <v/>
      </c>
      <c r="L448" s="22"/>
      <c r="M448" s="22"/>
    </row>
    <row r="449" customFormat="false" ht="15" hidden="false" customHeight="false" outlineLevel="0" collapsed="false">
      <c r="A449" s="24" t="str">
        <f aca="false">IF(C449="","",ROW()-4)</f>
        <v/>
      </c>
      <c r="B449" s="46"/>
      <c r="C449" s="22"/>
      <c r="D449" s="24" t="str">
        <f aca="false">IF(C449="","",IFERROR(INDEX(NV_TEN,MATCH(C449,NV_MA,0)),"MÃ KHÔNG CÓ"))</f>
        <v/>
      </c>
      <c r="E449" s="22"/>
      <c r="F449" s="22"/>
      <c r="G449" s="22"/>
      <c r="H449" s="22"/>
      <c r="I449" s="11"/>
      <c r="J449" s="22"/>
      <c r="K449" s="20" t="str">
        <f aca="false">IF(I449="","",IF(H449="LAK",I449*TYGIA_LAK,I449))</f>
        <v/>
      </c>
      <c r="L449" s="22"/>
      <c r="M449" s="22"/>
    </row>
    <row r="450" customFormat="false" ht="15" hidden="false" customHeight="false" outlineLevel="0" collapsed="false">
      <c r="A450" s="24" t="str">
        <f aca="false">IF(C450="","",ROW()-4)</f>
        <v/>
      </c>
      <c r="B450" s="46"/>
      <c r="C450" s="22"/>
      <c r="D450" s="24" t="str">
        <f aca="false">IF(C450="","",IFERROR(INDEX(NV_TEN,MATCH(C450,NV_MA,0)),"MÃ KHÔNG CÓ"))</f>
        <v/>
      </c>
      <c r="E450" s="22"/>
      <c r="F450" s="22"/>
      <c r="G450" s="22"/>
      <c r="H450" s="22"/>
      <c r="I450" s="11"/>
      <c r="J450" s="22"/>
      <c r="K450" s="20" t="str">
        <f aca="false">IF(I450="","",IF(H450="LAK",I450*TYGIA_LAK,I450))</f>
        <v/>
      </c>
      <c r="L450" s="22"/>
      <c r="M450" s="22"/>
    </row>
    <row r="451" customFormat="false" ht="15" hidden="false" customHeight="false" outlineLevel="0" collapsed="false">
      <c r="A451" s="24" t="str">
        <f aca="false">IF(C451="","",ROW()-4)</f>
        <v/>
      </c>
      <c r="B451" s="46"/>
      <c r="C451" s="22"/>
      <c r="D451" s="24" t="str">
        <f aca="false">IF(C451="","",IFERROR(INDEX(NV_TEN,MATCH(C451,NV_MA,0)),"MÃ KHÔNG CÓ"))</f>
        <v/>
      </c>
      <c r="E451" s="22"/>
      <c r="F451" s="22"/>
      <c r="G451" s="22"/>
      <c r="H451" s="22"/>
      <c r="I451" s="11"/>
      <c r="J451" s="22"/>
      <c r="K451" s="20" t="str">
        <f aca="false">IF(I451="","",IF(H451="LAK",I451*TYGIA_LAK,I451))</f>
        <v/>
      </c>
      <c r="L451" s="22"/>
      <c r="M451" s="22"/>
    </row>
    <row r="452" customFormat="false" ht="15" hidden="false" customHeight="false" outlineLevel="0" collapsed="false">
      <c r="A452" s="24" t="str">
        <f aca="false">IF(C452="","",ROW()-4)</f>
        <v/>
      </c>
      <c r="B452" s="46"/>
      <c r="C452" s="22"/>
      <c r="D452" s="24" t="str">
        <f aca="false">IF(C452="","",IFERROR(INDEX(NV_TEN,MATCH(C452,NV_MA,0)),"MÃ KHÔNG CÓ"))</f>
        <v/>
      </c>
      <c r="E452" s="22"/>
      <c r="F452" s="22"/>
      <c r="G452" s="22"/>
      <c r="H452" s="22"/>
      <c r="I452" s="11"/>
      <c r="J452" s="22"/>
      <c r="K452" s="20" t="str">
        <f aca="false">IF(I452="","",IF(H452="LAK",I452*TYGIA_LAK,I452))</f>
        <v/>
      </c>
      <c r="L452" s="22"/>
      <c r="M452" s="22"/>
    </row>
    <row r="453" customFormat="false" ht="15" hidden="false" customHeight="false" outlineLevel="0" collapsed="false">
      <c r="A453" s="24" t="str">
        <f aca="false">IF(C453="","",ROW()-4)</f>
        <v/>
      </c>
      <c r="B453" s="46"/>
      <c r="C453" s="22"/>
      <c r="D453" s="24" t="str">
        <f aca="false">IF(C453="","",IFERROR(INDEX(NV_TEN,MATCH(C453,NV_MA,0)),"MÃ KHÔNG CÓ"))</f>
        <v/>
      </c>
      <c r="E453" s="22"/>
      <c r="F453" s="22"/>
      <c r="G453" s="22"/>
      <c r="H453" s="22"/>
      <c r="I453" s="11"/>
      <c r="J453" s="22"/>
      <c r="K453" s="20" t="str">
        <f aca="false">IF(I453="","",IF(H453="LAK",I453*TYGIA_LAK,I453))</f>
        <v/>
      </c>
      <c r="L453" s="22"/>
      <c r="M453" s="22"/>
    </row>
    <row r="454" customFormat="false" ht="15" hidden="false" customHeight="false" outlineLevel="0" collapsed="false">
      <c r="A454" s="24" t="str">
        <f aca="false">IF(C454="","",ROW()-4)</f>
        <v/>
      </c>
      <c r="B454" s="46"/>
      <c r="C454" s="22"/>
      <c r="D454" s="24" t="str">
        <f aca="false">IF(C454="","",IFERROR(INDEX(NV_TEN,MATCH(C454,NV_MA,0)),"MÃ KHÔNG CÓ"))</f>
        <v/>
      </c>
      <c r="E454" s="22"/>
      <c r="F454" s="22"/>
      <c r="G454" s="22"/>
      <c r="H454" s="22"/>
      <c r="I454" s="11"/>
      <c r="J454" s="22"/>
      <c r="K454" s="20" t="str">
        <f aca="false">IF(I454="","",IF(H454="LAK",I454*TYGIA_LAK,I454))</f>
        <v/>
      </c>
      <c r="L454" s="22"/>
      <c r="M454" s="22"/>
    </row>
    <row r="455" customFormat="false" ht="15" hidden="false" customHeight="false" outlineLevel="0" collapsed="false">
      <c r="A455" s="24" t="str">
        <f aca="false">IF(C455="","",ROW()-4)</f>
        <v/>
      </c>
      <c r="B455" s="46"/>
      <c r="C455" s="22"/>
      <c r="D455" s="24" t="str">
        <f aca="false">IF(C455="","",IFERROR(INDEX(NV_TEN,MATCH(C455,NV_MA,0)),"MÃ KHÔNG CÓ"))</f>
        <v/>
      </c>
      <c r="E455" s="22"/>
      <c r="F455" s="22"/>
      <c r="G455" s="22"/>
      <c r="H455" s="22"/>
      <c r="I455" s="11"/>
      <c r="J455" s="22"/>
      <c r="K455" s="20" t="str">
        <f aca="false">IF(I455="","",IF(H455="LAK",I455*TYGIA_LAK,I455))</f>
        <v/>
      </c>
      <c r="L455" s="22"/>
      <c r="M455" s="22"/>
    </row>
    <row r="456" customFormat="false" ht="15" hidden="false" customHeight="false" outlineLevel="0" collapsed="false">
      <c r="A456" s="24" t="str">
        <f aca="false">IF(C456="","",ROW()-4)</f>
        <v/>
      </c>
      <c r="B456" s="46"/>
      <c r="C456" s="22"/>
      <c r="D456" s="24" t="str">
        <f aca="false">IF(C456="","",IFERROR(INDEX(NV_TEN,MATCH(C456,NV_MA,0)),"MÃ KHÔNG CÓ"))</f>
        <v/>
      </c>
      <c r="E456" s="22"/>
      <c r="F456" s="22"/>
      <c r="G456" s="22"/>
      <c r="H456" s="22"/>
      <c r="I456" s="11"/>
      <c r="J456" s="22"/>
      <c r="K456" s="20" t="str">
        <f aca="false">IF(I456="","",IF(H456="LAK",I456*TYGIA_LAK,I456))</f>
        <v/>
      </c>
      <c r="L456" s="22"/>
      <c r="M456" s="22"/>
    </row>
    <row r="457" customFormat="false" ht="15" hidden="false" customHeight="false" outlineLevel="0" collapsed="false">
      <c r="A457" s="24" t="str">
        <f aca="false">IF(C457="","",ROW()-4)</f>
        <v/>
      </c>
      <c r="B457" s="46"/>
      <c r="C457" s="22"/>
      <c r="D457" s="24" t="str">
        <f aca="false">IF(C457="","",IFERROR(INDEX(NV_TEN,MATCH(C457,NV_MA,0)),"MÃ KHÔNG CÓ"))</f>
        <v/>
      </c>
      <c r="E457" s="22"/>
      <c r="F457" s="22"/>
      <c r="G457" s="22"/>
      <c r="H457" s="22"/>
      <c r="I457" s="11"/>
      <c r="J457" s="22"/>
      <c r="K457" s="20" t="str">
        <f aca="false">IF(I457="","",IF(H457="LAK",I457*TYGIA_LAK,I457))</f>
        <v/>
      </c>
      <c r="L457" s="22"/>
      <c r="M457" s="22"/>
    </row>
    <row r="458" customFormat="false" ht="15" hidden="false" customHeight="false" outlineLevel="0" collapsed="false">
      <c r="A458" s="24" t="str">
        <f aca="false">IF(C458="","",ROW()-4)</f>
        <v/>
      </c>
      <c r="B458" s="46"/>
      <c r="C458" s="22"/>
      <c r="D458" s="24" t="str">
        <f aca="false">IF(C458="","",IFERROR(INDEX(NV_TEN,MATCH(C458,NV_MA,0)),"MÃ KHÔNG CÓ"))</f>
        <v/>
      </c>
      <c r="E458" s="22"/>
      <c r="F458" s="22"/>
      <c r="G458" s="22"/>
      <c r="H458" s="22"/>
      <c r="I458" s="11"/>
      <c r="J458" s="22"/>
      <c r="K458" s="20" t="str">
        <f aca="false">IF(I458="","",IF(H458="LAK",I458*TYGIA_LAK,I458))</f>
        <v/>
      </c>
      <c r="L458" s="22"/>
      <c r="M458" s="22"/>
    </row>
    <row r="459" customFormat="false" ht="15" hidden="false" customHeight="false" outlineLevel="0" collapsed="false">
      <c r="A459" s="24" t="str">
        <f aca="false">IF(C459="","",ROW()-4)</f>
        <v/>
      </c>
      <c r="B459" s="46"/>
      <c r="C459" s="22"/>
      <c r="D459" s="24" t="str">
        <f aca="false">IF(C459="","",IFERROR(INDEX(NV_TEN,MATCH(C459,NV_MA,0)),"MÃ KHÔNG CÓ"))</f>
        <v/>
      </c>
      <c r="E459" s="22"/>
      <c r="F459" s="22"/>
      <c r="G459" s="22"/>
      <c r="H459" s="22"/>
      <c r="I459" s="11"/>
      <c r="J459" s="22"/>
      <c r="K459" s="20" t="str">
        <f aca="false">IF(I459="","",IF(H459="LAK",I459*TYGIA_LAK,I459))</f>
        <v/>
      </c>
      <c r="L459" s="22"/>
      <c r="M459" s="22"/>
    </row>
    <row r="460" customFormat="false" ht="15" hidden="false" customHeight="false" outlineLevel="0" collapsed="false">
      <c r="A460" s="24" t="str">
        <f aca="false">IF(C460="","",ROW()-4)</f>
        <v/>
      </c>
      <c r="B460" s="46"/>
      <c r="C460" s="22"/>
      <c r="D460" s="24" t="str">
        <f aca="false">IF(C460="","",IFERROR(INDEX(NV_TEN,MATCH(C460,NV_MA,0)),"MÃ KHÔNG CÓ"))</f>
        <v/>
      </c>
      <c r="E460" s="22"/>
      <c r="F460" s="22"/>
      <c r="G460" s="22"/>
      <c r="H460" s="22"/>
      <c r="I460" s="11"/>
      <c r="J460" s="22"/>
      <c r="K460" s="20" t="str">
        <f aca="false">IF(I460="","",IF(H460="LAK",I460*TYGIA_LAK,I460))</f>
        <v/>
      </c>
      <c r="L460" s="22"/>
      <c r="M460" s="22"/>
    </row>
    <row r="461" customFormat="false" ht="15" hidden="false" customHeight="false" outlineLevel="0" collapsed="false">
      <c r="A461" s="24" t="str">
        <f aca="false">IF(C461="","",ROW()-4)</f>
        <v/>
      </c>
      <c r="B461" s="46"/>
      <c r="C461" s="22"/>
      <c r="D461" s="24" t="str">
        <f aca="false">IF(C461="","",IFERROR(INDEX(NV_TEN,MATCH(C461,NV_MA,0)),"MÃ KHÔNG CÓ"))</f>
        <v/>
      </c>
      <c r="E461" s="22"/>
      <c r="F461" s="22"/>
      <c r="G461" s="22"/>
      <c r="H461" s="22"/>
      <c r="I461" s="11"/>
      <c r="J461" s="22"/>
      <c r="K461" s="20" t="str">
        <f aca="false">IF(I461="","",IF(H461="LAK",I461*TYGIA_LAK,I461))</f>
        <v/>
      </c>
      <c r="L461" s="22"/>
      <c r="M461" s="22"/>
    </row>
    <row r="462" customFormat="false" ht="15" hidden="false" customHeight="false" outlineLevel="0" collapsed="false">
      <c r="A462" s="24" t="str">
        <f aca="false">IF(C462="","",ROW()-4)</f>
        <v/>
      </c>
      <c r="B462" s="46"/>
      <c r="C462" s="22"/>
      <c r="D462" s="24" t="str">
        <f aca="false">IF(C462="","",IFERROR(INDEX(NV_TEN,MATCH(C462,NV_MA,0)),"MÃ KHÔNG CÓ"))</f>
        <v/>
      </c>
      <c r="E462" s="22"/>
      <c r="F462" s="22"/>
      <c r="G462" s="22"/>
      <c r="H462" s="22"/>
      <c r="I462" s="11"/>
      <c r="J462" s="22"/>
      <c r="K462" s="20" t="str">
        <f aca="false">IF(I462="","",IF(H462="LAK",I462*TYGIA_LAK,I462))</f>
        <v/>
      </c>
      <c r="L462" s="22"/>
      <c r="M462" s="22"/>
    </row>
    <row r="463" customFormat="false" ht="15" hidden="false" customHeight="false" outlineLevel="0" collapsed="false">
      <c r="A463" s="24" t="str">
        <f aca="false">IF(C463="","",ROW()-4)</f>
        <v/>
      </c>
      <c r="B463" s="46"/>
      <c r="C463" s="22"/>
      <c r="D463" s="24" t="str">
        <f aca="false">IF(C463="","",IFERROR(INDEX(NV_TEN,MATCH(C463,NV_MA,0)),"MÃ KHÔNG CÓ"))</f>
        <v/>
      </c>
      <c r="E463" s="22"/>
      <c r="F463" s="22"/>
      <c r="G463" s="22"/>
      <c r="H463" s="22"/>
      <c r="I463" s="11"/>
      <c r="J463" s="22"/>
      <c r="K463" s="20" t="str">
        <f aca="false">IF(I463="","",IF(H463="LAK",I463*TYGIA_LAK,I463))</f>
        <v/>
      </c>
      <c r="L463" s="22"/>
      <c r="M463" s="22"/>
    </row>
    <row r="464" customFormat="false" ht="15" hidden="false" customHeight="false" outlineLevel="0" collapsed="false">
      <c r="A464" s="24" t="str">
        <f aca="false">IF(C464="","",ROW()-4)</f>
        <v/>
      </c>
      <c r="B464" s="46"/>
      <c r="C464" s="22"/>
      <c r="D464" s="24" t="str">
        <f aca="false">IF(C464="","",IFERROR(INDEX(NV_TEN,MATCH(C464,NV_MA,0)),"MÃ KHÔNG CÓ"))</f>
        <v/>
      </c>
      <c r="E464" s="22"/>
      <c r="F464" s="22"/>
      <c r="G464" s="22"/>
      <c r="H464" s="22"/>
      <c r="I464" s="11"/>
      <c r="J464" s="22"/>
      <c r="K464" s="20" t="str">
        <f aca="false">IF(I464="","",IF(H464="LAK",I464*TYGIA_LAK,I464))</f>
        <v/>
      </c>
      <c r="L464" s="22"/>
      <c r="M464" s="22"/>
    </row>
    <row r="465" customFormat="false" ht="15" hidden="false" customHeight="false" outlineLevel="0" collapsed="false">
      <c r="A465" s="24" t="str">
        <f aca="false">IF(C465="","",ROW()-4)</f>
        <v/>
      </c>
      <c r="B465" s="46"/>
      <c r="C465" s="22"/>
      <c r="D465" s="24" t="str">
        <f aca="false">IF(C465="","",IFERROR(INDEX(NV_TEN,MATCH(C465,NV_MA,0)),"MÃ KHÔNG CÓ"))</f>
        <v/>
      </c>
      <c r="E465" s="22"/>
      <c r="F465" s="22"/>
      <c r="G465" s="22"/>
      <c r="H465" s="22"/>
      <c r="I465" s="11"/>
      <c r="J465" s="22"/>
      <c r="K465" s="20" t="str">
        <f aca="false">IF(I465="","",IF(H465="LAK",I465*TYGIA_LAK,I465))</f>
        <v/>
      </c>
      <c r="L465" s="22"/>
      <c r="M465" s="22"/>
    </row>
    <row r="466" customFormat="false" ht="15" hidden="false" customHeight="false" outlineLevel="0" collapsed="false">
      <c r="A466" s="24" t="str">
        <f aca="false">IF(C466="","",ROW()-4)</f>
        <v/>
      </c>
      <c r="B466" s="46"/>
      <c r="C466" s="22"/>
      <c r="D466" s="24" t="str">
        <f aca="false">IF(C466="","",IFERROR(INDEX(NV_TEN,MATCH(C466,NV_MA,0)),"MÃ KHÔNG CÓ"))</f>
        <v/>
      </c>
      <c r="E466" s="22"/>
      <c r="F466" s="22"/>
      <c r="G466" s="22"/>
      <c r="H466" s="22"/>
      <c r="I466" s="11"/>
      <c r="J466" s="22"/>
      <c r="K466" s="20" t="str">
        <f aca="false">IF(I466="","",IF(H466="LAK",I466*TYGIA_LAK,I466))</f>
        <v/>
      </c>
      <c r="L466" s="22"/>
      <c r="M466" s="22"/>
    </row>
    <row r="467" customFormat="false" ht="15" hidden="false" customHeight="false" outlineLevel="0" collapsed="false">
      <c r="A467" s="24" t="str">
        <f aca="false">IF(C467="","",ROW()-4)</f>
        <v/>
      </c>
      <c r="B467" s="46"/>
      <c r="C467" s="22"/>
      <c r="D467" s="24" t="str">
        <f aca="false">IF(C467="","",IFERROR(INDEX(NV_TEN,MATCH(C467,NV_MA,0)),"MÃ KHÔNG CÓ"))</f>
        <v/>
      </c>
      <c r="E467" s="22"/>
      <c r="F467" s="22"/>
      <c r="G467" s="22"/>
      <c r="H467" s="22"/>
      <c r="I467" s="11"/>
      <c r="J467" s="22"/>
      <c r="K467" s="20" t="str">
        <f aca="false">IF(I467="","",IF(H467="LAK",I467*TYGIA_LAK,I467))</f>
        <v/>
      </c>
      <c r="L467" s="22"/>
      <c r="M467" s="22"/>
    </row>
    <row r="468" customFormat="false" ht="15" hidden="false" customHeight="false" outlineLevel="0" collapsed="false">
      <c r="A468" s="24" t="str">
        <f aca="false">IF(C468="","",ROW()-4)</f>
        <v/>
      </c>
      <c r="B468" s="46"/>
      <c r="C468" s="22"/>
      <c r="D468" s="24" t="str">
        <f aca="false">IF(C468="","",IFERROR(INDEX(NV_TEN,MATCH(C468,NV_MA,0)),"MÃ KHÔNG CÓ"))</f>
        <v/>
      </c>
      <c r="E468" s="22"/>
      <c r="F468" s="22"/>
      <c r="G468" s="22"/>
      <c r="H468" s="22"/>
      <c r="I468" s="11"/>
      <c r="J468" s="22"/>
      <c r="K468" s="20" t="str">
        <f aca="false">IF(I468="","",IF(H468="LAK",I468*TYGIA_LAK,I468))</f>
        <v/>
      </c>
      <c r="L468" s="22"/>
      <c r="M468" s="22"/>
    </row>
    <row r="469" customFormat="false" ht="15" hidden="false" customHeight="false" outlineLevel="0" collapsed="false">
      <c r="A469" s="24" t="str">
        <f aca="false">IF(C469="","",ROW()-4)</f>
        <v/>
      </c>
      <c r="B469" s="46"/>
      <c r="C469" s="22"/>
      <c r="D469" s="24" t="str">
        <f aca="false">IF(C469="","",IFERROR(INDEX(NV_TEN,MATCH(C469,NV_MA,0)),"MÃ KHÔNG CÓ"))</f>
        <v/>
      </c>
      <c r="E469" s="22"/>
      <c r="F469" s="22"/>
      <c r="G469" s="22"/>
      <c r="H469" s="22"/>
      <c r="I469" s="11"/>
      <c r="J469" s="22"/>
      <c r="K469" s="20" t="str">
        <f aca="false">IF(I469="","",IF(H469="LAK",I469*TYGIA_LAK,I469))</f>
        <v/>
      </c>
      <c r="L469" s="22"/>
      <c r="M469" s="22"/>
    </row>
    <row r="470" customFormat="false" ht="15" hidden="false" customHeight="false" outlineLevel="0" collapsed="false">
      <c r="A470" s="24" t="str">
        <f aca="false">IF(C470="","",ROW()-4)</f>
        <v/>
      </c>
      <c r="B470" s="46"/>
      <c r="C470" s="22"/>
      <c r="D470" s="24" t="str">
        <f aca="false">IF(C470="","",IFERROR(INDEX(NV_TEN,MATCH(C470,NV_MA,0)),"MÃ KHÔNG CÓ"))</f>
        <v/>
      </c>
      <c r="E470" s="22"/>
      <c r="F470" s="22"/>
      <c r="G470" s="22"/>
      <c r="H470" s="22"/>
      <c r="I470" s="11"/>
      <c r="J470" s="22"/>
      <c r="K470" s="20" t="str">
        <f aca="false">IF(I470="","",IF(H470="LAK",I470*TYGIA_LAK,I470))</f>
        <v/>
      </c>
      <c r="L470" s="22"/>
      <c r="M470" s="22"/>
    </row>
    <row r="471" customFormat="false" ht="15" hidden="false" customHeight="false" outlineLevel="0" collapsed="false">
      <c r="A471" s="24" t="str">
        <f aca="false">IF(C471="","",ROW()-4)</f>
        <v/>
      </c>
      <c r="B471" s="46"/>
      <c r="C471" s="22"/>
      <c r="D471" s="24" t="str">
        <f aca="false">IF(C471="","",IFERROR(INDEX(NV_TEN,MATCH(C471,NV_MA,0)),"MÃ KHÔNG CÓ"))</f>
        <v/>
      </c>
      <c r="E471" s="22"/>
      <c r="F471" s="22"/>
      <c r="G471" s="22"/>
      <c r="H471" s="22"/>
      <c r="I471" s="11"/>
      <c r="J471" s="22"/>
      <c r="K471" s="20" t="str">
        <f aca="false">IF(I471="","",IF(H471="LAK",I471*TYGIA_LAK,I471))</f>
        <v/>
      </c>
      <c r="L471" s="22"/>
      <c r="M471" s="22"/>
    </row>
    <row r="472" customFormat="false" ht="15" hidden="false" customHeight="false" outlineLevel="0" collapsed="false">
      <c r="A472" s="24" t="str">
        <f aca="false">IF(C472="","",ROW()-4)</f>
        <v/>
      </c>
      <c r="B472" s="46"/>
      <c r="C472" s="22"/>
      <c r="D472" s="24" t="str">
        <f aca="false">IF(C472="","",IFERROR(INDEX(NV_TEN,MATCH(C472,NV_MA,0)),"MÃ KHÔNG CÓ"))</f>
        <v/>
      </c>
      <c r="E472" s="22"/>
      <c r="F472" s="22"/>
      <c r="G472" s="22"/>
      <c r="H472" s="22"/>
      <c r="I472" s="11"/>
      <c r="J472" s="22"/>
      <c r="K472" s="20" t="str">
        <f aca="false">IF(I472="","",IF(H472="LAK",I472*TYGIA_LAK,I472))</f>
        <v/>
      </c>
      <c r="L472" s="22"/>
      <c r="M472" s="22"/>
    </row>
    <row r="473" customFormat="false" ht="15" hidden="false" customHeight="false" outlineLevel="0" collapsed="false">
      <c r="A473" s="24" t="str">
        <f aca="false">IF(C473="","",ROW()-4)</f>
        <v/>
      </c>
      <c r="B473" s="46"/>
      <c r="C473" s="22"/>
      <c r="D473" s="24" t="str">
        <f aca="false">IF(C473="","",IFERROR(INDEX(NV_TEN,MATCH(C473,NV_MA,0)),"MÃ KHÔNG CÓ"))</f>
        <v/>
      </c>
      <c r="E473" s="22"/>
      <c r="F473" s="22"/>
      <c r="G473" s="22"/>
      <c r="H473" s="22"/>
      <c r="I473" s="11"/>
      <c r="J473" s="22"/>
      <c r="K473" s="20" t="str">
        <f aca="false">IF(I473="","",IF(H473="LAK",I473*TYGIA_LAK,I473))</f>
        <v/>
      </c>
      <c r="L473" s="22"/>
      <c r="M473" s="22"/>
    </row>
    <row r="474" customFormat="false" ht="15" hidden="false" customHeight="false" outlineLevel="0" collapsed="false">
      <c r="A474" s="24" t="str">
        <f aca="false">IF(C474="","",ROW()-4)</f>
        <v/>
      </c>
      <c r="B474" s="46"/>
      <c r="C474" s="22"/>
      <c r="D474" s="24" t="str">
        <f aca="false">IF(C474="","",IFERROR(INDEX(NV_TEN,MATCH(C474,NV_MA,0)),"MÃ KHÔNG CÓ"))</f>
        <v/>
      </c>
      <c r="E474" s="22"/>
      <c r="F474" s="22"/>
      <c r="G474" s="22"/>
      <c r="H474" s="22"/>
      <c r="I474" s="11"/>
      <c r="J474" s="22"/>
      <c r="K474" s="20" t="str">
        <f aca="false">IF(I474="","",IF(H474="LAK",I474*TYGIA_LAK,I474))</f>
        <v/>
      </c>
      <c r="L474" s="22"/>
      <c r="M474" s="22"/>
    </row>
    <row r="475" customFormat="false" ht="15" hidden="false" customHeight="false" outlineLevel="0" collapsed="false">
      <c r="A475" s="24" t="str">
        <f aca="false">IF(C475="","",ROW()-4)</f>
        <v/>
      </c>
      <c r="B475" s="46"/>
      <c r="C475" s="22"/>
      <c r="D475" s="24" t="str">
        <f aca="false">IF(C475="","",IFERROR(INDEX(NV_TEN,MATCH(C475,NV_MA,0)),"MÃ KHÔNG CÓ"))</f>
        <v/>
      </c>
      <c r="E475" s="22"/>
      <c r="F475" s="22"/>
      <c r="G475" s="22"/>
      <c r="H475" s="22"/>
      <c r="I475" s="11"/>
      <c r="J475" s="22"/>
      <c r="K475" s="20" t="str">
        <f aca="false">IF(I475="","",IF(H475="LAK",I475*TYGIA_LAK,I475))</f>
        <v/>
      </c>
      <c r="L475" s="22"/>
      <c r="M475" s="22"/>
    </row>
    <row r="476" customFormat="false" ht="15" hidden="false" customHeight="false" outlineLevel="0" collapsed="false">
      <c r="A476" s="24" t="str">
        <f aca="false">IF(C476="","",ROW()-4)</f>
        <v/>
      </c>
      <c r="B476" s="46"/>
      <c r="C476" s="22"/>
      <c r="D476" s="24" t="str">
        <f aca="false">IF(C476="","",IFERROR(INDEX(NV_TEN,MATCH(C476,NV_MA,0)),"MÃ KHÔNG CÓ"))</f>
        <v/>
      </c>
      <c r="E476" s="22"/>
      <c r="F476" s="22"/>
      <c r="G476" s="22"/>
      <c r="H476" s="22"/>
      <c r="I476" s="11"/>
      <c r="J476" s="22"/>
      <c r="K476" s="20" t="str">
        <f aca="false">IF(I476="","",IF(H476="LAK",I476*TYGIA_LAK,I476))</f>
        <v/>
      </c>
      <c r="L476" s="22"/>
      <c r="M476" s="22"/>
    </row>
    <row r="477" customFormat="false" ht="15" hidden="false" customHeight="false" outlineLevel="0" collapsed="false">
      <c r="A477" s="24" t="str">
        <f aca="false">IF(C477="","",ROW()-4)</f>
        <v/>
      </c>
      <c r="B477" s="46"/>
      <c r="C477" s="22"/>
      <c r="D477" s="24" t="str">
        <f aca="false">IF(C477="","",IFERROR(INDEX(NV_TEN,MATCH(C477,NV_MA,0)),"MÃ KHÔNG CÓ"))</f>
        <v/>
      </c>
      <c r="E477" s="22"/>
      <c r="F477" s="22"/>
      <c r="G477" s="22"/>
      <c r="H477" s="22"/>
      <c r="I477" s="11"/>
      <c r="J477" s="22"/>
      <c r="K477" s="20" t="str">
        <f aca="false">IF(I477="","",IF(H477="LAK",I477*TYGIA_LAK,I477))</f>
        <v/>
      </c>
      <c r="L477" s="22"/>
      <c r="M477" s="22"/>
    </row>
    <row r="478" customFormat="false" ht="15" hidden="false" customHeight="false" outlineLevel="0" collapsed="false">
      <c r="A478" s="24" t="str">
        <f aca="false">IF(C478="","",ROW()-4)</f>
        <v/>
      </c>
      <c r="B478" s="46"/>
      <c r="C478" s="22"/>
      <c r="D478" s="24" t="str">
        <f aca="false">IF(C478="","",IFERROR(INDEX(NV_TEN,MATCH(C478,NV_MA,0)),"MÃ KHÔNG CÓ"))</f>
        <v/>
      </c>
      <c r="E478" s="22"/>
      <c r="F478" s="22"/>
      <c r="G478" s="22"/>
      <c r="H478" s="22"/>
      <c r="I478" s="11"/>
      <c r="J478" s="22"/>
      <c r="K478" s="20" t="str">
        <f aca="false">IF(I478="","",IF(H478="LAK",I478*TYGIA_LAK,I478))</f>
        <v/>
      </c>
      <c r="L478" s="22"/>
      <c r="M478" s="22"/>
    </row>
    <row r="479" customFormat="false" ht="15" hidden="false" customHeight="false" outlineLevel="0" collapsed="false">
      <c r="A479" s="24" t="str">
        <f aca="false">IF(C479="","",ROW()-4)</f>
        <v/>
      </c>
      <c r="B479" s="46"/>
      <c r="C479" s="22"/>
      <c r="D479" s="24" t="str">
        <f aca="false">IF(C479="","",IFERROR(INDEX(NV_TEN,MATCH(C479,NV_MA,0)),"MÃ KHÔNG CÓ"))</f>
        <v/>
      </c>
      <c r="E479" s="22"/>
      <c r="F479" s="22"/>
      <c r="G479" s="22"/>
      <c r="H479" s="22"/>
      <c r="I479" s="11"/>
      <c r="J479" s="22"/>
      <c r="K479" s="20" t="str">
        <f aca="false">IF(I479="","",IF(H479="LAK",I479*TYGIA_LAK,I479))</f>
        <v/>
      </c>
      <c r="L479" s="22"/>
      <c r="M479" s="22"/>
    </row>
    <row r="480" customFormat="false" ht="15" hidden="false" customHeight="false" outlineLevel="0" collapsed="false">
      <c r="A480" s="24" t="str">
        <f aca="false">IF(C480="","",ROW()-4)</f>
        <v/>
      </c>
      <c r="B480" s="46"/>
      <c r="C480" s="22"/>
      <c r="D480" s="24" t="str">
        <f aca="false">IF(C480="","",IFERROR(INDEX(NV_TEN,MATCH(C480,NV_MA,0)),"MÃ KHÔNG CÓ"))</f>
        <v/>
      </c>
      <c r="E480" s="22"/>
      <c r="F480" s="22"/>
      <c r="G480" s="22"/>
      <c r="H480" s="22"/>
      <c r="I480" s="11"/>
      <c r="J480" s="22"/>
      <c r="K480" s="20" t="str">
        <f aca="false">IF(I480="","",IF(H480="LAK",I480*TYGIA_LAK,I480))</f>
        <v/>
      </c>
      <c r="L480" s="22"/>
      <c r="M480" s="22"/>
    </row>
    <row r="481" customFormat="false" ht="15" hidden="false" customHeight="false" outlineLevel="0" collapsed="false">
      <c r="A481" s="24" t="str">
        <f aca="false">IF(C481="","",ROW()-4)</f>
        <v/>
      </c>
      <c r="B481" s="46"/>
      <c r="C481" s="22"/>
      <c r="D481" s="24" t="str">
        <f aca="false">IF(C481="","",IFERROR(INDEX(NV_TEN,MATCH(C481,NV_MA,0)),"MÃ KHÔNG CÓ"))</f>
        <v/>
      </c>
      <c r="E481" s="22"/>
      <c r="F481" s="22"/>
      <c r="G481" s="22"/>
      <c r="H481" s="22"/>
      <c r="I481" s="11"/>
      <c r="J481" s="22"/>
      <c r="K481" s="20" t="str">
        <f aca="false">IF(I481="","",IF(H481="LAK",I481*TYGIA_LAK,I481))</f>
        <v/>
      </c>
      <c r="L481" s="22"/>
      <c r="M481" s="22"/>
    </row>
    <row r="482" customFormat="false" ht="15" hidden="false" customHeight="false" outlineLevel="0" collapsed="false">
      <c r="A482" s="24" t="str">
        <f aca="false">IF(C482="","",ROW()-4)</f>
        <v/>
      </c>
      <c r="B482" s="46"/>
      <c r="C482" s="22"/>
      <c r="D482" s="24" t="str">
        <f aca="false">IF(C482="","",IFERROR(INDEX(NV_TEN,MATCH(C482,NV_MA,0)),"MÃ KHÔNG CÓ"))</f>
        <v/>
      </c>
      <c r="E482" s="22"/>
      <c r="F482" s="22"/>
      <c r="G482" s="22"/>
      <c r="H482" s="22"/>
      <c r="I482" s="11"/>
      <c r="J482" s="22"/>
      <c r="K482" s="20" t="str">
        <f aca="false">IF(I482="","",IF(H482="LAK",I482*TYGIA_LAK,I482))</f>
        <v/>
      </c>
      <c r="L482" s="22"/>
      <c r="M482" s="22"/>
    </row>
    <row r="483" customFormat="false" ht="15" hidden="false" customHeight="false" outlineLevel="0" collapsed="false">
      <c r="A483" s="24" t="str">
        <f aca="false">IF(C483="","",ROW()-4)</f>
        <v/>
      </c>
      <c r="B483" s="46"/>
      <c r="C483" s="22"/>
      <c r="D483" s="24" t="str">
        <f aca="false">IF(C483="","",IFERROR(INDEX(NV_TEN,MATCH(C483,NV_MA,0)),"MÃ KHÔNG CÓ"))</f>
        <v/>
      </c>
      <c r="E483" s="22"/>
      <c r="F483" s="22"/>
      <c r="G483" s="22"/>
      <c r="H483" s="22"/>
      <c r="I483" s="11"/>
      <c r="J483" s="22"/>
      <c r="K483" s="20" t="str">
        <f aca="false">IF(I483="","",IF(H483="LAK",I483*TYGIA_LAK,I483))</f>
        <v/>
      </c>
      <c r="L483" s="22"/>
      <c r="M483" s="22"/>
    </row>
    <row r="484" customFormat="false" ht="15" hidden="false" customHeight="false" outlineLevel="0" collapsed="false">
      <c r="A484" s="24" t="str">
        <f aca="false">IF(C484="","",ROW()-4)</f>
        <v/>
      </c>
      <c r="B484" s="46"/>
      <c r="C484" s="22"/>
      <c r="D484" s="24" t="str">
        <f aca="false">IF(C484="","",IFERROR(INDEX(NV_TEN,MATCH(C484,NV_MA,0)),"MÃ KHÔNG CÓ"))</f>
        <v/>
      </c>
      <c r="E484" s="22"/>
      <c r="F484" s="22"/>
      <c r="G484" s="22"/>
      <c r="H484" s="22"/>
      <c r="I484" s="11"/>
      <c r="J484" s="22"/>
      <c r="K484" s="20" t="str">
        <f aca="false">IF(I484="","",IF(H484="LAK",I484*TYGIA_LAK,I484))</f>
        <v/>
      </c>
      <c r="L484" s="22"/>
      <c r="M484" s="22"/>
    </row>
    <row r="485" customFormat="false" ht="15" hidden="false" customHeight="false" outlineLevel="0" collapsed="false">
      <c r="A485" s="24" t="str">
        <f aca="false">IF(C485="","",ROW()-4)</f>
        <v/>
      </c>
      <c r="B485" s="46"/>
      <c r="C485" s="22"/>
      <c r="D485" s="24" t="str">
        <f aca="false">IF(C485="","",IFERROR(INDEX(NV_TEN,MATCH(C485,NV_MA,0)),"MÃ KHÔNG CÓ"))</f>
        <v/>
      </c>
      <c r="E485" s="22"/>
      <c r="F485" s="22"/>
      <c r="G485" s="22"/>
      <c r="H485" s="22"/>
      <c r="I485" s="11"/>
      <c r="J485" s="22"/>
      <c r="K485" s="20" t="str">
        <f aca="false">IF(I485="","",IF(H485="LAK",I485*TYGIA_LAK,I485))</f>
        <v/>
      </c>
      <c r="L485" s="22"/>
      <c r="M485" s="22"/>
    </row>
    <row r="486" customFormat="false" ht="15" hidden="false" customHeight="false" outlineLevel="0" collapsed="false">
      <c r="A486" s="24" t="str">
        <f aca="false">IF(C486="","",ROW()-4)</f>
        <v/>
      </c>
      <c r="B486" s="46"/>
      <c r="C486" s="22"/>
      <c r="D486" s="24" t="str">
        <f aca="false">IF(C486="","",IFERROR(INDEX(NV_TEN,MATCH(C486,NV_MA,0)),"MÃ KHÔNG CÓ"))</f>
        <v/>
      </c>
      <c r="E486" s="22"/>
      <c r="F486" s="22"/>
      <c r="G486" s="22"/>
      <c r="H486" s="22"/>
      <c r="I486" s="11"/>
      <c r="J486" s="22"/>
      <c r="K486" s="20" t="str">
        <f aca="false">IF(I486="","",IF(H486="LAK",I486*TYGIA_LAK,I486))</f>
        <v/>
      </c>
      <c r="L486" s="22"/>
      <c r="M486" s="22"/>
    </row>
    <row r="487" customFormat="false" ht="15" hidden="false" customHeight="false" outlineLevel="0" collapsed="false">
      <c r="A487" s="24" t="str">
        <f aca="false">IF(C487="","",ROW()-4)</f>
        <v/>
      </c>
      <c r="B487" s="46"/>
      <c r="C487" s="22"/>
      <c r="D487" s="24" t="str">
        <f aca="false">IF(C487="","",IFERROR(INDEX(NV_TEN,MATCH(C487,NV_MA,0)),"MÃ KHÔNG CÓ"))</f>
        <v/>
      </c>
      <c r="E487" s="22"/>
      <c r="F487" s="22"/>
      <c r="G487" s="22"/>
      <c r="H487" s="22"/>
      <c r="I487" s="11"/>
      <c r="J487" s="22"/>
      <c r="K487" s="20" t="str">
        <f aca="false">IF(I487="","",IF(H487="LAK",I487*TYGIA_LAK,I487))</f>
        <v/>
      </c>
      <c r="L487" s="22"/>
      <c r="M487" s="22"/>
    </row>
    <row r="488" customFormat="false" ht="15" hidden="false" customHeight="false" outlineLevel="0" collapsed="false">
      <c r="A488" s="24" t="str">
        <f aca="false">IF(C488="","",ROW()-4)</f>
        <v/>
      </c>
      <c r="B488" s="46"/>
      <c r="C488" s="22"/>
      <c r="D488" s="24" t="str">
        <f aca="false">IF(C488="","",IFERROR(INDEX(NV_TEN,MATCH(C488,NV_MA,0)),"MÃ KHÔNG CÓ"))</f>
        <v/>
      </c>
      <c r="E488" s="22"/>
      <c r="F488" s="22"/>
      <c r="G488" s="22"/>
      <c r="H488" s="22"/>
      <c r="I488" s="11"/>
      <c r="J488" s="22"/>
      <c r="K488" s="20" t="str">
        <f aca="false">IF(I488="","",IF(H488="LAK",I488*TYGIA_LAK,I488))</f>
        <v/>
      </c>
      <c r="L488" s="22"/>
      <c r="M488" s="22"/>
    </row>
    <row r="489" customFormat="false" ht="15" hidden="false" customHeight="false" outlineLevel="0" collapsed="false">
      <c r="A489" s="24" t="str">
        <f aca="false">IF(C489="","",ROW()-4)</f>
        <v/>
      </c>
      <c r="B489" s="46"/>
      <c r="C489" s="22"/>
      <c r="D489" s="24" t="str">
        <f aca="false">IF(C489="","",IFERROR(INDEX(NV_TEN,MATCH(C489,NV_MA,0)),"MÃ KHÔNG CÓ"))</f>
        <v/>
      </c>
      <c r="E489" s="22"/>
      <c r="F489" s="22"/>
      <c r="G489" s="22"/>
      <c r="H489" s="22"/>
      <c r="I489" s="11"/>
      <c r="J489" s="22"/>
      <c r="K489" s="20" t="str">
        <f aca="false">IF(I489="","",IF(H489="LAK",I489*TYGIA_LAK,I489))</f>
        <v/>
      </c>
      <c r="L489" s="22"/>
      <c r="M489" s="22"/>
    </row>
    <row r="490" customFormat="false" ht="15" hidden="false" customHeight="false" outlineLevel="0" collapsed="false">
      <c r="A490" s="24" t="str">
        <f aca="false">IF(C490="","",ROW()-4)</f>
        <v/>
      </c>
      <c r="B490" s="46"/>
      <c r="C490" s="22"/>
      <c r="D490" s="24" t="str">
        <f aca="false">IF(C490="","",IFERROR(INDEX(NV_TEN,MATCH(C490,NV_MA,0)),"MÃ KHÔNG CÓ"))</f>
        <v/>
      </c>
      <c r="E490" s="22"/>
      <c r="F490" s="22"/>
      <c r="G490" s="22"/>
      <c r="H490" s="22"/>
      <c r="I490" s="11"/>
      <c r="J490" s="22"/>
      <c r="K490" s="20" t="str">
        <f aca="false">IF(I490="","",IF(H490="LAK",I490*TYGIA_LAK,I490))</f>
        <v/>
      </c>
      <c r="L490" s="22"/>
      <c r="M490" s="22"/>
    </row>
    <row r="491" customFormat="false" ht="15" hidden="false" customHeight="false" outlineLevel="0" collapsed="false">
      <c r="A491" s="24" t="str">
        <f aca="false">IF(C491="","",ROW()-4)</f>
        <v/>
      </c>
      <c r="B491" s="46"/>
      <c r="C491" s="22"/>
      <c r="D491" s="24" t="str">
        <f aca="false">IF(C491="","",IFERROR(INDEX(NV_TEN,MATCH(C491,NV_MA,0)),"MÃ KHÔNG CÓ"))</f>
        <v/>
      </c>
      <c r="E491" s="22"/>
      <c r="F491" s="22"/>
      <c r="G491" s="22"/>
      <c r="H491" s="22"/>
      <c r="I491" s="11"/>
      <c r="J491" s="22"/>
      <c r="K491" s="20" t="str">
        <f aca="false">IF(I491="","",IF(H491="LAK",I491*TYGIA_LAK,I491))</f>
        <v/>
      </c>
      <c r="L491" s="22"/>
      <c r="M491" s="22"/>
    </row>
    <row r="492" customFormat="false" ht="15" hidden="false" customHeight="false" outlineLevel="0" collapsed="false">
      <c r="A492" s="24" t="str">
        <f aca="false">IF(C492="","",ROW()-4)</f>
        <v/>
      </c>
      <c r="B492" s="46"/>
      <c r="C492" s="22"/>
      <c r="D492" s="24" t="str">
        <f aca="false">IF(C492="","",IFERROR(INDEX(NV_TEN,MATCH(C492,NV_MA,0)),"MÃ KHÔNG CÓ"))</f>
        <v/>
      </c>
      <c r="E492" s="22"/>
      <c r="F492" s="22"/>
      <c r="G492" s="22"/>
      <c r="H492" s="22"/>
      <c r="I492" s="11"/>
      <c r="J492" s="22"/>
      <c r="K492" s="20" t="str">
        <f aca="false">IF(I492="","",IF(H492="LAK",I492*TYGIA_LAK,I492))</f>
        <v/>
      </c>
      <c r="L492" s="22"/>
      <c r="M492" s="22"/>
    </row>
    <row r="493" customFormat="false" ht="15" hidden="false" customHeight="false" outlineLevel="0" collapsed="false">
      <c r="A493" s="24" t="str">
        <f aca="false">IF(C493="","",ROW()-4)</f>
        <v/>
      </c>
      <c r="B493" s="46"/>
      <c r="C493" s="22"/>
      <c r="D493" s="24" t="str">
        <f aca="false">IF(C493="","",IFERROR(INDEX(NV_TEN,MATCH(C493,NV_MA,0)),"MÃ KHÔNG CÓ"))</f>
        <v/>
      </c>
      <c r="E493" s="22"/>
      <c r="F493" s="22"/>
      <c r="G493" s="22"/>
      <c r="H493" s="22"/>
      <c r="I493" s="11"/>
      <c r="J493" s="22"/>
      <c r="K493" s="20" t="str">
        <f aca="false">IF(I493="","",IF(H493="LAK",I493*TYGIA_LAK,I493))</f>
        <v/>
      </c>
      <c r="L493" s="22"/>
      <c r="M493" s="22"/>
    </row>
    <row r="494" customFormat="false" ht="15" hidden="false" customHeight="false" outlineLevel="0" collapsed="false">
      <c r="A494" s="24" t="str">
        <f aca="false">IF(C494="","",ROW()-4)</f>
        <v/>
      </c>
      <c r="B494" s="46"/>
      <c r="C494" s="22"/>
      <c r="D494" s="24" t="str">
        <f aca="false">IF(C494="","",IFERROR(INDEX(NV_TEN,MATCH(C494,NV_MA,0)),"MÃ KHÔNG CÓ"))</f>
        <v/>
      </c>
      <c r="E494" s="22"/>
      <c r="F494" s="22"/>
      <c r="G494" s="22"/>
      <c r="H494" s="22"/>
      <c r="I494" s="11"/>
      <c r="J494" s="22"/>
      <c r="K494" s="20" t="str">
        <f aca="false">IF(I494="","",IF(H494="LAK",I494*TYGIA_LAK,I494))</f>
        <v/>
      </c>
      <c r="L494" s="22"/>
      <c r="M494" s="22"/>
    </row>
    <row r="495" customFormat="false" ht="15" hidden="false" customHeight="false" outlineLevel="0" collapsed="false">
      <c r="A495" s="24" t="str">
        <f aca="false">IF(C495="","",ROW()-4)</f>
        <v/>
      </c>
      <c r="B495" s="46"/>
      <c r="C495" s="22"/>
      <c r="D495" s="24" t="str">
        <f aca="false">IF(C495="","",IFERROR(INDEX(NV_TEN,MATCH(C495,NV_MA,0)),"MÃ KHÔNG CÓ"))</f>
        <v/>
      </c>
      <c r="E495" s="22"/>
      <c r="F495" s="22"/>
      <c r="G495" s="22"/>
      <c r="H495" s="22"/>
      <c r="I495" s="11"/>
      <c r="J495" s="22"/>
      <c r="K495" s="20" t="str">
        <f aca="false">IF(I495="","",IF(H495="LAK",I495*TYGIA_LAK,I495))</f>
        <v/>
      </c>
      <c r="L495" s="22"/>
      <c r="M495" s="22"/>
    </row>
    <row r="496" customFormat="false" ht="15" hidden="false" customHeight="false" outlineLevel="0" collapsed="false">
      <c r="A496" s="24" t="str">
        <f aca="false">IF(C496="","",ROW()-4)</f>
        <v/>
      </c>
      <c r="B496" s="46"/>
      <c r="C496" s="22"/>
      <c r="D496" s="24" t="str">
        <f aca="false">IF(C496="","",IFERROR(INDEX(NV_TEN,MATCH(C496,NV_MA,0)),"MÃ KHÔNG CÓ"))</f>
        <v/>
      </c>
      <c r="E496" s="22"/>
      <c r="F496" s="22"/>
      <c r="G496" s="22"/>
      <c r="H496" s="22"/>
      <c r="I496" s="11"/>
      <c r="J496" s="22"/>
      <c r="K496" s="20" t="str">
        <f aca="false">IF(I496="","",IF(H496="LAK",I496*TYGIA_LAK,I496))</f>
        <v/>
      </c>
      <c r="L496" s="22"/>
      <c r="M496" s="22"/>
    </row>
    <row r="497" customFormat="false" ht="15" hidden="false" customHeight="false" outlineLevel="0" collapsed="false">
      <c r="A497" s="24" t="str">
        <f aca="false">IF(C497="","",ROW()-4)</f>
        <v/>
      </c>
      <c r="B497" s="46"/>
      <c r="C497" s="22"/>
      <c r="D497" s="24" t="str">
        <f aca="false">IF(C497="","",IFERROR(INDEX(NV_TEN,MATCH(C497,NV_MA,0)),"MÃ KHÔNG CÓ"))</f>
        <v/>
      </c>
      <c r="E497" s="22"/>
      <c r="F497" s="22"/>
      <c r="G497" s="22"/>
      <c r="H497" s="22"/>
      <c r="I497" s="11"/>
      <c r="J497" s="22"/>
      <c r="K497" s="20" t="str">
        <f aca="false">IF(I497="","",IF(H497="LAK",I497*TYGIA_LAK,I497))</f>
        <v/>
      </c>
      <c r="L497" s="22"/>
      <c r="M497" s="22"/>
    </row>
    <row r="498" customFormat="false" ht="15" hidden="false" customHeight="false" outlineLevel="0" collapsed="false">
      <c r="A498" s="24" t="str">
        <f aca="false">IF(C498="","",ROW()-4)</f>
        <v/>
      </c>
      <c r="B498" s="46"/>
      <c r="C498" s="22"/>
      <c r="D498" s="24" t="str">
        <f aca="false">IF(C498="","",IFERROR(INDEX(NV_TEN,MATCH(C498,NV_MA,0)),"MÃ KHÔNG CÓ"))</f>
        <v/>
      </c>
      <c r="E498" s="22"/>
      <c r="F498" s="22"/>
      <c r="G498" s="22"/>
      <c r="H498" s="22"/>
      <c r="I498" s="11"/>
      <c r="J498" s="22"/>
      <c r="K498" s="20" t="str">
        <f aca="false">IF(I498="","",IF(H498="LAK",I498*TYGIA_LAK,I498))</f>
        <v/>
      </c>
      <c r="L498" s="22"/>
      <c r="M498" s="22"/>
    </row>
    <row r="499" customFormat="false" ht="15" hidden="false" customHeight="false" outlineLevel="0" collapsed="false">
      <c r="A499" s="24" t="str">
        <f aca="false">IF(C499="","",ROW()-4)</f>
        <v/>
      </c>
      <c r="B499" s="46"/>
      <c r="C499" s="22"/>
      <c r="D499" s="24" t="str">
        <f aca="false">IF(C499="","",IFERROR(INDEX(NV_TEN,MATCH(C499,NV_MA,0)),"MÃ KHÔNG CÓ"))</f>
        <v/>
      </c>
      <c r="E499" s="22"/>
      <c r="F499" s="22"/>
      <c r="G499" s="22"/>
      <c r="H499" s="22"/>
      <c r="I499" s="11"/>
      <c r="J499" s="22"/>
      <c r="K499" s="20" t="str">
        <f aca="false">IF(I499="","",IF(H499="LAK",I499*TYGIA_LAK,I499))</f>
        <v/>
      </c>
      <c r="L499" s="22"/>
      <c r="M499" s="22"/>
    </row>
  </sheetData>
  <sheetProtection sheet="true" formatColumns="false" formatRows="false" insertRows="false" sort="false" autoFilter="false"/>
  <dataValidations count="4">
    <dataValidation allowBlank="true" errorStyle="stop" operator="between" showDropDown="false" showErrorMessage="false" showInputMessage="false" sqref="G5:G600" type="list">
      <formula1>"Tạm ứng,Chi phí"</formula1>
      <formula2>0</formula2>
    </dataValidation>
    <dataValidation allowBlank="true" errorStyle="stop" operator="between" showDropDown="false" showErrorMessage="false" showInputMessage="false" sqref="H5:H600" type="list">
      <formula1>"VND,LAK"</formula1>
      <formula2>0</formula2>
    </dataValidation>
    <dataValidation allowBlank="true" errorStyle="stop" operator="between" showDropDown="false" showErrorMessage="false" showInputMessage="false" sqref="J5:J600" type="list">
      <formula1>"Có,Không"</formula1>
      <formula2>0</formula2>
    </dataValidation>
    <dataValidation allowBlank="true" errorStyle="stop" operator="between" showDropDown="false" showErrorMessage="false" showInputMessage="false" sqref="L5:L600" type="list">
      <formula1>"v,x"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1" min="10" style="0" width="12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18" min="18" style="0" width="40"/>
  </cols>
  <sheetData>
    <row r="1" customFormat="false" ht="17.35" hidden="false" customHeight="false" outlineLevel="0" collapsed="false">
      <c r="A1" s="1" t="s">
        <v>537</v>
      </c>
    </row>
    <row r="2" customFormat="false" ht="15" hidden="false" customHeight="false" outlineLevel="0" collapsed="false">
      <c r="A2" s="2" t="s">
        <v>538</v>
      </c>
    </row>
    <row r="4" customFormat="false" ht="48" hidden="false" customHeight="true" outlineLevel="0" collapsed="false">
      <c r="A4" s="18" t="s">
        <v>108</v>
      </c>
      <c r="B4" s="18" t="s">
        <v>109</v>
      </c>
      <c r="C4" s="18" t="s">
        <v>539</v>
      </c>
      <c r="D4" s="18" t="s">
        <v>402</v>
      </c>
      <c r="E4" s="18" t="s">
        <v>540</v>
      </c>
      <c r="F4" s="18" t="s">
        <v>417</v>
      </c>
      <c r="G4" s="18" t="s">
        <v>418</v>
      </c>
      <c r="H4" s="18" t="s">
        <v>541</v>
      </c>
      <c r="I4" s="18" t="s">
        <v>542</v>
      </c>
      <c r="J4" s="18" t="s">
        <v>543</v>
      </c>
      <c r="K4" s="18" t="s">
        <v>544</v>
      </c>
      <c r="L4" s="18" t="s">
        <v>545</v>
      </c>
      <c r="M4" s="18" t="s">
        <v>546</v>
      </c>
      <c r="N4" s="18" t="s">
        <v>547</v>
      </c>
      <c r="O4" s="18" t="s">
        <v>548</v>
      </c>
      <c r="P4" s="18" t="s">
        <v>549</v>
      </c>
      <c r="Q4" s="18" t="s">
        <v>550</v>
      </c>
      <c r="R4" s="18" t="s">
        <v>117</v>
      </c>
    </row>
    <row r="5" customFormat="false" ht="15" hidden="false" customHeight="false" outlineLevel="0" collapsed="false">
      <c r="A5" s="24" t="n">
        <v>1</v>
      </c>
      <c r="B5" s="22" t="s">
        <v>221</v>
      </c>
      <c r="C5" s="24" t="str">
        <f aca="false">IFERROR(INDEX(NV_TEN,MATCH(B5,NV_MA,0)),"MÃ KHÔNG CÓ")</f>
        <v>Hoàng Hòa</v>
      </c>
      <c r="D5" s="24" t="n">
        <f aca="false">COUNTIF(XC_MA,B5)</f>
        <v>4</v>
      </c>
      <c r="E5" s="24" t="n">
        <f aca="false">SUMIFS(XC_NGAY,XC_MA,B5)</f>
        <v>10</v>
      </c>
      <c r="F5" s="20" t="n">
        <f aca="false">SUMIFS(XC_DG,XC_MA,B5)</f>
        <v>12400000</v>
      </c>
      <c r="G5" s="20" t="n">
        <f aca="false">SUMIFS(XC_HTVUOT,XC_MA,B5)</f>
        <v>0</v>
      </c>
      <c r="H5" s="20" t="n">
        <f aca="false">SUMIFS(XC_LUONG,XC_MA,B5)-F5-G5</f>
        <v>0</v>
      </c>
      <c r="I5" s="37" t="n">
        <f aca="false">SUMIFS(XC_LUONG,XC_MA,B5)</f>
        <v>12400000</v>
      </c>
      <c r="J5" s="20" t="n">
        <f aca="false">SUMIFS(CP_SOTIEN,CP_MA,B5,CP_LOAI,"Tạm ứng",CP_TT,"VND")</f>
        <v>0</v>
      </c>
      <c r="K5" s="20" t="n">
        <f aca="false">SUMIFS(CP_SOTIEN,CP_MA,B5,CP_LOAI,"Tạm ứng",CP_TT,"LAK")</f>
        <v>5000000</v>
      </c>
      <c r="L5" s="20" t="n">
        <f aca="false">SUMIFS(CP_VND,CP_MA,B5,CP_LOAI,"Chi phí",CP_DUOCTINH,"Có")</f>
        <v>25082500</v>
      </c>
      <c r="M5" s="20" t="n">
        <f aca="false">SUMIFS(CP_VND,CP_MA,B5,CP_LOAI,"Chi phí",CP_DUOCTINH,"Không")</f>
        <v>150000</v>
      </c>
      <c r="N5" s="20" t="n">
        <f aca="false">J5+K5*TYGIA_LAK-L5</f>
        <v>-19332500</v>
      </c>
      <c r="O5" s="11" t="n">
        <v>4163000</v>
      </c>
      <c r="P5" s="20" t="n">
        <f aca="false">O5*BHXH_NLD</f>
        <v>437115</v>
      </c>
      <c r="Q5" s="37" t="n">
        <f aca="false">ROUNDDOWN(I5-P5,-3)</f>
        <v>11962000</v>
      </c>
      <c r="R5" s="47" t="s">
        <v>551</v>
      </c>
    </row>
    <row r="6" customFormat="false" ht="15" hidden="false" customHeight="false" outlineLevel="0" collapsed="false">
      <c r="A6" s="24" t="n">
        <v>2</v>
      </c>
      <c r="B6" s="22" t="s">
        <v>227</v>
      </c>
      <c r="C6" s="24" t="str">
        <f aca="false">IFERROR(INDEX(NV_TEN,MATCH(B6,NV_MA,0)),"MÃ KHÔNG CÓ")</f>
        <v>Bùi Văn Nghĩa</v>
      </c>
      <c r="D6" s="24" t="n">
        <f aca="false">COUNTIF(XC_MA,B6)</f>
        <v>4</v>
      </c>
      <c r="E6" s="24" t="n">
        <f aca="false">SUMIFS(XC_NGAY,XC_MA,B6)</f>
        <v>11</v>
      </c>
      <c r="F6" s="20" t="n">
        <f aca="false">SUMIFS(XC_DG,XC_MA,B6)</f>
        <v>12700000</v>
      </c>
      <c r="G6" s="20" t="n">
        <f aca="false">SUMIFS(XC_HTVUOT,XC_MA,B6)</f>
        <v>600000</v>
      </c>
      <c r="H6" s="20" t="n">
        <f aca="false">SUMIFS(XC_LUONG,XC_MA,B6)-F6-G6</f>
        <v>0</v>
      </c>
      <c r="I6" s="37" t="n">
        <f aca="false">SUMIFS(XC_LUONG,XC_MA,B6)</f>
        <v>13300000</v>
      </c>
      <c r="J6" s="20" t="n">
        <f aca="false">SUMIFS(CP_SOTIEN,CP_MA,B6,CP_LOAI,"Tạm ứng",CP_TT,"VND")</f>
        <v>12000000</v>
      </c>
      <c r="K6" s="20" t="n">
        <f aca="false">SUMIFS(CP_SOTIEN,CP_MA,B6,CP_LOAI,"Tạm ứng",CP_TT,"LAK")</f>
        <v>7000000</v>
      </c>
      <c r="L6" s="20" t="n">
        <f aca="false">SUMIFS(CP_VND,CP_MA,B6,CP_LOAI,"Chi phí",CP_DUOCTINH,"Có")</f>
        <v>13522000</v>
      </c>
      <c r="M6" s="20" t="n">
        <f aca="false">SUMIFS(CP_VND,CP_MA,B6,CP_LOAI,"Chi phí",CP_DUOCTINH,"Không")</f>
        <v>0</v>
      </c>
      <c r="N6" s="20" t="n">
        <f aca="false">J6+K6*TYGIA_LAK-L6</f>
        <v>6528000</v>
      </c>
      <c r="O6" s="11" t="n">
        <v>4163000</v>
      </c>
      <c r="P6" s="20" t="n">
        <f aca="false">O6*BHXH_NLD</f>
        <v>437115</v>
      </c>
      <c r="Q6" s="37" t="n">
        <f aca="false">ROUNDDOWN(I6-P6,-3)</f>
        <v>12862000</v>
      </c>
      <c r="R6" s="47" t="s">
        <v>551</v>
      </c>
    </row>
    <row r="7" customFormat="false" ht="15" hidden="false" customHeight="false" outlineLevel="0" collapsed="false">
      <c r="A7" s="24" t="n">
        <v>3</v>
      </c>
      <c r="B7" s="22" t="s">
        <v>229</v>
      </c>
      <c r="C7" s="24" t="str">
        <f aca="false">IFERROR(INDEX(NV_TEN,MATCH(B7,NV_MA,0)),"MÃ KHÔNG CÓ")</f>
        <v>Nguyễn Hữu Mạnh Cường</v>
      </c>
      <c r="D7" s="24" t="n">
        <f aca="false">COUNTIF(XC_MA,B7)</f>
        <v>8</v>
      </c>
      <c r="E7" s="24" t="n">
        <f aca="false">SUMIFS(XC_NGAY,XC_MA,B7)</f>
        <v>11</v>
      </c>
      <c r="F7" s="20" t="n">
        <f aca="false">SUMIFS(XC_DG,XC_MA,B7)</f>
        <v>11200000</v>
      </c>
      <c r="G7" s="20" t="n">
        <f aca="false">SUMIFS(XC_HTVUOT,XC_MA,B7)</f>
        <v>300000</v>
      </c>
      <c r="H7" s="20" t="n">
        <f aca="false">SUMIFS(XC_LUONG,XC_MA,B7)-F7-G7</f>
        <v>0</v>
      </c>
      <c r="I7" s="37" t="n">
        <f aca="false">SUMIFS(XC_LUONG,XC_MA,B7)</f>
        <v>11500000</v>
      </c>
      <c r="J7" s="20" t="n">
        <f aca="false">SUMIFS(CP_SOTIEN,CP_MA,B7,CP_LOAI,"Tạm ứng",CP_TT,"VND")</f>
        <v>0</v>
      </c>
      <c r="K7" s="20" t="n">
        <f aca="false">SUMIFS(CP_SOTIEN,CP_MA,B7,CP_LOAI,"Tạm ứng",CP_TT,"LAK")</f>
        <v>0</v>
      </c>
      <c r="L7" s="20" t="n">
        <f aca="false">SUMIFS(CP_VND,CP_MA,B7,CP_LOAI,"Chi phí",CP_DUOCTINH,"Có")</f>
        <v>7715000</v>
      </c>
      <c r="M7" s="20" t="n">
        <f aca="false">SUMIFS(CP_VND,CP_MA,B7,CP_LOAI,"Chi phí",CP_DUOCTINH,"Không")</f>
        <v>190000</v>
      </c>
      <c r="N7" s="20" t="n">
        <f aca="false">J7+K7*TYGIA_LAK-L7</f>
        <v>-7715000</v>
      </c>
      <c r="O7" s="11" t="n">
        <v>4163000</v>
      </c>
      <c r="P7" s="20" t="n">
        <f aca="false">O7*BHXH_NLD</f>
        <v>437115</v>
      </c>
      <c r="Q7" s="37" t="n">
        <f aca="false">ROUNDDOWN(I7-P7,-3)</f>
        <v>11062000</v>
      </c>
      <c r="R7" s="47" t="s">
        <v>551</v>
      </c>
    </row>
    <row r="8" customFormat="false" ht="15" hidden="false" customHeight="false" outlineLevel="0" collapsed="false">
      <c r="A8" s="24" t="n">
        <v>4</v>
      </c>
      <c r="B8" s="22" t="s">
        <v>231</v>
      </c>
      <c r="C8" s="24" t="str">
        <f aca="false">IFERROR(INDEX(NV_TEN,MATCH(B8,NV_MA,0)),"MÃ KHÔNG CÓ")</f>
        <v>Nguyễn Đình Hiếu</v>
      </c>
      <c r="D8" s="24" t="n">
        <f aca="false">COUNTIF(XC_MA,B8)</f>
        <v>0</v>
      </c>
      <c r="E8" s="24" t="n">
        <f aca="false">SUMIFS(XC_NGAY,XC_MA,B8)</f>
        <v>0</v>
      </c>
      <c r="F8" s="20" t="n">
        <f aca="false">SUMIFS(XC_DG,XC_MA,B8)</f>
        <v>0</v>
      </c>
      <c r="G8" s="20" t="n">
        <f aca="false">SUMIFS(XC_HTVUOT,XC_MA,B8)</f>
        <v>0</v>
      </c>
      <c r="H8" s="20" t="n">
        <f aca="false">SUMIFS(XC_LUONG,XC_MA,B8)-F8-G8</f>
        <v>0</v>
      </c>
      <c r="I8" s="37" t="n">
        <f aca="false">SUMIFS(XC_LUONG,XC_MA,B8)</f>
        <v>0</v>
      </c>
      <c r="J8" s="20" t="n">
        <f aca="false">SUMIFS(CP_SOTIEN,CP_MA,B8,CP_LOAI,"Tạm ứng",CP_TT,"VND")</f>
        <v>0</v>
      </c>
      <c r="K8" s="20" t="n">
        <f aca="false">SUMIFS(CP_SOTIEN,CP_MA,B8,CP_LOAI,"Tạm ứng",CP_TT,"LAK")</f>
        <v>0</v>
      </c>
      <c r="L8" s="20" t="n">
        <f aca="false">SUMIFS(CP_VND,CP_MA,B8,CP_LOAI,"Chi phí",CP_DUOCTINH,"Có")</f>
        <v>0</v>
      </c>
      <c r="M8" s="20" t="n">
        <f aca="false">SUMIFS(CP_VND,CP_MA,B8,CP_LOAI,"Chi phí",CP_DUOCTINH,"Không")</f>
        <v>0</v>
      </c>
      <c r="N8" s="20" t="n">
        <f aca="false">J8+K8*TYGIA_LAK-L8</f>
        <v>0</v>
      </c>
      <c r="O8" s="11" t="n">
        <v>4163000</v>
      </c>
      <c r="P8" s="20" t="n">
        <f aca="false">O8*BHXH_NLD</f>
        <v>437115</v>
      </c>
      <c r="Q8" s="37" t="n">
        <f aca="false">ROUNDDOWN(I8-P8,-3)</f>
        <v>-437000</v>
      </c>
      <c r="R8" s="47" t="s">
        <v>551</v>
      </c>
    </row>
    <row r="9" customFormat="false" ht="15" hidden="false" customHeight="false" outlineLevel="0" collapsed="false">
      <c r="A9" s="24" t="n">
        <v>5</v>
      </c>
      <c r="B9" s="22" t="s">
        <v>233</v>
      </c>
      <c r="C9" s="24" t="str">
        <f aca="false">IFERROR(INDEX(NV_TEN,MATCH(B9,NV_MA,0)),"MÃ KHÔNG CÓ")</f>
        <v>Nguyễn Đăng Thiện</v>
      </c>
      <c r="D9" s="24" t="n">
        <f aca="false">COUNTIF(XC_MA,B9)</f>
        <v>0</v>
      </c>
      <c r="E9" s="24" t="n">
        <f aca="false">SUMIFS(XC_NGAY,XC_MA,B9)</f>
        <v>0</v>
      </c>
      <c r="F9" s="20" t="n">
        <f aca="false">SUMIFS(XC_DG,XC_MA,B9)</f>
        <v>0</v>
      </c>
      <c r="G9" s="20" t="n">
        <f aca="false">SUMIFS(XC_HTVUOT,XC_MA,B9)</f>
        <v>0</v>
      </c>
      <c r="H9" s="20" t="n">
        <f aca="false">SUMIFS(XC_LUONG,XC_MA,B9)-F9-G9</f>
        <v>0</v>
      </c>
      <c r="I9" s="37" t="n">
        <f aca="false">SUMIFS(XC_LUONG,XC_MA,B9)</f>
        <v>0</v>
      </c>
      <c r="J9" s="20" t="n">
        <f aca="false">SUMIFS(CP_SOTIEN,CP_MA,B9,CP_LOAI,"Tạm ứng",CP_TT,"VND")</f>
        <v>0</v>
      </c>
      <c r="K9" s="20" t="n">
        <f aca="false">SUMIFS(CP_SOTIEN,CP_MA,B9,CP_LOAI,"Tạm ứng",CP_TT,"LAK")</f>
        <v>0</v>
      </c>
      <c r="L9" s="20" t="n">
        <f aca="false">SUMIFS(CP_VND,CP_MA,B9,CP_LOAI,"Chi phí",CP_DUOCTINH,"Có")</f>
        <v>0</v>
      </c>
      <c r="M9" s="20" t="n">
        <f aca="false">SUMIFS(CP_VND,CP_MA,B9,CP_LOAI,"Chi phí",CP_DUOCTINH,"Không")</f>
        <v>0</v>
      </c>
      <c r="N9" s="20" t="n">
        <f aca="false">J9+K9*TYGIA_LAK-L9</f>
        <v>0</v>
      </c>
      <c r="O9" s="11" t="n">
        <v>4163000</v>
      </c>
      <c r="P9" s="20" t="n">
        <f aca="false">O9*BHXH_NLD</f>
        <v>437115</v>
      </c>
      <c r="Q9" s="37" t="n">
        <f aca="false">ROUNDDOWN(I9-P9,-3)</f>
        <v>-437000</v>
      </c>
      <c r="R9" s="47" t="s">
        <v>551</v>
      </c>
    </row>
    <row r="10" customFormat="false" ht="15" hidden="false" customHeight="false" outlineLevel="0" collapsed="false">
      <c r="A10" s="24" t="n">
        <v>6</v>
      </c>
      <c r="B10" s="22" t="s">
        <v>235</v>
      </c>
      <c r="C10" s="24" t="str">
        <f aca="false">IFERROR(INDEX(NV_TEN,MATCH(B10,NV_MA,0)),"MÃ KHÔNG CÓ")</f>
        <v>Lê Tấn Anh</v>
      </c>
      <c r="D10" s="24" t="n">
        <f aca="false">COUNTIF(XC_MA,B10)</f>
        <v>0</v>
      </c>
      <c r="E10" s="24" t="n">
        <f aca="false">SUMIFS(XC_NGAY,XC_MA,B10)</f>
        <v>0</v>
      </c>
      <c r="F10" s="20" t="n">
        <f aca="false">SUMIFS(XC_DG,XC_MA,B10)</f>
        <v>0</v>
      </c>
      <c r="G10" s="20" t="n">
        <f aca="false">SUMIFS(XC_HTVUOT,XC_MA,B10)</f>
        <v>0</v>
      </c>
      <c r="H10" s="20" t="n">
        <f aca="false">SUMIFS(XC_LUONG,XC_MA,B10)-F10-G10</f>
        <v>0</v>
      </c>
      <c r="I10" s="37" t="n">
        <f aca="false">SUMIFS(XC_LUONG,XC_MA,B10)</f>
        <v>0</v>
      </c>
      <c r="J10" s="20" t="n">
        <f aca="false">SUMIFS(CP_SOTIEN,CP_MA,B10,CP_LOAI,"Tạm ứng",CP_TT,"VND")</f>
        <v>0</v>
      </c>
      <c r="K10" s="20" t="n">
        <f aca="false">SUMIFS(CP_SOTIEN,CP_MA,B10,CP_LOAI,"Tạm ứng",CP_TT,"LAK")</f>
        <v>0</v>
      </c>
      <c r="L10" s="20" t="n">
        <f aca="false">SUMIFS(CP_VND,CP_MA,B10,CP_LOAI,"Chi phí",CP_DUOCTINH,"Có")</f>
        <v>0</v>
      </c>
      <c r="M10" s="20" t="n">
        <f aca="false">SUMIFS(CP_VND,CP_MA,B10,CP_LOAI,"Chi phí",CP_DUOCTINH,"Không")</f>
        <v>0</v>
      </c>
      <c r="N10" s="20" t="n">
        <f aca="false">J10+K10*TYGIA_LAK-L10</f>
        <v>0</v>
      </c>
      <c r="O10" s="11" t="n">
        <v>4163000</v>
      </c>
      <c r="P10" s="20" t="n">
        <f aca="false">O10*BHXH_NLD</f>
        <v>437115</v>
      </c>
      <c r="Q10" s="37" t="n">
        <f aca="false">ROUNDDOWN(I10-P10,-3)</f>
        <v>-437000</v>
      </c>
      <c r="R10" s="47" t="s">
        <v>551</v>
      </c>
    </row>
    <row r="12" customFormat="false" ht="15" hidden="false" customHeight="false" outlineLevel="0" collapsed="false">
      <c r="C12" s="3" t="s">
        <v>301</v>
      </c>
      <c r="D12" s="48" t="n">
        <f aca="false">SUM(D5:D10)</f>
        <v>16</v>
      </c>
      <c r="E12" s="48" t="n">
        <f aca="false">SUM(E5:E10)</f>
        <v>32</v>
      </c>
      <c r="F12" s="26" t="n">
        <f aca="false">SUM(F5:F10)</f>
        <v>36300000</v>
      </c>
      <c r="G12" s="26" t="n">
        <f aca="false">SUM(G5:G10)</f>
        <v>900000</v>
      </c>
      <c r="H12" s="26" t="n">
        <f aca="false">SUM(H5:H10)</f>
        <v>0</v>
      </c>
      <c r="I12" s="26" t="n">
        <f aca="false">SUM(I5:I10)</f>
        <v>37200000</v>
      </c>
      <c r="J12" s="26" t="n">
        <f aca="false">SUM(J5:J10)</f>
        <v>12000000</v>
      </c>
      <c r="K12" s="26" t="n">
        <f aca="false">SUM(K5:K10)</f>
        <v>12000000</v>
      </c>
      <c r="L12" s="26" t="n">
        <f aca="false">SUM(L5:L10)</f>
        <v>46319500</v>
      </c>
      <c r="M12" s="26" t="n">
        <f aca="false">SUM(M5:M10)</f>
        <v>340000</v>
      </c>
      <c r="N12" s="26" t="n">
        <f aca="false">SUM(N5:N10)</f>
        <v>-20519500</v>
      </c>
      <c r="O12" s="26" t="n">
        <f aca="false">SUM(O5:O10)</f>
        <v>24978000</v>
      </c>
      <c r="P12" s="26" t="n">
        <f aca="false">SUM(P5:P10)</f>
        <v>2622690</v>
      </c>
      <c r="Q12" s="26" t="n">
        <f aca="false">SUM(Q5:Q10)</f>
        <v>34575000</v>
      </c>
    </row>
  </sheetData>
  <sheetProtection sheet="true" formatColumns="false" formatRows="false" inser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552</v>
      </c>
    </row>
    <row r="2" customFormat="false" ht="15" hidden="false" customHeight="false" outlineLevel="0" collapsed="false">
      <c r="A2" s="2" t="s">
        <v>553</v>
      </c>
    </row>
    <row r="4" customFormat="false" ht="30" hidden="false" customHeight="true" outlineLevel="0" collapsed="false">
      <c r="A4" s="18" t="s">
        <v>554</v>
      </c>
      <c r="B4" s="18" t="s">
        <v>555</v>
      </c>
      <c r="C4" s="18" t="s">
        <v>556</v>
      </c>
      <c r="D4" s="18" t="s">
        <v>557</v>
      </c>
    </row>
    <row r="5" customFormat="false" ht="23.85" hidden="false" customHeight="false" outlineLevel="0" collapsed="false">
      <c r="A5" s="49" t="s">
        <v>558</v>
      </c>
      <c r="B5" s="49" t="s">
        <v>559</v>
      </c>
      <c r="C5" s="49" t="s">
        <v>560</v>
      </c>
      <c r="D5" s="49" t="s">
        <v>561</v>
      </c>
    </row>
    <row r="6" customFormat="false" ht="15" hidden="false" customHeight="false" outlineLevel="0" collapsed="false">
      <c r="A6" s="49" t="s">
        <v>562</v>
      </c>
      <c r="B6" s="49" t="s">
        <v>563</v>
      </c>
      <c r="C6" s="49" t="s">
        <v>564</v>
      </c>
      <c r="D6" s="49" t="s">
        <v>565</v>
      </c>
    </row>
    <row r="7" customFormat="false" ht="23.85" hidden="false" customHeight="false" outlineLevel="0" collapsed="false">
      <c r="A7" s="49" t="s">
        <v>566</v>
      </c>
      <c r="B7" s="49" t="s">
        <v>567</v>
      </c>
      <c r="C7" s="49" t="s">
        <v>568</v>
      </c>
      <c r="D7" s="49" t="s">
        <v>569</v>
      </c>
    </row>
    <row r="8" customFormat="false" ht="23.85" hidden="false" customHeight="false" outlineLevel="0" collapsed="false">
      <c r="A8" s="49" t="s">
        <v>570</v>
      </c>
      <c r="B8" s="49" t="s">
        <v>571</v>
      </c>
      <c r="C8" s="49" t="s">
        <v>572</v>
      </c>
      <c r="D8" s="49" t="s">
        <v>573</v>
      </c>
    </row>
    <row r="9" customFormat="false" ht="15" hidden="false" customHeight="false" outlineLevel="0" collapsed="false">
      <c r="A9" s="49" t="s">
        <v>574</v>
      </c>
      <c r="B9" s="49" t="s">
        <v>575</v>
      </c>
      <c r="C9" s="49" t="s">
        <v>576</v>
      </c>
      <c r="D9" s="49" t="s">
        <v>577</v>
      </c>
    </row>
    <row r="10" customFormat="false" ht="35.05" hidden="false" customHeight="false" outlineLevel="0" collapsed="false">
      <c r="A10" s="49" t="s">
        <v>578</v>
      </c>
      <c r="B10" s="49" t="s">
        <v>579</v>
      </c>
      <c r="C10" s="49" t="s">
        <v>580</v>
      </c>
      <c r="D10" s="49" t="s">
        <v>581</v>
      </c>
    </row>
    <row r="11" customFormat="false" ht="15" hidden="false" customHeight="false" outlineLevel="0" collapsed="false">
      <c r="A11" s="49" t="s">
        <v>582</v>
      </c>
      <c r="B11" s="49" t="s">
        <v>583</v>
      </c>
      <c r="C11" s="49" t="s">
        <v>584</v>
      </c>
      <c r="D11" s="49" t="s">
        <v>585</v>
      </c>
    </row>
    <row r="12" customFormat="false" ht="23.85" hidden="false" customHeight="false" outlineLevel="0" collapsed="false">
      <c r="A12" s="49" t="s">
        <v>586</v>
      </c>
      <c r="B12" s="49" t="s">
        <v>587</v>
      </c>
      <c r="C12" s="49" t="s">
        <v>588</v>
      </c>
      <c r="D12" s="49" t="s">
        <v>589</v>
      </c>
    </row>
    <row r="13" customFormat="false" ht="35.05" hidden="false" customHeight="false" outlineLevel="0" collapsed="false">
      <c r="A13" s="49" t="s">
        <v>590</v>
      </c>
      <c r="B13" s="49" t="s">
        <v>591</v>
      </c>
      <c r="C13" s="49" t="s">
        <v>592</v>
      </c>
      <c r="D13" s="49" t="s">
        <v>593</v>
      </c>
    </row>
    <row r="14" customFormat="false" ht="35.05" hidden="false" customHeight="false" outlineLevel="0" collapsed="false">
      <c r="A14" s="49" t="s">
        <v>594</v>
      </c>
      <c r="B14" s="49" t="s">
        <v>595</v>
      </c>
      <c r="C14" s="49" t="s">
        <v>596</v>
      </c>
      <c r="D14" s="49" t="s">
        <v>597</v>
      </c>
    </row>
    <row r="15" customFormat="false" ht="23.85" hidden="false" customHeight="false" outlineLevel="0" collapsed="false">
      <c r="A15" s="49" t="s">
        <v>598</v>
      </c>
      <c r="B15" s="49" t="s">
        <v>599</v>
      </c>
      <c r="C15" s="49" t="s">
        <v>600</v>
      </c>
      <c r="D15" s="49" t="s">
        <v>601</v>
      </c>
    </row>
    <row r="16" customFormat="false" ht="15" hidden="false" customHeight="false" outlineLevel="0" collapsed="false">
      <c r="A16" s="49" t="s">
        <v>602</v>
      </c>
      <c r="B16" s="49" t="s">
        <v>603</v>
      </c>
      <c r="C16" s="49"/>
      <c r="D16" s="49" t="s">
        <v>604</v>
      </c>
    </row>
    <row r="18" customFormat="false" ht="15" hidden="false" customHeight="false" outlineLevel="0" collapsed="false">
      <c r="A18" s="3" t="s">
        <v>605</v>
      </c>
    </row>
    <row r="19" customFormat="false" ht="15" hidden="false" customHeight="true" outlineLevel="0" collapsed="false">
      <c r="A19" s="50" t="s">
        <v>606</v>
      </c>
      <c r="B19" s="50"/>
      <c r="C19" s="50"/>
      <c r="D19" s="50"/>
    </row>
    <row r="20" customFormat="false" ht="15" hidden="false" customHeight="true" outlineLevel="0" collapsed="false">
      <c r="A20" s="50" t="s">
        <v>607</v>
      </c>
      <c r="B20" s="50"/>
      <c r="C20" s="50"/>
      <c r="D20" s="50"/>
    </row>
    <row r="21" customFormat="false" ht="15" hidden="false" customHeight="true" outlineLevel="0" collapsed="false">
      <c r="A21" s="50" t="s">
        <v>608</v>
      </c>
      <c r="B21" s="50"/>
      <c r="C21" s="50"/>
      <c r="D21" s="50"/>
    </row>
    <row r="22" customFormat="false" ht="15" hidden="false" customHeight="true" outlineLevel="0" collapsed="false">
      <c r="A22" s="50" t="s">
        <v>609</v>
      </c>
      <c r="B22" s="50"/>
      <c r="C22" s="50"/>
      <c r="D22" s="50"/>
    </row>
    <row r="23" customFormat="false" ht="15" hidden="false" customHeight="true" outlineLevel="0" collapsed="false">
      <c r="A23" s="50" t="s">
        <v>610</v>
      </c>
      <c r="B23" s="50"/>
      <c r="C23" s="50"/>
      <c r="D23" s="50"/>
    </row>
  </sheetData>
  <mergeCells count="5">
    <mergeCell ref="A19:D19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2026-09-12T02:13:47Z</dcterms:created>
  <dc:creator>openpyxl</dc:creator>
  <dc:description/>
  <dc:language>en-US</dc:language>
  <cp:lastModifiedBy/>
  <dcterms:modified xsi:type="dcterms:W3CDTF">2026-09-12T02:13:48Z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