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DSD" sheetId="1" state="visible" r:id="rId3"/>
    <sheet name="THAM_SO" sheetId="2" state="visible" r:id="rId4"/>
    <sheet name="KY_HIEU" sheetId="3" state="visible" r:id="rId5"/>
    <sheet name="NHAN_VIEN" sheetId="4" state="visible" r:id="rId6"/>
    <sheet name="BCC" sheetId="5" state="visible" r:id="rId7"/>
    <sheet name="DIEU_CHINH" sheetId="6" state="visible" r:id="rId8"/>
    <sheet name="LUONG" sheetId="7" state="visible" r:id="rId9"/>
    <sheet name="BHXH" sheetId="8" state="visible" r:id="rId10"/>
    <sheet name="KIEM_TRA" sheetId="9" state="visible" r:id="rId11"/>
  </sheets>
  <definedNames>
    <definedName function="false" hidden="false" name="BCC_CD" vbProcedure="false">BCC!$AO$6:$AO$120</definedName>
    <definedName function="false" hidden="false" name="BCC_CONG" vbProcedure="false">BCC!$AK$6:$AK$120</definedName>
    <definedName function="false" hidden="false" name="BCC_CTL" vbProcedure="false">BCC!$AP$6:$AP$120</definedName>
    <definedName function="false" hidden="false" name="BCC_DUYET" vbProcedure="false">BCC!$AR$6:$AR$120</definedName>
    <definedName function="false" hidden="false" name="BCC_GRID" vbProcedure="false">BCC!$E$6:$AI$120</definedName>
    <definedName function="false" hidden="false" name="BCC_LE" vbProcedure="false">BCC!$AM$6:$AM$120</definedName>
    <definedName function="false" hidden="false" name="BCC_LEDL" vbProcedure="false">BCC!$AN$6:$AN$120</definedName>
    <definedName function="false" hidden="false" name="BCC_MA" vbProcedure="false">BCC!$B$6:$B$120</definedName>
    <definedName function="false" hidden="false" name="BCC_NGAY" vbProcedure="false">BCC!$E$3:$AI$3</definedName>
    <definedName function="false" hidden="false" name="BCC_PHEP" vbProcedure="false">BCC!$AL$6:$AL$120</definedName>
    <definedName function="false" hidden="false" name="BHXH_NLD" vbProcedure="false">THAM_SO!$C$15</definedName>
    <definedName function="false" hidden="false" name="BHXH_NSDLD" vbProcedure="false">THAM_SO!$C$16</definedName>
    <definedName function="false" hidden="false" name="CC_NGUONG" vbProcedure="false">THAM_SO!$C$9</definedName>
    <definedName function="false" hidden="false" name="CC_TIEN" vbProcedure="false">THAM_SO!$C$10</definedName>
    <definedName function="false" hidden="false" name="CD_N1" vbProcedure="false">THAM_SO!$C$11</definedName>
    <definedName function="false" hidden="false" name="CD_N2" vbProcedure="false">THAM_SO!$C$13</definedName>
    <definedName function="false" hidden="false" name="CD_T1" vbProcedure="false">THAM_SO!$C$12</definedName>
    <definedName function="false" hidden="false" name="CD_T2" vbProcedure="false">THAM_SO!$C$14</definedName>
    <definedName function="false" hidden="false" name="DC_AP" vbProcedure="false">DIEU_CHINH!$J$5:$J$199</definedName>
    <definedName function="false" hidden="false" name="DC_LOAI" vbProcedure="false">DIEU_CHINH!$D$5:$D$199</definedName>
    <definedName function="false" hidden="false" name="DC_MA" vbProcedure="false">DIEU_CHINH!$B$5:$B$199</definedName>
    <definedName function="false" hidden="false" name="DC_TIEN" vbProcedure="false">DIEU_CHINH!$E$5:$E$199</definedName>
    <definedName function="false" hidden="false" name="GIO_CONG" vbProcedure="false">THAM_SO!$C$17</definedName>
    <definedName function="false" hidden="false" name="GIO_MAX" vbProcedure="false">THAM_SO!$C$19</definedName>
    <definedName function="false" hidden="false" name="HS_LE" vbProcedure="false">THAM_SO!$C$8</definedName>
    <definedName function="false" hidden="false" name="KH_CD" vbProcedure="false">KY_HIEU!$G$5:$G$40</definedName>
    <definedName function="false" hidden="false" name="KH_CTL" vbProcedure="false">KY_HIEU!$H$5:$H$40</definedName>
    <definedName function="false" hidden="false" name="KH_LE" vbProcedure="false">KY_HIEU!$E$5:$E$40</definedName>
    <definedName function="false" hidden="false" name="KH_LEDL" vbProcedure="false">KY_HIEU!$F$5:$F$40</definedName>
    <definedName function="false" hidden="false" name="KH_LUONG" vbProcedure="false">KY_HIEU!$C$5:$C$40</definedName>
    <definedName function="false" hidden="false" name="KH_MA" vbProcedure="false">KY_HIEU!$A$5:$A$40</definedName>
    <definedName function="false" hidden="false" name="KH_PHEP" vbProcedure="false">KY_HIEU!$D$5:$D$40</definedName>
    <definedName function="false" hidden="false" name="LAMTRON" vbProcedure="false">THAM_SO!$C$18</definedName>
    <definedName function="false" hidden="false" name="LG_CONG" vbProcedure="false">LUONG!$M$6:$M$120</definedName>
    <definedName function="false" hidden="false" name="LG_MA" vbProcedure="false">LUONG!$B$6:$B$120</definedName>
    <definedName function="false" hidden="false" name="LG_TN" vbProcedure="false">LUONG!$AF$6:$AF$120</definedName>
    <definedName function="false" hidden="false" name="NAM" vbProcedure="false">THAM_SO!$C$4</definedName>
    <definedName function="false" hidden="false" name="NGAY_CHIA" vbProcedure="false">THAM_SO!$C$6</definedName>
    <definedName function="false" hidden="false" name="NGAY_LE" vbProcedure="false">THAM_SO!$B$22:$B$26</definedName>
    <definedName function="false" hidden="false" name="NV_BHXH" vbProcedure="false">NHAN_VIEN!$K$5:$K$300</definedName>
    <definedName function="false" hidden="false" name="NV_CB" vbProcedure="false">NHAN_VIEN!$I$5:$I$300</definedName>
    <definedName function="false" hidden="false" name="NV_CC" vbProcedure="false">NHAN_VIEN!$H$5:$H$300</definedName>
    <definedName function="false" hidden="false" name="NV_DONG" vbProcedure="false">NHAN_VIEN!$L$5:$L$300</definedName>
    <definedName function="false" hidden="false" name="NV_HT" vbProcedure="false">NHAN_VIEN!$G$5:$G$300</definedName>
    <definedName function="false" hidden="false" name="NV_MA" vbProcedure="false">NHAN_VIEN!$B$5:$B$300</definedName>
    <definedName function="false" hidden="false" name="NV_NHOMCC" vbProcedure="false">NHAN_VIEN!$N$5:$N$300</definedName>
    <definedName function="false" hidden="false" name="NV_PC" vbProcedure="false">NHAN_VIEN!$M$5:$M$300</definedName>
    <definedName function="false" hidden="false" name="NV_PN" vbProcedure="false">NHAN_VIEN!$D$5:$D$300</definedName>
    <definedName function="false" hidden="false" name="NV_TEN" vbProcedure="false">NHAN_VIEN!$C$5:$C$300</definedName>
    <definedName function="false" hidden="false" name="NV_TT" vbProcedure="false">NHAN_VIEN!$P$5:$P$300</definedName>
    <definedName function="false" hidden="false" name="NV_TV" vbProcedure="false">NHAN_VIEN!$J$5:$J$300</definedName>
    <definedName function="false" hidden="false" name="THANG" vbProcedure="false">THAM_SO!$C$3</definedName>
    <definedName function="false" hidden="false" name="TL_THUVIEC" vbProcedure="false">THAM_SO!$C$7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<sst xmlns="http://schemas.openxmlformats.org/spreadsheetml/2006/main" count="585" uniqueCount="402">
  <si>
    <t xml:space="preserve">LƯƠNG THỜI GIAN – BẢNG CHẤM CÔNG &amp; BẢNG LƯƠNG CHUẨN HOÁ (dùng chung HAPĐ – HAQT – APQT)</t>
  </si>
  <si>
    <t xml:space="preserve">Thay cho các sheet "BCC lương thời gian", "Chuyên cần", "Bảng lương", "BHXH" của 3 file lương nội bộ. Một bảng công duy nhất, một bộ ký hiệu, mọi ngoại lệ ghi ở DIEU_CHINH có lý do.</t>
  </si>
  <si>
    <t xml:space="preserve">QUY ƯỚC MÀU</t>
  </si>
  <si>
    <t xml:space="preserve">Chữ xanh, nền vàng nhạt</t>
  </si>
  <si>
    <t xml:space="preserve">Ô nhập liệu</t>
  </si>
  <si>
    <t xml:space="preserve">Nền vàng đậm</t>
  </si>
  <si>
    <t xml:space="preserve">Tham số/định mức – chỉ HCNS đổi khi có quyết định</t>
  </si>
  <si>
    <t xml:space="preserve">Chữ đen</t>
  </si>
  <si>
    <t xml:space="preserve">Công thức, đã khoá</t>
  </si>
  <si>
    <t xml:space="preserve">Nền xanh lá</t>
  </si>
  <si>
    <t xml:space="preserve">Kết quả cuối (Thực nhận, Tổng lương) – số đưa sang ĐNTT / chuyển khoản</t>
  </si>
  <si>
    <t xml:space="preserve">QUY TRÌNH HÀNG THÁNG</t>
  </si>
  <si>
    <t xml:space="preserve">1. THAM_SO</t>
  </si>
  <si>
    <t xml:space="preserve">Nhập tháng, năm. Ngày lễ trong tháng nhập vào bảng ngày lễ (để cảnh báo nếu chấm giờ thường vào ngày lễ).</t>
  </si>
  <si>
    <t xml:space="preserve">2. NHAN_VIEN</t>
  </si>
  <si>
    <t xml:space="preserve">Thêm/sửa người: pháp nhân, hình thức (Thời gian / Khoán tháng / Thử việc), công chuẩn 26 hay 30, lương CB, lương BHXH, phụ cấp cố định, nhóm chuyên cần. Người nghỉ: đổi Tình trạng, không xoá.</t>
  </si>
  <si>
    <t xml:space="preserve">3. BCC</t>
  </si>
  <si>
    <t xml:space="preserve">Chấm 1 dòng/người, ô = số giờ (0–24, bội số 0,5) HOẶC mã trong KY_HIEU. Không gõ gì khác (ô sẽ báo đỏ). Điền Người chấm / Người duyệt.</t>
  </si>
  <si>
    <t xml:space="preserve">4. DIEU_CHINH</t>
  </si>
  <si>
    <t xml:space="preserve">Tạm ứng, trả nợ, truy lĩnh, KPI, chuyên cần điều chỉnh… mỗi khoản 1 dòng, có lý do &amp; người duyệt. KHÔNG sửa tay vào LUONG.</t>
  </si>
  <si>
    <t xml:space="preserve">5. LUONG, BHXH</t>
  </si>
  <si>
    <t xml:space="preserve">Tự tính. Không có ô nhập.</t>
  </si>
  <si>
    <t xml:space="preserve">6. KIEM_TRA</t>
  </si>
  <si>
    <t xml:space="preserve">Tất cả OK mới chốt. Sau đó lưu file với tên LUONG_TG_&lt;YYYY-MM&gt;_vN.xlsx.</t>
  </si>
  <si>
    <t xml:space="preserve">ĐỐI CHIẾU VỚI SHEET CŨ</t>
  </si>
  <si>
    <t xml:space="preserve">BCC lương thời gian + Chuyên cần (APQT có 2 bản trùng)</t>
  </si>
  <si>
    <t xml:space="preserve">→ BCC (một bản duy nhất, Chuyên cần tính từ đây)</t>
  </si>
  <si>
    <t xml:space="preserve">Công thức AM/AN (SUM giờ + COUNTIF L1..L24 …)</t>
  </si>
  <si>
    <t xml:space="preserve">→ BCC cột AJ–AP, dựa trên bảng KY_HIEU thay vì gõ trong công thức</t>
  </si>
  <si>
    <t xml:space="preserve">Bảng lương cột S (thời gian), T (chuyên cần), U (phép), V (lễ), X (BHXH), AC (thực nhận)</t>
  </si>
  <si>
    <t xml:space="preserve">→ LUONG cột R, W, S, T, AA, AF</t>
  </si>
  <si>
    <t xml:space="preserve">Ghi chú "Trừ nợ 1,5tr/tháng đến 12/2027", "tạm ứng 3tr", chuyên cần sửa tay</t>
  </si>
  <si>
    <t xml:space="preserve">→ DIEU_CHINH, có hiệu lực từ/đến</t>
  </si>
  <si>
    <t xml:space="preserve">Ngày 30/31 gõ cứng 1900-01-30</t>
  </si>
  <si>
    <t xml:space="preserve">→ BCC dòng 3–4 tự sinh theo tháng; cột ngày không tồn tại bị tô xám và khoá</t>
  </si>
  <si>
    <t xml:space="preserve">Tiêu đề/tháng gõ tay, "Bằng chữ" gõ tay</t>
  </si>
  <si>
    <t xml:space="preserve">→ mọi tiêu đề lấy từ THAM_SO</t>
  </si>
  <si>
    <t xml:space="preserve">KIỂM CHỨNG</t>
  </si>
  <si>
    <t xml:space="preserve">Dữ liệu tháng 08/2026 của APQT (13 người) và HAQT (3 người) đã nạp làm mẫu; LUONG cột AF khớp cột AC "THỰC NHẬN" của file cũ sau khi đưa 3 khoản chuyên cần sửa tay vào DIEU_CHINH.</t>
  </si>
  <si>
    <t xml:space="preserve">THAM SỐ KỲ LƯƠNG THỜI GIAN</t>
  </si>
  <si>
    <t xml:space="preserve">Tháng</t>
  </si>
  <si>
    <t xml:space="preserve">Năm</t>
  </si>
  <si>
    <t xml:space="preserve">Số ngày chia lương phép / lễ / chế độ (theo lương BHXH)</t>
  </si>
  <si>
    <t xml:space="preserve">File cũ luôn chia /26 kể cả người công chuẩn 30 (APQT U8 = 6.928.000/26×1)</t>
  </si>
  <si>
    <t xml:space="preserve">Tỷ lệ lương thử việc (nếu không khai lương thử việc riêng)</t>
  </si>
  <si>
    <t xml:space="preserve">Hệ số cộng thêm cho giờ làm ngày lễ (L1…L24)</t>
  </si>
  <si>
    <t xml:space="preserve">File cũ: W = lương CB/công chuẩn × ngày lễ đi làm × 150%, cộng thêm ngoài giờ đã tính công</t>
  </si>
  <si>
    <t xml:space="preserve">Chuyên cần nhóm "Chung": ngưỡng công</t>
  </si>
  <si>
    <t xml:space="preserve">APQT/HAPĐ: ≥ 29 công → 300.000; người khoán tháng / công chuẩn 30 không xét (nhóm "Không")</t>
  </si>
  <si>
    <t xml:space="preserve">Chuyên cần nhóm "Chung": tiền thưởng</t>
  </si>
  <si>
    <t xml:space="preserve">Chuyên cần nhóm "Cơ điện": ngưỡng 1 (công) / tiền</t>
  </si>
  <si>
    <t xml:space="preserve">Sheet "Chuyên cần điện" HAPĐ: &gt;26 → 500.000; &gt;40 → 700.000</t>
  </si>
  <si>
    <t xml:space="preserve">   tiền mức 1</t>
  </si>
  <si>
    <t xml:space="preserve">   ngưỡng 2 (công)</t>
  </si>
  <si>
    <t xml:space="preserve">   tiền mức 2</t>
  </si>
  <si>
    <t xml:space="preserve">BHXH người lao động (8% + 1,5% + 1%)</t>
  </si>
  <si>
    <t xml:space="preserve">BHXH người sử dụng lao động (17,5% + 3% + 1%)</t>
  </si>
  <si>
    <t xml:space="preserve">Giờ của 1 công</t>
  </si>
  <si>
    <t xml:space="preserve">Làm tròn xuống thực nhận (đ)</t>
  </si>
  <si>
    <t xml:space="preserve">Cảnh báo nếu giờ/ngày lớn hơn</t>
  </si>
  <si>
    <t xml:space="preserve">NGÀY LỄ TRONG THÁNG (để cảnh báo)</t>
  </si>
  <si>
    <t xml:space="preserve">Nhập ngày (vd 02/09/2026). Nếu ô chấm công ngày lễ là số giờ thường (không phải NL/L-n) → KIEM_TRA cảnh báo.</t>
  </si>
  <si>
    <t xml:space="preserve">BẢNG KÝ HIỆU CHẤM CÔNG DÙNG CHUNG</t>
  </si>
  <si>
    <t xml:space="preserve">Ô chấm công = số giờ (0–24, bội số 0,5) hoặc một mã dưới đây. Mỗi mã quy ra giờ cho từng loại. Thêm mã mới = thêm dòng, công thức BCC tự nhận.</t>
  </si>
  <si>
    <t xml:space="preserve">Mã</t>
  </si>
  <si>
    <t xml:space="preserve">Ý nghĩa</t>
  </si>
  <si>
    <t xml:space="preserve">Giờ tính lương</t>
  </si>
  <si>
    <t xml:space="preserve">Giờ phép</t>
  </si>
  <si>
    <t xml:space="preserve">Giờ nghỉ lễ</t>
  </si>
  <si>
    <t xml:space="preserve">Giờ làm ngày lễ (cộng thêm)</t>
  </si>
  <si>
    <t xml:space="preserve">Giờ chế độ cty (hiếu hỉ)</t>
  </si>
  <si>
    <t xml:space="preserve">Giờ công tác Lào</t>
  </si>
  <si>
    <t xml:space="preserve">Ghi chú</t>
  </si>
  <si>
    <t xml:space="preserve">P</t>
  </si>
  <si>
    <t xml:space="preserve">Nghỉ phép năm 1 ngày</t>
  </si>
  <si>
    <t xml:space="preserve">P/2</t>
  </si>
  <si>
    <t xml:space="preserve">Nghỉ phép 0,5 ngày</t>
  </si>
  <si>
    <t xml:space="preserve">NL</t>
  </si>
  <si>
    <t xml:space="preserve">Nghỉ lễ hưởng lương</t>
  </si>
  <si>
    <t xml:space="preserve">File cũ ghi "NL"</t>
  </si>
  <si>
    <t xml:space="preserve">NL/2</t>
  </si>
  <si>
    <t xml:space="preserve">Nghỉ lễ 0,5 ngày</t>
  </si>
  <si>
    <t xml:space="preserve">File cũ ghi "NL\"</t>
  </si>
  <si>
    <t xml:space="preserve">CTL</t>
  </si>
  <si>
    <t xml:space="preserve">Công tác Lào 1 ngày</t>
  </si>
  <si>
    <t xml:space="preserve">Tính 8h công + đếm ngày CTL</t>
  </si>
  <si>
    <t xml:space="preserve">CTL/2</t>
  </si>
  <si>
    <t xml:space="preserve">Công tác Lào 0,5 ngày</t>
  </si>
  <si>
    <t xml:space="preserve">CT</t>
  </si>
  <si>
    <t xml:space="preserve">Công tác (có công tác phí)</t>
  </si>
  <si>
    <t xml:space="preserve">H</t>
  </si>
  <si>
    <t xml:space="preserve">Nghỉ chế độ công ty hiếu, hỉ 1 ngày</t>
  </si>
  <si>
    <t xml:space="preserve">HAPĐ</t>
  </si>
  <si>
    <t xml:space="preserve">H/2</t>
  </si>
  <si>
    <t xml:space="preserve">Nghỉ chế độ 0,5 ngày</t>
  </si>
  <si>
    <t xml:space="preserve">CĐ</t>
  </si>
  <si>
    <t xml:space="preserve">Nghỉ chế độ BHXH (ốm, thai sản…)</t>
  </si>
  <si>
    <t xml:space="preserve">Không tính lương; BHXH chi trả</t>
  </si>
  <si>
    <t xml:space="preserve">KL</t>
  </si>
  <si>
    <t xml:space="preserve">Nghỉ không lương</t>
  </si>
  <si>
    <t xml:space="preserve">X</t>
  </si>
  <si>
    <t xml:space="preserve">Nghỉ không phép</t>
  </si>
  <si>
    <t xml:space="preserve">Cảnh báo ở KIEM_TRA</t>
  </si>
  <si>
    <t xml:space="preserve">L1</t>
  </si>
  <si>
    <t xml:space="preserve">Nghỉ lễ nhưng đi làm 1 giờ</t>
  </si>
  <si>
    <t xml:space="preserve">File cũ: giờ vào công + 150% cộng thêm; ngày vẫn hưởng lễ</t>
  </si>
  <si>
    <t xml:space="preserve">L2</t>
  </si>
  <si>
    <t xml:space="preserve">Nghỉ lễ nhưng đi làm 2 giờ</t>
  </si>
  <si>
    <t xml:space="preserve">L3</t>
  </si>
  <si>
    <t xml:space="preserve">Nghỉ lễ nhưng đi làm 3 giờ</t>
  </si>
  <si>
    <t xml:space="preserve">L4</t>
  </si>
  <si>
    <t xml:space="preserve">Nghỉ lễ nhưng đi làm 4 giờ</t>
  </si>
  <si>
    <t xml:space="preserve">L5</t>
  </si>
  <si>
    <t xml:space="preserve">Nghỉ lễ nhưng đi làm 5 giờ</t>
  </si>
  <si>
    <t xml:space="preserve">L6</t>
  </si>
  <si>
    <t xml:space="preserve">Nghỉ lễ nhưng đi làm 6 giờ</t>
  </si>
  <si>
    <t xml:space="preserve">L7</t>
  </si>
  <si>
    <t xml:space="preserve">Nghỉ lễ nhưng đi làm 7 giờ</t>
  </si>
  <si>
    <t xml:space="preserve">L8</t>
  </si>
  <si>
    <t xml:space="preserve">Nghỉ lễ nhưng đi làm 8 giờ</t>
  </si>
  <si>
    <t xml:space="preserve">L9</t>
  </si>
  <si>
    <t xml:space="preserve">Nghỉ lễ nhưng đi làm 9 giờ</t>
  </si>
  <si>
    <t xml:space="preserve">L10</t>
  </si>
  <si>
    <t xml:space="preserve">Nghỉ lễ nhưng đi làm 10 giờ</t>
  </si>
  <si>
    <t xml:space="preserve">L11</t>
  </si>
  <si>
    <t xml:space="preserve">Nghỉ lễ nhưng đi làm 11 giờ</t>
  </si>
  <si>
    <t xml:space="preserve">L12</t>
  </si>
  <si>
    <t xml:space="preserve">Nghỉ lễ nhưng đi làm 12 giờ</t>
  </si>
  <si>
    <t xml:space="preserve">L13</t>
  </si>
  <si>
    <t xml:space="preserve">Nghỉ lễ nhưng đi làm 13 giờ</t>
  </si>
  <si>
    <t xml:space="preserve">L14</t>
  </si>
  <si>
    <t xml:space="preserve">Nghỉ lễ nhưng đi làm 14 giờ</t>
  </si>
  <si>
    <t xml:space="preserve">L15</t>
  </si>
  <si>
    <t xml:space="preserve">Nghỉ lễ nhưng đi làm 15 giờ</t>
  </si>
  <si>
    <t xml:space="preserve">L16</t>
  </si>
  <si>
    <t xml:space="preserve">Nghỉ lễ nhưng đi làm 16 giờ</t>
  </si>
  <si>
    <t xml:space="preserve">L17</t>
  </si>
  <si>
    <t xml:space="preserve">Nghỉ lễ nhưng đi làm 17 giờ</t>
  </si>
  <si>
    <t xml:space="preserve">L18</t>
  </si>
  <si>
    <t xml:space="preserve">Nghỉ lễ nhưng đi làm 18 giờ</t>
  </si>
  <si>
    <t xml:space="preserve">L19</t>
  </si>
  <si>
    <t xml:space="preserve">Nghỉ lễ nhưng đi làm 19 giờ</t>
  </si>
  <si>
    <t xml:space="preserve">L20</t>
  </si>
  <si>
    <t xml:space="preserve">Nghỉ lễ nhưng đi làm 20 giờ</t>
  </si>
  <si>
    <t xml:space="preserve">L21</t>
  </si>
  <si>
    <t xml:space="preserve">Nghỉ lễ nhưng đi làm 21 giờ</t>
  </si>
  <si>
    <t xml:space="preserve">L22</t>
  </si>
  <si>
    <t xml:space="preserve">Nghỉ lễ nhưng đi làm 22 giờ</t>
  </si>
  <si>
    <t xml:space="preserve">L23</t>
  </si>
  <si>
    <t xml:space="preserve">Nghỉ lễ nhưng đi làm 23 giờ</t>
  </si>
  <si>
    <t xml:space="preserve">L24</t>
  </si>
  <si>
    <t xml:space="preserve">Nghỉ lễ nhưng đi làm 24 giờ</t>
  </si>
  <si>
    <t xml:space="preserve">DANH MỤC NHÂN VIÊN LƯƠNG THỜI GIAN (3 pháp nhân)</t>
  </si>
  <si>
    <t xml:space="preserve">Mã NV là khoá; mọi sheet tra theo mã. Không lưu CCCD/STK ở đây – để trong hồ sơ nhân sự có mật khẩu.</t>
  </si>
  <si>
    <t xml:space="preserve">STT</t>
  </si>
  <si>
    <t xml:space="preserve">Mã NV</t>
  </si>
  <si>
    <t xml:space="preserve">Họ và tên</t>
  </si>
  <si>
    <t xml:space="preserve">Pháp nhân</t>
  </si>
  <si>
    <t xml:space="preserve">Bộ phận</t>
  </si>
  <si>
    <t xml:space="preserve">Chức vụ</t>
  </si>
  <si>
    <t xml:space="preserve">Hình thức</t>
  </si>
  <si>
    <t xml:space="preserve">Công chuẩn</t>
  </si>
  <si>
    <t xml:space="preserve">Lương cơ bản</t>
  </si>
  <si>
    <t xml:space="preserve">Lương thử việc (nếu có)</t>
  </si>
  <si>
    <t xml:space="preserve">Lương BHXH</t>
  </si>
  <si>
    <t xml:space="preserve">Đóng BHXH</t>
  </si>
  <si>
    <t xml:space="preserve">Phụ cấp cố định/tháng</t>
  </si>
  <si>
    <t xml:space="preserve">Nhóm chuyên cần</t>
  </si>
  <si>
    <t xml:space="preserve">Ngày vào</t>
  </si>
  <si>
    <t xml:space="preserve">Tình trạng</t>
  </si>
  <si>
    <t xml:space="preserve">046180000983</t>
  </si>
  <si>
    <t xml:space="preserve">Hồ Thị Ngọc Á</t>
  </si>
  <si>
    <t xml:space="preserve">APQT</t>
  </si>
  <si>
    <t xml:space="preserve">Cơ khí chế tạo</t>
  </si>
  <si>
    <t xml:space="preserve">Kế toán trưởng</t>
  </si>
  <si>
    <t xml:space="preserve">Khoán tháng</t>
  </si>
  <si>
    <t xml:space="preserve">Có</t>
  </si>
  <si>
    <t xml:space="preserve">Không</t>
  </si>
  <si>
    <t xml:space="preserve">18/07/2024</t>
  </si>
  <si>
    <t xml:space="preserve">Chính thức</t>
  </si>
  <si>
    <t xml:space="preserve">045086000771</t>
  </si>
  <si>
    <t xml:space="preserve">Nguyễn Nhật Tân</t>
  </si>
  <si>
    <t xml:space="preserve">Phó giám đốc</t>
  </si>
  <si>
    <t xml:space="preserve">Thời gian</t>
  </si>
  <si>
    <t xml:space="preserve">01/05/2026</t>
  </si>
  <si>
    <t xml:space="preserve">046077009424</t>
  </si>
  <si>
    <t xml:space="preserve">Đặng Quang Chung</t>
  </si>
  <si>
    <t xml:space="preserve">Tổ trưởng CKCT</t>
  </si>
  <si>
    <t xml:space="preserve">1/2017</t>
  </si>
  <si>
    <t xml:space="preserve">Tăng lương lên 17tr từ 19/09 -31/12/2025 Tăng BHXH lên 6.928.000 từ 01/11/2025</t>
  </si>
  <si>
    <t xml:space="preserve">046086012110</t>
  </si>
  <si>
    <t xml:space="preserve">Nguyễn Hào</t>
  </si>
  <si>
    <t xml:space="preserve">Nhân viên CKCT</t>
  </si>
  <si>
    <t xml:space="preserve">Chung</t>
  </si>
  <si>
    <t xml:space="preserve">2/12/2023</t>
  </si>
  <si>
    <t xml:space="preserve">046485004744</t>
  </si>
  <si>
    <t xml:space="preserve">Nguyễn Mạnh Thắng</t>
  </si>
  <si>
    <t xml:space="preserve">5/12/2023</t>
  </si>
  <si>
    <t xml:space="preserve">046092012558</t>
  </si>
  <si>
    <t xml:space="preserve">Nguyễn Quang Quốc</t>
  </si>
  <si>
    <t xml:space="preserve">8/12/2023</t>
  </si>
  <si>
    <t xml:space="preserve">046066004079</t>
  </si>
  <si>
    <t xml:space="preserve">Trần Đình Chiến</t>
  </si>
  <si>
    <t xml:space="preserve">03/03/2024</t>
  </si>
  <si>
    <t xml:space="preserve">Đã có quyết định nâng lương lên 15tr từ 01/04/2026</t>
  </si>
  <si>
    <t xml:space="preserve">046078005974</t>
  </si>
  <si>
    <t xml:space="preserve">Phạm Bá Vinh</t>
  </si>
  <si>
    <t xml:space="preserve">Tổ phó CKCT</t>
  </si>
  <si>
    <t xml:space="preserve">01/06/2025</t>
  </si>
  <si>
    <t xml:space="preserve">046080010214</t>
  </si>
  <si>
    <t xml:space="preserve">Nguyễn Văn Cường</t>
  </si>
  <si>
    <t xml:space="preserve">Trung báo có quyết định đổi thành tổ phó từ… nên có phụ cấp từ tháng 10/2025</t>
  </si>
  <si>
    <t xml:space="preserve">046097006456</t>
  </si>
  <si>
    <t xml:space="preserve">Mai Bá Trung</t>
  </si>
  <si>
    <t xml:space="preserve">046078006770</t>
  </si>
  <si>
    <t xml:space="preserve">Cao Phước Tiến</t>
  </si>
  <si>
    <t xml:space="preserve">Trừ lương từ tháng 07/2025 đến hết tháng 12/2027 tiền nợ công ty, mỗi tháng thu 1,5 triệu, riêng tháng 12/2027 thu 900.000đ theo kế hoạch trả nợ</t>
  </si>
  <si>
    <t xml:space="preserve">046090009551</t>
  </si>
  <si>
    <t xml:space="preserve">Nguyễn Ngọc Thanh</t>
  </si>
  <si>
    <t xml:space="preserve">2025-09-19 00:00:00</t>
  </si>
  <si>
    <t xml:space="preserve">Thử việc 9tr, BHXH từ 01/11/2025 Tính lương chính thức 11.6tr/26 công từ 21/10/2025,  Lê Trung báo phụ cấp 1tr từ 01/02/2026, chưa trả hồ sơ</t>
  </si>
  <si>
    <t xml:space="preserve">046208001119</t>
  </si>
  <si>
    <t xml:space="preserve">Dương Vinh Quang</t>
  </si>
  <si>
    <t xml:space="preserve">Phụ bảo dưỡng xe</t>
  </si>
  <si>
    <t xml:space="preserve">22/05/2026</t>
  </si>
  <si>
    <t xml:space="preserve">Ký hợp đồng ngày 22/05/2026</t>
  </si>
  <si>
    <t xml:space="preserve">045086003213</t>
  </si>
  <si>
    <t xml:space="preserve">Hoàng Xuân Quang</t>
  </si>
  <si>
    <t xml:space="preserve">HAQT</t>
  </si>
  <si>
    <t xml:space="preserve">Cơ điện</t>
  </si>
  <si>
    <t xml:space="preserve">15/06/2024</t>
  </si>
  <si>
    <t xml:space="preserve">PC mùa vụ 2.000.000 từ 15/05/2026</t>
  </si>
  <si>
    <t xml:space="preserve">044058002123</t>
  </si>
  <si>
    <t xml:space="preserve">Trần Văn Khai</t>
  </si>
  <si>
    <t xml:space="preserve">Bảo vệ</t>
  </si>
  <si>
    <t xml:space="preserve">Nhân viên bảo vệ</t>
  </si>
  <si>
    <t xml:space="preserve">Thời vụ</t>
  </si>
  <si>
    <t xml:space="preserve">PC ăn bảo vệ 260.000 + PC mùa vụ 1.000.000</t>
  </si>
  <si>
    <t xml:space="preserve">045089005452</t>
  </si>
  <si>
    <t xml:space="preserve">Lê Văn Dũng</t>
  </si>
  <si>
    <t xml:space="preserve">PC ăn bảo vệ 260.000</t>
  </si>
  <si>
    <t xml:space="preserve">TV_MAU_01</t>
  </si>
  <si>
    <t xml:space="preserve">(Ví dụ) Nguyễn Văn B</t>
  </si>
  <si>
    <t xml:space="preserve">HAPD</t>
  </si>
  <si>
    <t xml:space="preserve">Kỹ thuật</t>
  </si>
  <si>
    <t xml:space="preserve">NV bảo trì</t>
  </si>
  <si>
    <t xml:space="preserve">Thử việc</t>
  </si>
  <si>
    <t xml:space="preserve">01/09/2026</t>
  </si>
  <si>
    <t xml:space="preserve">DÒNG VÍ DỤ: thử việc 85% lương CB, chuyên cần nhóm Cơ điện</t>
  </si>
  <si>
    <t xml:space="preserve">BẢNG CHẤM CÔNG THỜI GIAN – một bảng duy nhất cho 3 pháp nhân</t>
  </si>
  <si>
    <t xml:space="preserve">Ô = số giờ hoặc mã KY_HIEU. Cột ngày không tồn tại trong tháng bị tô xám. Ô đỏ = giá trị không hợp lệ hoặc &gt; giờ tối đa. Cột CN tô nhạt.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</si>
  <si>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</si>
  <si>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</si>
  <si>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</si>
  <si>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</si>
  <si>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</si>
  <si>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</si>
  <si>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</si>
  <si>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</si>
  <si>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</si>
  <si>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</si>
  <si>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</si>
  <si>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</si>
  <si>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</si>
  <si>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</si>
  <si>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</si>
  <si>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</si>
  <si>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</si>
  <si>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</si>
  <si>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</si>
  <si>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</si>
  <si>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</si>
  <si>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</si>
  <si>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</si>
  <si>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</si>
  <si>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</si>
  <si>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</si>
  <si>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</si>
  <si>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</si>
  <si>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</si>
  <si>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</si>
  <si>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</si>
  <si>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Công</t>
  </si>
  <si>
    <t xml:space="preserve">Phép (ngày)</t>
  </si>
  <si>
    <t xml:space="preserve">Nghỉ lễ (ngày)</t>
  </si>
  <si>
    <t xml:space="preserve">Giờ làm ngày lễ</t>
  </si>
  <si>
    <t xml:space="preserve">Chế độ cty (ngày)</t>
  </si>
  <si>
    <t xml:space="preserve">CT Lào (ngày)</t>
  </si>
  <si>
    <t xml:space="preserve">Người chấm</t>
  </si>
  <si>
    <t xml:space="preserve">Người duyệt</t>
  </si>
  <si>
    <t xml:space="preserve">Dòng ví dụ: có P, L4, H/2 để xem cách tính</t>
  </si>
  <si>
    <t xml:space="preserve">TỔNG</t>
  </si>
  <si>
    <t xml:space="preserve">ĐIỀU CHỈNH THEO NGƯỜI – mỗi khoản một dòng, có lý do và người duyệt</t>
  </si>
  <si>
    <t xml:space="preserve">Thay cho ghi chú bằng chữ và các ô sửa tay trong Bảng lương cũ. Chỉ dòng có hiệu lực trùng kỳ (THAM_SO) mới được cộng vào LUONG.</t>
  </si>
  <si>
    <t xml:space="preserve">Loại</t>
  </si>
  <si>
    <t xml:space="preserve">Số tiền (+ cộng / − trừ theo Loại)</t>
  </si>
  <si>
    <t xml:space="preserve">Hiệu lực từ (tháng)</t>
  </si>
  <si>
    <t xml:space="preserve">Hiệu lực đến (tháng)</t>
  </si>
  <si>
    <t xml:space="preserve">Lý do / căn cứ</t>
  </si>
  <si>
    <t xml:space="preserve">Đang áp dụng kỳ này?</t>
  </si>
  <si>
    <t xml:space="preserve">Tạm ứng</t>
  </si>
  <si>
    <t xml:space="preserve">2026-08</t>
  </si>
  <si>
    <t xml:space="preserve">Tạm ứng lương (Bảng lương cũ cột Y)</t>
  </si>
  <si>
    <t xml:space="preserve">KTT</t>
  </si>
  <si>
    <t xml:space="preserve">Trừ khác</t>
  </si>
  <si>
    <t xml:space="preserve">2025-07</t>
  </si>
  <si>
    <t xml:space="preserve">2027-12</t>
  </si>
  <si>
    <t xml:space="preserve">Thu nợ công ty theo kế hoạch trả nợ 1,5tr/tháng; riêng 12/2027 thu 900.000 (sửa dòng riêng)</t>
  </si>
  <si>
    <t xml:space="preserve">BGĐ</t>
  </si>
  <si>
    <t xml:space="preserve">Chuyên cần</t>
  </si>
  <si>
    <t xml:space="preserve">File cũ ghi tay 0 dù 29 công – HCNS CẦN XÁC NHẬN LÝ DO</t>
  </si>
  <si>
    <t xml:space="preserve">?</t>
  </si>
  <si>
    <t xml:space="preserve">File cũ ghi tay 0% dù 34,5 công – HCNS CẦN XÁC NHẬN LÝ DO</t>
  </si>
  <si>
    <t xml:space="preserve">File cũ ghi tay 300.000 dù chỉ 27 công – HCNS CẦN XÁC NHẬN LÝ DO</t>
  </si>
  <si>
    <t xml:space="preserve">Loại: Tạm ứng / Trừ khác / KPI trừ = số dương, bị trừ. Cộng khác / Truy lĩnh = cộng. Chuyên cần = cộng/trừ vào tiền chuyên cần tính theo quy tắc. Hiệu lực ghi dạng yyyy-mm.</t>
  </si>
  <si>
    <t xml:space="preserve">BẢNG LƯƠNG THỜI GIAN</t>
  </si>
  <si>
    <t xml:space="preserve">Toàn bộ là công thức. Cột AF THỰC NHẬN là số đưa sang ĐNTT / file chuyển khoản. Dòng 5 ghi cột tương ứng ở Bảng lương cũ (APQT).</t>
  </si>
  <si>
    <t xml:space="preserve">Lương thử việc</t>
  </si>
  <si>
    <t xml:space="preserve">Phụ cấp cố định</t>
  </si>
  <si>
    <t xml:space="preserve">Nhóm CC</t>
  </si>
  <si>
    <t xml:space="preserve">Giờ làm lễ</t>
  </si>
  <si>
    <t xml:space="preserve">Lương thời gian</t>
  </si>
  <si>
    <t xml:space="preserve">Lương phép</t>
  </si>
  <si>
    <t xml:space="preserve">Lương nghỉ lễ</t>
  </si>
  <si>
    <t xml:space="preserve">Lương làm ngày lễ (+)</t>
  </si>
  <si>
    <t xml:space="preserve">Lương chế độ cty</t>
  </si>
  <si>
    <t xml:space="preserve">Phụ cấp</t>
  </si>
  <si>
    <t xml:space="preserve">Truy lĩnh / cộng khác</t>
  </si>
  <si>
    <t xml:space="preserve">TỔNG LƯƠNG</t>
  </si>
  <si>
    <t xml:space="preserve">BHXH NLĐ</t>
  </si>
  <si>
    <t xml:space="preserve">Trừ khác (nợ…)</t>
  </si>
  <si>
    <t xml:space="preserve">KPI trừ</t>
  </si>
  <si>
    <t xml:space="preserve">Tổng trừ</t>
  </si>
  <si>
    <t xml:space="preserve">THỰC NHẬN</t>
  </si>
  <si>
    <t xml:space="preserve">Cũ: C</t>
  </si>
  <si>
    <t xml:space="preserve">Cũ: D</t>
  </si>
  <si>
    <t xml:space="preserve">Cũ: H</t>
  </si>
  <si>
    <t xml:space="preserve">Cũ: AH</t>
  </si>
  <si>
    <t xml:space="preserve">Cũ: O</t>
  </si>
  <si>
    <t xml:space="preserve">Cũ: N</t>
  </si>
  <si>
    <t xml:space="preserve">Cũ: M</t>
  </si>
  <si>
    <t xml:space="preserve">Cũ: Q</t>
  </si>
  <si>
    <t xml:space="preserve">Cũ: J</t>
  </si>
  <si>
    <t xml:space="preserve">Cũ: K</t>
  </si>
  <si>
    <t xml:space="preserve">Cũ: L</t>
  </si>
  <si>
    <t xml:space="preserve">Cũ: S</t>
  </si>
  <si>
    <t xml:space="preserve">Cũ: U</t>
  </si>
  <si>
    <t xml:space="preserve">Cũ: V</t>
  </si>
  <si>
    <t xml:space="preserve">Cũ: T</t>
  </si>
  <si>
    <t xml:space="preserve">Cũ: P</t>
  </si>
  <si>
    <t xml:space="preserve">Cũ: W</t>
  </si>
  <si>
    <t xml:space="preserve">Cũ: X</t>
  </si>
  <si>
    <t xml:space="preserve">Cũ: Y</t>
  </si>
  <si>
    <t xml:space="preserve">Cũ: AA</t>
  </si>
  <si>
    <t xml:space="preserve">Cũ: Z</t>
  </si>
  <si>
    <t xml:space="preserve">Cũ: AB</t>
  </si>
  <si>
    <t xml:space="preserve">Cũ: AC</t>
  </si>
  <si>
    <t xml:space="preserve">Cũ: AG</t>
  </si>
  <si>
    <t xml:space="preserve">TỔNG CỘNG</t>
  </si>
  <si>
    <t xml:space="preserve">Tổng theo pháp nhân → ĐNTT:</t>
  </si>
  <si>
    <t xml:space="preserve">BẢNG TRÍCH BHXH – BHYT – BHTN</t>
  </si>
  <si>
    <t xml:space="preserve">Tự lấy từ NHAN_VIEN (Đóng BHXH = Có). Tỷ lệ ở THAM_SO. Làm tròn lên từng khoản như file cũ.</t>
  </si>
  <si>
    <t xml:space="preserve">Mức lương đóng</t>
  </si>
  <si>
    <t xml:space="preserve">NSDLĐ – BHXH 17,5%</t>
  </si>
  <si>
    <t xml:space="preserve">NSDLĐ – BHYT 3%</t>
  </si>
  <si>
    <t xml:space="preserve">NSDLĐ – BHTN 1%</t>
  </si>
  <si>
    <t xml:space="preserve">Tổng NSDLĐ 21,5%</t>
  </si>
  <si>
    <t xml:space="preserve">NLĐ – BHXH 8%</t>
  </si>
  <si>
    <t xml:space="preserve">NLĐ – BHYT 1,5%</t>
  </si>
  <si>
    <t xml:space="preserve">NLĐ – BHTN 1%</t>
  </si>
  <si>
    <t xml:space="preserve">Tổng NLĐ 10,5%</t>
  </si>
  <si>
    <t xml:space="preserve">Ghi chú: tỷ lệ 17,5/3/1 và 8/1,5/1 ghi cứng theo file cũ; nếu luật đổi, sửa cả THAM_SO và sheet này.</t>
  </si>
  <si>
    <t xml:space="preserve">KIỂM TRA TRƯỚC KHI CHỐT</t>
  </si>
  <si>
    <t xml:space="preserve">#</t>
  </si>
  <si>
    <t xml:space="preserve">Nội dung</t>
  </si>
  <si>
    <t xml:space="preserve">Giá trị</t>
  </si>
  <si>
    <t xml:space="preserve">Kết quả</t>
  </si>
  <si>
    <t xml:space="preserve">Xử lý</t>
  </si>
  <si>
    <t xml:space="preserve">Ô chấm công không hợp lệ (chữ không phải mã, số ngoài 0–24 hoặc lẻ 0,5)</t>
  </si>
  <si>
    <t xml:space="preserve">Ô đỏ trong BCC</t>
  </si>
  <si>
    <t xml:space="preserve">Ô có giờ vượt mức cảnh báo (THAM_SO)</t>
  </si>
  <si>
    <t xml:space="preserve">Ô cam trong BCC – xác nhận tăng ca/ca kép</t>
  </si>
  <si>
    <t xml:space="preserve">Ô có giờ vào Chủ nhật</t>
  </si>
  <si>
    <t xml:space="preserve">Chỉ để BGĐ biết; hiện tính như ngày thường</t>
  </si>
  <si>
    <t xml:space="preserve">Ô có giờ thường vào ngày lễ (nên là NL hoặc L-n)</t>
  </si>
  <si>
    <t xml:space="preserve">Đổi thành L-n để hưởng hệ số lễ</t>
  </si>
  <si>
    <t xml:space="preserve">Mã NV trùng trong BCC</t>
  </si>
  <si>
    <t xml:space="preserve">Một người một dòng</t>
  </si>
  <si>
    <t xml:space="preserve">Mã NV trùng trong NHAN_VIEN</t>
  </si>
  <si>
    <t xml:space="preserve">Mã trong BCC/DIEU_CHINH không có trong danh mục</t>
  </si>
  <si>
    <t xml:space="preserve">Người "Chính thức" trong NHAN_VIEN nhưng không có dòng chấm công</t>
  </si>
  <si>
    <t xml:space="preserve">Thêm dòng BCC hoặc đổi tình trạng</t>
  </si>
  <si>
    <t xml:space="preserve">Dòng BCC chưa có Người duyệt</t>
  </si>
  <si>
    <t xml:space="preserve">Tổ trưởng/HCNS ký duyệt trước khi tính</t>
  </si>
  <si>
    <t xml:space="preserve">Điều chỉnh loại "Chuyên cần" chưa có người duyệt hợp lệ ("?")</t>
  </si>
  <si>
    <t xml:space="preserve">HCNS xác nhận lý do rồi ghi người duyệt</t>
  </si>
  <si>
    <t xml:space="preserve">Người có công &gt; công chuẩn + 6 (kiểm tra ca kép)</t>
  </si>
  <si>
    <t xml:space="preserve">Ô lỗi công thức trong LUONG / BHXH</t>
  </si>
  <si>
    <t xml:space="preserve">Thực nhận âm</t>
  </si>
  <si>
    <t xml:space="preserve">Khoản trừ lớn hơn lương – xem DIEU_CHINH</t>
  </si>
  <si>
    <t xml:space="preserve">Tổng công BCC = tổng công LUONG</t>
  </si>
  <si>
    <t xml:space="preserve">KẾT LUẬN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</si>
</sst>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0%"/>
    <numFmt numFmtId="167" formatCode="#,##0;[RED]\-#,##0;\-"/>
    <numFmt numFmtId="168" formatCode="0.0%"/>
    <numFmt numFmtId="169" formatCode="dd/mm/yyyy"/>
    <numFmt numFmtId="170" formatCode="dd"/>
    <numFmt numFmtId="171" formatCode="0.0"/>
    <numFmt numFmtId="172" formatCode="0.000;\-0.000;\-"/>
    <numFmt numFmtId="173" formatCode="0.0;\-0.0;\-"/>
    <numFmt numFmtId="174" formatCode="#,##0.#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BFBFBF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99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6" t="s">
        <v>5</v>
      </c>
      <c r="B6" s="4" t="s">
        <v>6</v>
      </c>
    </row>
    <row r="7" customFormat="false" ht="15" hidden="false" customHeight="false" outlineLevel="0" collapsed="false">
      <c r="A7" s="7" t="s">
        <v>7</v>
      </c>
      <c r="B7" s="4" t="s">
        <v>8</v>
      </c>
    </row>
    <row r="8" customFormat="false" ht="15" hidden="false" customHeight="false" outlineLevel="0" collapsed="false">
      <c r="A8" s="8" t="s">
        <v>9</v>
      </c>
      <c r="B8" s="4" t="s">
        <v>10</v>
      </c>
    </row>
    <row r="9" customFormat="false" ht="15" hidden="false" customHeight="false" outlineLevel="0" collapsed="false">
      <c r="A9" s="7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7" t="s">
        <v>12</v>
      </c>
      <c r="B11" s="4" t="s">
        <v>13</v>
      </c>
    </row>
    <row r="12" customFormat="false" ht="23.85" hidden="false" customHeight="false" outlineLevel="0" collapsed="false">
      <c r="A12" s="7" t="s">
        <v>14</v>
      </c>
      <c r="B12" s="4" t="s">
        <v>15</v>
      </c>
    </row>
    <row r="13" customFormat="false" ht="23.85" hidden="false" customHeight="false" outlineLevel="0" collapsed="false">
      <c r="A13" s="7" t="s">
        <v>16</v>
      </c>
      <c r="B13" s="4" t="s">
        <v>17</v>
      </c>
    </row>
    <row r="14" customFormat="false" ht="15" hidden="false" customHeight="false" outlineLevel="0" collapsed="false">
      <c r="A14" s="7" t="s">
        <v>18</v>
      </c>
      <c r="B14" s="4" t="s">
        <v>19</v>
      </c>
    </row>
    <row r="15" customFormat="false" ht="15" hidden="false" customHeight="false" outlineLevel="0" collapsed="false">
      <c r="A15" s="7" t="s">
        <v>20</v>
      </c>
      <c r="B15" s="4" t="s">
        <v>21</v>
      </c>
    </row>
    <row r="16" customFormat="false" ht="15" hidden="false" customHeight="false" outlineLevel="0" collapsed="false">
      <c r="A16" s="7" t="s">
        <v>22</v>
      </c>
      <c r="B16" s="4" t="s">
        <v>23</v>
      </c>
    </row>
    <row r="17" customFormat="false" ht="15" hidden="false" customHeight="false" outlineLevel="0" collapsed="false">
      <c r="A17" s="7"/>
      <c r="B17" s="4"/>
    </row>
    <row r="18" customFormat="false" ht="15" hidden="false" customHeight="false" outlineLevel="0" collapsed="false">
      <c r="A18" s="3" t="s">
        <v>24</v>
      </c>
      <c r="B18" s="4"/>
    </row>
    <row r="19" customFormat="false" ht="15" hidden="false" customHeight="false" outlineLevel="0" collapsed="false">
      <c r="A19" s="7" t="s">
        <v>25</v>
      </c>
      <c r="B19" s="4" t="s">
        <v>26</v>
      </c>
    </row>
    <row r="20" customFormat="false" ht="15" hidden="false" customHeight="false" outlineLevel="0" collapsed="false">
      <c r="A20" s="7" t="s">
        <v>27</v>
      </c>
      <c r="B20" s="4" t="s">
        <v>28</v>
      </c>
    </row>
    <row r="21" customFormat="false" ht="15" hidden="false" customHeight="false" outlineLevel="0" collapsed="false">
      <c r="A21" s="7" t="s">
        <v>29</v>
      </c>
      <c r="B21" s="4" t="s">
        <v>30</v>
      </c>
    </row>
    <row r="22" customFormat="false" ht="15" hidden="false" customHeight="false" outlineLevel="0" collapsed="false">
      <c r="A22" s="7" t="s">
        <v>31</v>
      </c>
      <c r="B22" s="4" t="s">
        <v>32</v>
      </c>
    </row>
    <row r="23" customFormat="false" ht="15" hidden="false" customHeight="false" outlineLevel="0" collapsed="false">
      <c r="A23" s="7" t="s">
        <v>33</v>
      </c>
      <c r="B23" s="4" t="s">
        <v>34</v>
      </c>
    </row>
    <row r="24" customFormat="false" ht="15" hidden="false" customHeight="false" outlineLevel="0" collapsed="false">
      <c r="A24" s="7" t="s">
        <v>35</v>
      </c>
      <c r="B24" s="4" t="s">
        <v>36</v>
      </c>
    </row>
    <row r="25" customFormat="false" ht="15" hidden="false" customHeight="false" outlineLevel="0" collapsed="false">
      <c r="A25" s="7"/>
      <c r="B25" s="4"/>
    </row>
    <row r="26" customFormat="false" ht="23.85" hidden="false" customHeight="false" outlineLevel="0" collapsed="false">
      <c r="A26" s="7" t="s">
        <v>37</v>
      </c>
      <c r="B26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" t="s">
        <v>39</v>
      </c>
    </row>
    <row r="3" customFormat="false" ht="15" hidden="false" customHeight="false" outlineLevel="0" collapsed="false">
      <c r="B3" s="0" t="s">
        <v>40</v>
      </c>
      <c r="C3" s="9" t="n">
        <v>8</v>
      </c>
    </row>
    <row r="4" customFormat="false" ht="15" hidden="false" customHeight="false" outlineLevel="0" collapsed="false">
      <c r="B4" s="0" t="s">
        <v>41</v>
      </c>
      <c r="C4" s="9" t="n">
        <v>2026</v>
      </c>
    </row>
    <row r="6" customFormat="false" ht="15" hidden="false" customHeight="false" outlineLevel="0" collapsed="false">
      <c r="B6" s="0" t="s">
        <v>42</v>
      </c>
      <c r="C6" s="10" t="n">
        <v>26</v>
      </c>
      <c r="D6" s="2" t="s">
        <v>43</v>
      </c>
    </row>
    <row r="7" customFormat="false" ht="15" hidden="false" customHeight="false" outlineLevel="0" collapsed="false">
      <c r="B7" s="0" t="s">
        <v>44</v>
      </c>
      <c r="C7" s="11" t="n">
        <v>0.85</v>
      </c>
    </row>
    <row r="8" customFormat="false" ht="15" hidden="false" customHeight="false" outlineLevel="0" collapsed="false">
      <c r="B8" s="0" t="s">
        <v>45</v>
      </c>
      <c r="C8" s="11" t="n">
        <v>1.5</v>
      </c>
      <c r="D8" s="2" t="s">
        <v>46</v>
      </c>
    </row>
    <row r="9" customFormat="false" ht="15" hidden="false" customHeight="false" outlineLevel="0" collapsed="false">
      <c r="B9" s="0" t="s">
        <v>47</v>
      </c>
      <c r="C9" s="10" t="n">
        <v>29</v>
      </c>
      <c r="D9" s="2" t="s">
        <v>48</v>
      </c>
    </row>
    <row r="10" customFormat="false" ht="15" hidden="false" customHeight="false" outlineLevel="0" collapsed="false">
      <c r="B10" s="0" t="s">
        <v>49</v>
      </c>
      <c r="C10" s="12" t="n">
        <v>300000</v>
      </c>
    </row>
    <row r="11" customFormat="false" ht="15" hidden="false" customHeight="false" outlineLevel="0" collapsed="false">
      <c r="B11" s="0" t="s">
        <v>50</v>
      </c>
      <c r="C11" s="10" t="n">
        <v>26</v>
      </c>
      <c r="D11" s="2" t="s">
        <v>51</v>
      </c>
    </row>
    <row r="12" customFormat="false" ht="15" hidden="false" customHeight="false" outlineLevel="0" collapsed="false">
      <c r="B12" s="0" t="s">
        <v>52</v>
      </c>
      <c r="C12" s="12" t="n">
        <v>500000</v>
      </c>
    </row>
    <row r="13" customFormat="false" ht="15" hidden="false" customHeight="false" outlineLevel="0" collapsed="false">
      <c r="B13" s="0" t="s">
        <v>53</v>
      </c>
      <c r="C13" s="10" t="n">
        <v>40</v>
      </c>
    </row>
    <row r="14" customFormat="false" ht="15" hidden="false" customHeight="false" outlineLevel="0" collapsed="false">
      <c r="B14" s="0" t="s">
        <v>54</v>
      </c>
      <c r="C14" s="12" t="n">
        <v>700000</v>
      </c>
    </row>
    <row r="15" customFormat="false" ht="15" hidden="false" customHeight="false" outlineLevel="0" collapsed="false">
      <c r="B15" s="0" t="s">
        <v>55</v>
      </c>
      <c r="C15" s="13" t="n">
        <v>0.105</v>
      </c>
    </row>
    <row r="16" customFormat="false" ht="15" hidden="false" customHeight="false" outlineLevel="0" collapsed="false">
      <c r="B16" s="0" t="s">
        <v>56</v>
      </c>
      <c r="C16" s="13" t="n">
        <v>0.215</v>
      </c>
    </row>
    <row r="17" customFormat="false" ht="15" hidden="false" customHeight="false" outlineLevel="0" collapsed="false">
      <c r="B17" s="0" t="s">
        <v>57</v>
      </c>
      <c r="C17" s="10" t="n">
        <v>8</v>
      </c>
    </row>
    <row r="18" customFormat="false" ht="15" hidden="false" customHeight="false" outlineLevel="0" collapsed="false">
      <c r="B18" s="0" t="s">
        <v>58</v>
      </c>
      <c r="C18" s="12" t="n">
        <v>1000</v>
      </c>
    </row>
    <row r="19" customFormat="false" ht="15" hidden="false" customHeight="false" outlineLevel="0" collapsed="false">
      <c r="B19" s="0" t="s">
        <v>59</v>
      </c>
      <c r="C19" s="10" t="n">
        <v>12</v>
      </c>
    </row>
    <row r="21" customFormat="false" ht="15" hidden="false" customHeight="false" outlineLevel="0" collapsed="false">
      <c r="B21" s="3" t="s">
        <v>60</v>
      </c>
    </row>
    <row r="22" customFormat="false" ht="15" hidden="false" customHeight="false" outlineLevel="0" collapsed="false">
      <c r="B22" s="14"/>
      <c r="D22" s="2" t="s">
        <v>61</v>
      </c>
    </row>
    <row r="23" customFormat="false" ht="15" hidden="false" customHeight="false" outlineLevel="0" collapsed="false">
      <c r="B23" s="14"/>
    </row>
    <row r="24" customFormat="false" ht="15" hidden="false" customHeight="false" outlineLevel="0" collapsed="false">
      <c r="B24" s="14"/>
    </row>
    <row r="25" customFormat="false" ht="15" hidden="false" customHeight="false" outlineLevel="0" collapsed="false">
      <c r="B25" s="14"/>
    </row>
    <row r="26" customFormat="false" ht="15" hidden="false" customHeight="false" outlineLevel="0" collapsed="false">
      <c r="B26" s="14"/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55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15" t="s">
        <v>64</v>
      </c>
      <c r="B4" s="15" t="s">
        <v>65</v>
      </c>
      <c r="C4" s="15" t="s">
        <v>66</v>
      </c>
      <c r="D4" s="15" t="s">
        <v>67</v>
      </c>
      <c r="E4" s="15" t="s">
        <v>68</v>
      </c>
      <c r="F4" s="15" t="s">
        <v>69</v>
      </c>
      <c r="G4" s="15" t="s">
        <v>70</v>
      </c>
      <c r="H4" s="15" t="s">
        <v>71</v>
      </c>
      <c r="I4" s="15" t="s">
        <v>72</v>
      </c>
    </row>
    <row r="5" customFormat="false" ht="15" hidden="false" customHeight="false" outlineLevel="0" collapsed="false">
      <c r="A5" s="16" t="s">
        <v>73</v>
      </c>
      <c r="B5" s="16" t="s">
        <v>74</v>
      </c>
      <c r="C5" s="17" t="n">
        <v>0</v>
      </c>
      <c r="D5" s="17" t="n">
        <v>8</v>
      </c>
      <c r="E5" s="17" t="n">
        <v>0</v>
      </c>
      <c r="F5" s="17" t="n">
        <v>0</v>
      </c>
      <c r="G5" s="17" t="n">
        <v>0</v>
      </c>
      <c r="H5" s="17" t="n">
        <v>0</v>
      </c>
      <c r="I5" s="16"/>
    </row>
    <row r="6" customFormat="false" ht="15" hidden="false" customHeight="false" outlineLevel="0" collapsed="false">
      <c r="A6" s="16" t="s">
        <v>75</v>
      </c>
      <c r="B6" s="16" t="s">
        <v>76</v>
      </c>
      <c r="C6" s="17" t="n">
        <v>0</v>
      </c>
      <c r="D6" s="17" t="n">
        <v>4</v>
      </c>
      <c r="E6" s="17" t="n">
        <v>0</v>
      </c>
      <c r="F6" s="17" t="n">
        <v>0</v>
      </c>
      <c r="G6" s="17" t="n">
        <v>0</v>
      </c>
      <c r="H6" s="17" t="n">
        <v>0</v>
      </c>
      <c r="I6" s="16"/>
    </row>
    <row r="7" customFormat="false" ht="15" hidden="false" customHeight="false" outlineLevel="0" collapsed="false">
      <c r="A7" s="16" t="s">
        <v>77</v>
      </c>
      <c r="B7" s="16" t="s">
        <v>78</v>
      </c>
      <c r="C7" s="17" t="n">
        <v>0</v>
      </c>
      <c r="D7" s="17" t="n">
        <v>0</v>
      </c>
      <c r="E7" s="17" t="n">
        <v>8</v>
      </c>
      <c r="F7" s="17" t="n">
        <v>0</v>
      </c>
      <c r="G7" s="17" t="n">
        <v>0</v>
      </c>
      <c r="H7" s="17" t="n">
        <v>0</v>
      </c>
      <c r="I7" s="16" t="s">
        <v>79</v>
      </c>
    </row>
    <row r="8" customFormat="false" ht="15" hidden="false" customHeight="false" outlineLevel="0" collapsed="false">
      <c r="A8" s="16" t="s">
        <v>80</v>
      </c>
      <c r="B8" s="16" t="s">
        <v>81</v>
      </c>
      <c r="C8" s="17" t="n">
        <v>0</v>
      </c>
      <c r="D8" s="17" t="n">
        <v>0</v>
      </c>
      <c r="E8" s="17" t="n">
        <v>4</v>
      </c>
      <c r="F8" s="17" t="n">
        <v>0</v>
      </c>
      <c r="G8" s="17" t="n">
        <v>0</v>
      </c>
      <c r="H8" s="17" t="n">
        <v>0</v>
      </c>
      <c r="I8" s="16" t="s">
        <v>82</v>
      </c>
    </row>
    <row r="9" customFormat="false" ht="15" hidden="false" customHeight="false" outlineLevel="0" collapsed="false">
      <c r="A9" s="16" t="s">
        <v>83</v>
      </c>
      <c r="B9" s="16" t="s">
        <v>84</v>
      </c>
      <c r="C9" s="17" t="n">
        <v>8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8</v>
      </c>
      <c r="I9" s="16" t="s">
        <v>85</v>
      </c>
    </row>
    <row r="10" customFormat="false" ht="15" hidden="false" customHeight="false" outlineLevel="0" collapsed="false">
      <c r="A10" s="16" t="s">
        <v>86</v>
      </c>
      <c r="B10" s="16" t="s">
        <v>87</v>
      </c>
      <c r="C10" s="17" t="n">
        <v>4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4</v>
      </c>
      <c r="I10" s="16"/>
    </row>
    <row r="11" customFormat="false" ht="15" hidden="false" customHeight="false" outlineLevel="0" collapsed="false">
      <c r="A11" s="16" t="s">
        <v>88</v>
      </c>
      <c r="B11" s="16" t="s">
        <v>89</v>
      </c>
      <c r="C11" s="17" t="n">
        <v>8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6"/>
    </row>
    <row r="12" customFormat="false" ht="15" hidden="false" customHeight="false" outlineLevel="0" collapsed="false">
      <c r="A12" s="16" t="s">
        <v>90</v>
      </c>
      <c r="B12" s="16" t="s">
        <v>91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8</v>
      </c>
      <c r="H12" s="17" t="n">
        <v>0</v>
      </c>
      <c r="I12" s="16" t="s">
        <v>92</v>
      </c>
    </row>
    <row r="13" customFormat="false" ht="15" hidden="false" customHeight="false" outlineLevel="0" collapsed="false">
      <c r="A13" s="16" t="s">
        <v>93</v>
      </c>
      <c r="B13" s="16" t="s">
        <v>94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4</v>
      </c>
      <c r="H13" s="17" t="n">
        <v>0</v>
      </c>
      <c r="I13" s="16"/>
    </row>
    <row r="14" customFormat="false" ht="15" hidden="false" customHeight="false" outlineLevel="0" collapsed="false">
      <c r="A14" s="16" t="s">
        <v>95</v>
      </c>
      <c r="B14" s="16" t="s">
        <v>96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6" t="s">
        <v>97</v>
      </c>
    </row>
    <row r="15" customFormat="false" ht="15" hidden="false" customHeight="false" outlineLevel="0" collapsed="false">
      <c r="A15" s="16" t="s">
        <v>98</v>
      </c>
      <c r="B15" s="16" t="s">
        <v>99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6"/>
    </row>
    <row r="16" customFormat="false" ht="15" hidden="false" customHeight="false" outlineLevel="0" collapsed="false">
      <c r="A16" s="16" t="s">
        <v>100</v>
      </c>
      <c r="B16" s="16" t="s">
        <v>101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6" t="s">
        <v>102</v>
      </c>
    </row>
    <row r="17" customFormat="false" ht="15" hidden="false" customHeight="false" outlineLevel="0" collapsed="false">
      <c r="A17" s="16" t="s">
        <v>103</v>
      </c>
      <c r="B17" s="16" t="s">
        <v>104</v>
      </c>
      <c r="C17" s="17" t="n">
        <v>1</v>
      </c>
      <c r="D17" s="17" t="n">
        <v>0</v>
      </c>
      <c r="E17" s="17" t="n">
        <v>8</v>
      </c>
      <c r="F17" s="17" t="n">
        <v>1</v>
      </c>
      <c r="G17" s="17" t="n">
        <v>0</v>
      </c>
      <c r="H17" s="17" t="n">
        <v>0</v>
      </c>
      <c r="I17" s="16" t="s">
        <v>105</v>
      </c>
    </row>
    <row r="18" customFormat="false" ht="15" hidden="false" customHeight="false" outlineLevel="0" collapsed="false">
      <c r="A18" s="16" t="s">
        <v>106</v>
      </c>
      <c r="B18" s="16" t="s">
        <v>107</v>
      </c>
      <c r="C18" s="17" t="n">
        <v>2</v>
      </c>
      <c r="D18" s="17" t="n">
        <v>0</v>
      </c>
      <c r="E18" s="17" t="n">
        <v>8</v>
      </c>
      <c r="F18" s="17" t="n">
        <v>2</v>
      </c>
      <c r="G18" s="17" t="n">
        <v>0</v>
      </c>
      <c r="H18" s="17" t="n">
        <v>0</v>
      </c>
      <c r="I18" s="16"/>
    </row>
    <row r="19" customFormat="false" ht="15" hidden="false" customHeight="false" outlineLevel="0" collapsed="false">
      <c r="A19" s="16" t="s">
        <v>108</v>
      </c>
      <c r="B19" s="16" t="s">
        <v>109</v>
      </c>
      <c r="C19" s="17" t="n">
        <v>3</v>
      </c>
      <c r="D19" s="17" t="n">
        <v>0</v>
      </c>
      <c r="E19" s="17" t="n">
        <v>8</v>
      </c>
      <c r="F19" s="17" t="n">
        <v>3</v>
      </c>
      <c r="G19" s="17" t="n">
        <v>0</v>
      </c>
      <c r="H19" s="17" t="n">
        <v>0</v>
      </c>
      <c r="I19" s="16"/>
    </row>
    <row r="20" customFormat="false" ht="15" hidden="false" customHeight="false" outlineLevel="0" collapsed="false">
      <c r="A20" s="16" t="s">
        <v>110</v>
      </c>
      <c r="B20" s="16" t="s">
        <v>111</v>
      </c>
      <c r="C20" s="17" t="n">
        <v>4</v>
      </c>
      <c r="D20" s="17" t="n">
        <v>0</v>
      </c>
      <c r="E20" s="17" t="n">
        <v>8</v>
      </c>
      <c r="F20" s="17" t="n">
        <v>4</v>
      </c>
      <c r="G20" s="17" t="n">
        <v>0</v>
      </c>
      <c r="H20" s="17" t="n">
        <v>0</v>
      </c>
      <c r="I20" s="16"/>
    </row>
    <row r="21" customFormat="false" ht="15" hidden="false" customHeight="false" outlineLevel="0" collapsed="false">
      <c r="A21" s="16" t="s">
        <v>112</v>
      </c>
      <c r="B21" s="16" t="s">
        <v>113</v>
      </c>
      <c r="C21" s="17" t="n">
        <v>5</v>
      </c>
      <c r="D21" s="17" t="n">
        <v>0</v>
      </c>
      <c r="E21" s="17" t="n">
        <v>8</v>
      </c>
      <c r="F21" s="17" t="n">
        <v>5</v>
      </c>
      <c r="G21" s="17" t="n">
        <v>0</v>
      </c>
      <c r="H21" s="17" t="n">
        <v>0</v>
      </c>
      <c r="I21" s="16"/>
    </row>
    <row r="22" customFormat="false" ht="15" hidden="false" customHeight="false" outlineLevel="0" collapsed="false">
      <c r="A22" s="16" t="s">
        <v>114</v>
      </c>
      <c r="B22" s="16" t="s">
        <v>115</v>
      </c>
      <c r="C22" s="17" t="n">
        <v>6</v>
      </c>
      <c r="D22" s="17" t="n">
        <v>0</v>
      </c>
      <c r="E22" s="17" t="n">
        <v>8</v>
      </c>
      <c r="F22" s="17" t="n">
        <v>6</v>
      </c>
      <c r="G22" s="17" t="n">
        <v>0</v>
      </c>
      <c r="H22" s="17" t="n">
        <v>0</v>
      </c>
      <c r="I22" s="16"/>
    </row>
    <row r="23" customFormat="false" ht="15" hidden="false" customHeight="false" outlineLevel="0" collapsed="false">
      <c r="A23" s="16" t="s">
        <v>116</v>
      </c>
      <c r="B23" s="16" t="s">
        <v>117</v>
      </c>
      <c r="C23" s="17" t="n">
        <v>7</v>
      </c>
      <c r="D23" s="17" t="n">
        <v>0</v>
      </c>
      <c r="E23" s="17" t="n">
        <v>8</v>
      </c>
      <c r="F23" s="17" t="n">
        <v>7</v>
      </c>
      <c r="G23" s="17" t="n">
        <v>0</v>
      </c>
      <c r="H23" s="17" t="n">
        <v>0</v>
      </c>
      <c r="I23" s="16"/>
    </row>
    <row r="24" customFormat="false" ht="15" hidden="false" customHeight="false" outlineLevel="0" collapsed="false">
      <c r="A24" s="16" t="s">
        <v>118</v>
      </c>
      <c r="B24" s="16" t="s">
        <v>119</v>
      </c>
      <c r="C24" s="17" t="n">
        <v>8</v>
      </c>
      <c r="D24" s="17" t="n">
        <v>0</v>
      </c>
      <c r="E24" s="17" t="n">
        <v>8</v>
      </c>
      <c r="F24" s="17" t="n">
        <v>8</v>
      </c>
      <c r="G24" s="17" t="n">
        <v>0</v>
      </c>
      <c r="H24" s="17" t="n">
        <v>0</v>
      </c>
      <c r="I24" s="16"/>
    </row>
    <row r="25" customFormat="false" ht="15" hidden="false" customHeight="false" outlineLevel="0" collapsed="false">
      <c r="A25" s="16" t="s">
        <v>120</v>
      </c>
      <c r="B25" s="16" t="s">
        <v>121</v>
      </c>
      <c r="C25" s="17" t="n">
        <v>9</v>
      </c>
      <c r="D25" s="17" t="n">
        <v>0</v>
      </c>
      <c r="E25" s="17" t="n">
        <v>8</v>
      </c>
      <c r="F25" s="17" t="n">
        <v>9</v>
      </c>
      <c r="G25" s="17" t="n">
        <v>0</v>
      </c>
      <c r="H25" s="17" t="n">
        <v>0</v>
      </c>
      <c r="I25" s="16"/>
    </row>
    <row r="26" customFormat="false" ht="15" hidden="false" customHeight="false" outlineLevel="0" collapsed="false">
      <c r="A26" s="16" t="s">
        <v>122</v>
      </c>
      <c r="B26" s="16" t="s">
        <v>123</v>
      </c>
      <c r="C26" s="17" t="n">
        <v>10</v>
      </c>
      <c r="D26" s="17" t="n">
        <v>0</v>
      </c>
      <c r="E26" s="17" t="n">
        <v>8</v>
      </c>
      <c r="F26" s="17" t="n">
        <v>10</v>
      </c>
      <c r="G26" s="17" t="n">
        <v>0</v>
      </c>
      <c r="H26" s="17" t="n">
        <v>0</v>
      </c>
      <c r="I26" s="16"/>
    </row>
    <row r="27" customFormat="false" ht="15" hidden="false" customHeight="false" outlineLevel="0" collapsed="false">
      <c r="A27" s="16" t="s">
        <v>124</v>
      </c>
      <c r="B27" s="16" t="s">
        <v>125</v>
      </c>
      <c r="C27" s="17" t="n">
        <v>11</v>
      </c>
      <c r="D27" s="17" t="n">
        <v>0</v>
      </c>
      <c r="E27" s="17" t="n">
        <v>8</v>
      </c>
      <c r="F27" s="17" t="n">
        <v>11</v>
      </c>
      <c r="G27" s="17" t="n">
        <v>0</v>
      </c>
      <c r="H27" s="17" t="n">
        <v>0</v>
      </c>
      <c r="I27" s="16"/>
    </row>
    <row r="28" customFormat="false" ht="15" hidden="false" customHeight="false" outlineLevel="0" collapsed="false">
      <c r="A28" s="16" t="s">
        <v>126</v>
      </c>
      <c r="B28" s="16" t="s">
        <v>127</v>
      </c>
      <c r="C28" s="17" t="n">
        <v>12</v>
      </c>
      <c r="D28" s="17" t="n">
        <v>0</v>
      </c>
      <c r="E28" s="17" t="n">
        <v>8</v>
      </c>
      <c r="F28" s="17" t="n">
        <v>12</v>
      </c>
      <c r="G28" s="17" t="n">
        <v>0</v>
      </c>
      <c r="H28" s="17" t="n">
        <v>0</v>
      </c>
      <c r="I28" s="16"/>
    </row>
    <row r="29" customFormat="false" ht="15" hidden="false" customHeight="false" outlineLevel="0" collapsed="false">
      <c r="A29" s="16" t="s">
        <v>128</v>
      </c>
      <c r="B29" s="16" t="s">
        <v>129</v>
      </c>
      <c r="C29" s="17" t="n">
        <v>13</v>
      </c>
      <c r="D29" s="17" t="n">
        <v>0</v>
      </c>
      <c r="E29" s="17" t="n">
        <v>8</v>
      </c>
      <c r="F29" s="17" t="n">
        <v>13</v>
      </c>
      <c r="G29" s="17" t="n">
        <v>0</v>
      </c>
      <c r="H29" s="17" t="n">
        <v>0</v>
      </c>
      <c r="I29" s="16"/>
    </row>
    <row r="30" customFormat="false" ht="15" hidden="false" customHeight="false" outlineLevel="0" collapsed="false">
      <c r="A30" s="16" t="s">
        <v>130</v>
      </c>
      <c r="B30" s="16" t="s">
        <v>131</v>
      </c>
      <c r="C30" s="17" t="n">
        <v>14</v>
      </c>
      <c r="D30" s="17" t="n">
        <v>0</v>
      </c>
      <c r="E30" s="17" t="n">
        <v>8</v>
      </c>
      <c r="F30" s="17" t="n">
        <v>14</v>
      </c>
      <c r="G30" s="17" t="n">
        <v>0</v>
      </c>
      <c r="H30" s="17" t="n">
        <v>0</v>
      </c>
      <c r="I30" s="16"/>
    </row>
    <row r="31" customFormat="false" ht="15" hidden="false" customHeight="false" outlineLevel="0" collapsed="false">
      <c r="A31" s="16" t="s">
        <v>132</v>
      </c>
      <c r="B31" s="16" t="s">
        <v>133</v>
      </c>
      <c r="C31" s="17" t="n">
        <v>15</v>
      </c>
      <c r="D31" s="17" t="n">
        <v>0</v>
      </c>
      <c r="E31" s="17" t="n">
        <v>8</v>
      </c>
      <c r="F31" s="17" t="n">
        <v>15</v>
      </c>
      <c r="G31" s="17" t="n">
        <v>0</v>
      </c>
      <c r="H31" s="17" t="n">
        <v>0</v>
      </c>
      <c r="I31" s="16"/>
    </row>
    <row r="32" customFormat="false" ht="15" hidden="false" customHeight="false" outlineLevel="0" collapsed="false">
      <c r="A32" s="16" t="s">
        <v>134</v>
      </c>
      <c r="B32" s="16" t="s">
        <v>135</v>
      </c>
      <c r="C32" s="17" t="n">
        <v>16</v>
      </c>
      <c r="D32" s="17" t="n">
        <v>0</v>
      </c>
      <c r="E32" s="17" t="n">
        <v>8</v>
      </c>
      <c r="F32" s="17" t="n">
        <v>16</v>
      </c>
      <c r="G32" s="17" t="n">
        <v>0</v>
      </c>
      <c r="H32" s="17" t="n">
        <v>0</v>
      </c>
      <c r="I32" s="16"/>
    </row>
    <row r="33" customFormat="false" ht="15" hidden="false" customHeight="false" outlineLevel="0" collapsed="false">
      <c r="A33" s="16" t="s">
        <v>136</v>
      </c>
      <c r="B33" s="16" t="s">
        <v>137</v>
      </c>
      <c r="C33" s="17" t="n">
        <v>17</v>
      </c>
      <c r="D33" s="17" t="n">
        <v>0</v>
      </c>
      <c r="E33" s="17" t="n">
        <v>8</v>
      </c>
      <c r="F33" s="17" t="n">
        <v>17</v>
      </c>
      <c r="G33" s="17" t="n">
        <v>0</v>
      </c>
      <c r="H33" s="17" t="n">
        <v>0</v>
      </c>
      <c r="I33" s="16"/>
    </row>
    <row r="34" customFormat="false" ht="15" hidden="false" customHeight="false" outlineLevel="0" collapsed="false">
      <c r="A34" s="16" t="s">
        <v>138</v>
      </c>
      <c r="B34" s="16" t="s">
        <v>139</v>
      </c>
      <c r="C34" s="17" t="n">
        <v>18</v>
      </c>
      <c r="D34" s="17" t="n">
        <v>0</v>
      </c>
      <c r="E34" s="17" t="n">
        <v>8</v>
      </c>
      <c r="F34" s="17" t="n">
        <v>18</v>
      </c>
      <c r="G34" s="17" t="n">
        <v>0</v>
      </c>
      <c r="H34" s="17" t="n">
        <v>0</v>
      </c>
      <c r="I34" s="16"/>
    </row>
    <row r="35" customFormat="false" ht="15" hidden="false" customHeight="false" outlineLevel="0" collapsed="false">
      <c r="A35" s="16" t="s">
        <v>140</v>
      </c>
      <c r="B35" s="16" t="s">
        <v>141</v>
      </c>
      <c r="C35" s="17" t="n">
        <v>19</v>
      </c>
      <c r="D35" s="17" t="n">
        <v>0</v>
      </c>
      <c r="E35" s="17" t="n">
        <v>8</v>
      </c>
      <c r="F35" s="17" t="n">
        <v>19</v>
      </c>
      <c r="G35" s="17" t="n">
        <v>0</v>
      </c>
      <c r="H35" s="17" t="n">
        <v>0</v>
      </c>
      <c r="I35" s="16"/>
    </row>
    <row r="36" customFormat="false" ht="15" hidden="false" customHeight="false" outlineLevel="0" collapsed="false">
      <c r="A36" s="16" t="s">
        <v>142</v>
      </c>
      <c r="B36" s="16" t="s">
        <v>143</v>
      </c>
      <c r="C36" s="17" t="n">
        <v>20</v>
      </c>
      <c r="D36" s="17" t="n">
        <v>0</v>
      </c>
      <c r="E36" s="17" t="n">
        <v>8</v>
      </c>
      <c r="F36" s="17" t="n">
        <v>20</v>
      </c>
      <c r="G36" s="17" t="n">
        <v>0</v>
      </c>
      <c r="H36" s="17" t="n">
        <v>0</v>
      </c>
      <c r="I36" s="16"/>
    </row>
    <row r="37" customFormat="false" ht="15" hidden="false" customHeight="false" outlineLevel="0" collapsed="false">
      <c r="A37" s="16" t="s">
        <v>144</v>
      </c>
      <c r="B37" s="16" t="s">
        <v>145</v>
      </c>
      <c r="C37" s="17" t="n">
        <v>21</v>
      </c>
      <c r="D37" s="17" t="n">
        <v>0</v>
      </c>
      <c r="E37" s="17" t="n">
        <v>8</v>
      </c>
      <c r="F37" s="17" t="n">
        <v>21</v>
      </c>
      <c r="G37" s="17" t="n">
        <v>0</v>
      </c>
      <c r="H37" s="17" t="n">
        <v>0</v>
      </c>
      <c r="I37" s="16"/>
    </row>
    <row r="38" customFormat="false" ht="15" hidden="false" customHeight="false" outlineLevel="0" collapsed="false">
      <c r="A38" s="16" t="s">
        <v>146</v>
      </c>
      <c r="B38" s="16" t="s">
        <v>147</v>
      </c>
      <c r="C38" s="17" t="n">
        <v>22</v>
      </c>
      <c r="D38" s="17" t="n">
        <v>0</v>
      </c>
      <c r="E38" s="17" t="n">
        <v>8</v>
      </c>
      <c r="F38" s="17" t="n">
        <v>22</v>
      </c>
      <c r="G38" s="17" t="n">
        <v>0</v>
      </c>
      <c r="H38" s="17" t="n">
        <v>0</v>
      </c>
      <c r="I38" s="16"/>
    </row>
    <row r="39" customFormat="false" ht="15" hidden="false" customHeight="false" outlineLevel="0" collapsed="false">
      <c r="A39" s="16" t="s">
        <v>148</v>
      </c>
      <c r="B39" s="16" t="s">
        <v>149</v>
      </c>
      <c r="C39" s="17" t="n">
        <v>23</v>
      </c>
      <c r="D39" s="17" t="n">
        <v>0</v>
      </c>
      <c r="E39" s="17" t="n">
        <v>8</v>
      </c>
      <c r="F39" s="17" t="n">
        <v>23</v>
      </c>
      <c r="G39" s="17" t="n">
        <v>0</v>
      </c>
      <c r="H39" s="17" t="n">
        <v>0</v>
      </c>
      <c r="I39" s="16"/>
    </row>
    <row r="40" customFormat="false" ht="15" hidden="false" customHeight="false" outlineLevel="0" collapsed="false">
      <c r="A40" s="16" t="s">
        <v>150</v>
      </c>
      <c r="B40" s="16" t="s">
        <v>151</v>
      </c>
      <c r="C40" s="17" t="n">
        <v>24</v>
      </c>
      <c r="D40" s="17" t="n">
        <v>0</v>
      </c>
      <c r="E40" s="17" t="n">
        <v>8</v>
      </c>
      <c r="F40" s="17" t="n">
        <v>24</v>
      </c>
      <c r="G40" s="17" t="n">
        <v>0</v>
      </c>
      <c r="H40" s="17" t="n">
        <v>0</v>
      </c>
      <c r="I40" s="16"/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50"/>
  </cols>
  <sheetData>
    <row r="1" customFormat="false" ht="17.3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2" t="s">
        <v>153</v>
      </c>
    </row>
    <row r="4" customFormat="false" ht="39.75" hidden="false" customHeight="true" outlineLevel="0" collapsed="false">
      <c r="A4" s="15" t="s">
        <v>154</v>
      </c>
      <c r="B4" s="15" t="s">
        <v>155</v>
      </c>
      <c r="C4" s="15" t="s">
        <v>156</v>
      </c>
      <c r="D4" s="15" t="s">
        <v>157</v>
      </c>
      <c r="E4" s="15" t="s">
        <v>158</v>
      </c>
      <c r="F4" s="15" t="s">
        <v>159</v>
      </c>
      <c r="G4" s="15" t="s">
        <v>160</v>
      </c>
      <c r="H4" s="15" t="s">
        <v>161</v>
      </c>
      <c r="I4" s="15" t="s">
        <v>162</v>
      </c>
      <c r="J4" s="15" t="s">
        <v>163</v>
      </c>
      <c r="K4" s="15" t="s">
        <v>164</v>
      </c>
      <c r="L4" s="15" t="s">
        <v>165</v>
      </c>
      <c r="M4" s="15" t="s">
        <v>166</v>
      </c>
      <c r="N4" s="15" t="s">
        <v>167</v>
      </c>
      <c r="O4" s="15" t="s">
        <v>168</v>
      </c>
      <c r="P4" s="15" t="s">
        <v>169</v>
      </c>
      <c r="Q4" s="15" t="s">
        <v>72</v>
      </c>
    </row>
    <row r="5" customFormat="false" ht="15" hidden="false" customHeight="false" outlineLevel="0" collapsed="false">
      <c r="A5" s="18" t="n">
        <v>1</v>
      </c>
      <c r="B5" s="16" t="s">
        <v>170</v>
      </c>
      <c r="C5" s="16" t="s">
        <v>171</v>
      </c>
      <c r="D5" s="16" t="s">
        <v>172</v>
      </c>
      <c r="E5" s="16" t="s">
        <v>173</v>
      </c>
      <c r="F5" s="16" t="s">
        <v>174</v>
      </c>
      <c r="G5" s="16" t="s">
        <v>175</v>
      </c>
      <c r="H5" s="16" t="n">
        <v>26</v>
      </c>
      <c r="I5" s="19" t="n">
        <v>16000000</v>
      </c>
      <c r="J5" s="19"/>
      <c r="K5" s="19" t="n">
        <v>6928000</v>
      </c>
      <c r="L5" s="16" t="s">
        <v>176</v>
      </c>
      <c r="M5" s="19" t="n">
        <v>2000000</v>
      </c>
      <c r="N5" s="16" t="s">
        <v>177</v>
      </c>
      <c r="O5" s="16" t="s">
        <v>178</v>
      </c>
      <c r="P5" s="16" t="s">
        <v>179</v>
      </c>
      <c r="Q5" s="16"/>
    </row>
    <row r="6" customFormat="false" ht="15" hidden="false" customHeight="false" outlineLevel="0" collapsed="false">
      <c r="A6" s="18" t="n">
        <v>2</v>
      </c>
      <c r="B6" s="16" t="s">
        <v>180</v>
      </c>
      <c r="C6" s="16" t="s">
        <v>181</v>
      </c>
      <c r="D6" s="16" t="s">
        <v>172</v>
      </c>
      <c r="E6" s="16" t="s">
        <v>173</v>
      </c>
      <c r="F6" s="16" t="s">
        <v>182</v>
      </c>
      <c r="G6" s="16" t="s">
        <v>183</v>
      </c>
      <c r="H6" s="16" t="n">
        <v>30</v>
      </c>
      <c r="I6" s="19" t="n">
        <v>15000000</v>
      </c>
      <c r="J6" s="19"/>
      <c r="K6" s="19" t="n">
        <v>6928000</v>
      </c>
      <c r="L6" s="16" t="s">
        <v>176</v>
      </c>
      <c r="M6" s="19" t="n">
        <v>2000000</v>
      </c>
      <c r="N6" s="16" t="s">
        <v>177</v>
      </c>
      <c r="O6" s="16" t="s">
        <v>184</v>
      </c>
      <c r="P6" s="16" t="s">
        <v>179</v>
      </c>
      <c r="Q6" s="16"/>
    </row>
    <row r="7" customFormat="false" ht="15" hidden="false" customHeight="false" outlineLevel="0" collapsed="false">
      <c r="A7" s="18" t="n">
        <v>3</v>
      </c>
      <c r="B7" s="16" t="s">
        <v>185</v>
      </c>
      <c r="C7" s="16" t="s">
        <v>186</v>
      </c>
      <c r="D7" s="16" t="s">
        <v>172</v>
      </c>
      <c r="E7" s="16" t="s">
        <v>173</v>
      </c>
      <c r="F7" s="16" t="s">
        <v>187</v>
      </c>
      <c r="G7" s="16" t="s">
        <v>183</v>
      </c>
      <c r="H7" s="16" t="n">
        <v>30</v>
      </c>
      <c r="I7" s="19" t="n">
        <v>17000000</v>
      </c>
      <c r="J7" s="19"/>
      <c r="K7" s="19" t="n">
        <v>6928000</v>
      </c>
      <c r="L7" s="16" t="s">
        <v>176</v>
      </c>
      <c r="M7" s="19" t="n">
        <v>0</v>
      </c>
      <c r="N7" s="16" t="s">
        <v>177</v>
      </c>
      <c r="O7" s="16" t="s">
        <v>188</v>
      </c>
      <c r="P7" s="16" t="s">
        <v>179</v>
      </c>
      <c r="Q7" s="16" t="s">
        <v>189</v>
      </c>
    </row>
    <row r="8" customFormat="false" ht="15" hidden="false" customHeight="false" outlineLevel="0" collapsed="false">
      <c r="A8" s="18" t="n">
        <v>4</v>
      </c>
      <c r="B8" s="16" t="s">
        <v>190</v>
      </c>
      <c r="C8" s="16" t="s">
        <v>191</v>
      </c>
      <c r="D8" s="16" t="s">
        <v>172</v>
      </c>
      <c r="E8" s="16" t="s">
        <v>173</v>
      </c>
      <c r="F8" s="16" t="s">
        <v>192</v>
      </c>
      <c r="G8" s="16" t="s">
        <v>183</v>
      </c>
      <c r="H8" s="16" t="n">
        <v>26</v>
      </c>
      <c r="I8" s="19" t="n">
        <v>9620000</v>
      </c>
      <c r="J8" s="19"/>
      <c r="K8" s="19" t="n">
        <v>4375000</v>
      </c>
      <c r="L8" s="16" t="s">
        <v>176</v>
      </c>
      <c r="M8" s="19" t="n">
        <v>0</v>
      </c>
      <c r="N8" s="16" t="s">
        <v>193</v>
      </c>
      <c r="O8" s="16" t="s">
        <v>194</v>
      </c>
      <c r="P8" s="16" t="s">
        <v>179</v>
      </c>
      <c r="Q8" s="16"/>
    </row>
    <row r="9" customFormat="false" ht="15" hidden="false" customHeight="false" outlineLevel="0" collapsed="false">
      <c r="A9" s="18" t="n">
        <v>5</v>
      </c>
      <c r="B9" s="16" t="s">
        <v>195</v>
      </c>
      <c r="C9" s="16" t="s">
        <v>196</v>
      </c>
      <c r="D9" s="16" t="s">
        <v>172</v>
      </c>
      <c r="E9" s="16" t="s">
        <v>173</v>
      </c>
      <c r="F9" s="16" t="s">
        <v>192</v>
      </c>
      <c r="G9" s="16" t="s">
        <v>183</v>
      </c>
      <c r="H9" s="16" t="n">
        <v>26</v>
      </c>
      <c r="I9" s="19" t="n">
        <v>9620000</v>
      </c>
      <c r="J9" s="19"/>
      <c r="K9" s="19" t="n">
        <v>4163000</v>
      </c>
      <c r="L9" s="16" t="s">
        <v>176</v>
      </c>
      <c r="M9" s="19" t="n">
        <v>0</v>
      </c>
      <c r="N9" s="16" t="s">
        <v>193</v>
      </c>
      <c r="O9" s="16" t="s">
        <v>197</v>
      </c>
      <c r="P9" s="16" t="s">
        <v>179</v>
      </c>
      <c r="Q9" s="16"/>
    </row>
    <row r="10" customFormat="false" ht="15" hidden="false" customHeight="false" outlineLevel="0" collapsed="false">
      <c r="A10" s="18" t="n">
        <v>6</v>
      </c>
      <c r="B10" s="16" t="s">
        <v>198</v>
      </c>
      <c r="C10" s="16" t="s">
        <v>199</v>
      </c>
      <c r="D10" s="16" t="s">
        <v>172</v>
      </c>
      <c r="E10" s="16" t="s">
        <v>173</v>
      </c>
      <c r="F10" s="16" t="s">
        <v>192</v>
      </c>
      <c r="G10" s="16" t="s">
        <v>183</v>
      </c>
      <c r="H10" s="16" t="n">
        <v>26</v>
      </c>
      <c r="I10" s="19" t="n">
        <v>9620000</v>
      </c>
      <c r="J10" s="19"/>
      <c r="K10" s="19" t="n">
        <v>4163000</v>
      </c>
      <c r="L10" s="16" t="s">
        <v>176</v>
      </c>
      <c r="M10" s="19" t="n">
        <v>0</v>
      </c>
      <c r="N10" s="16" t="s">
        <v>193</v>
      </c>
      <c r="O10" s="16" t="s">
        <v>200</v>
      </c>
      <c r="P10" s="16" t="s">
        <v>179</v>
      </c>
      <c r="Q10" s="16"/>
    </row>
    <row r="11" customFormat="false" ht="15" hidden="false" customHeight="false" outlineLevel="0" collapsed="false">
      <c r="A11" s="18" t="n">
        <v>7</v>
      </c>
      <c r="B11" s="16" t="s">
        <v>201</v>
      </c>
      <c r="C11" s="16" t="s">
        <v>202</v>
      </c>
      <c r="D11" s="16" t="s">
        <v>172</v>
      </c>
      <c r="E11" s="16" t="s">
        <v>173</v>
      </c>
      <c r="F11" s="16" t="s">
        <v>192</v>
      </c>
      <c r="G11" s="16" t="s">
        <v>183</v>
      </c>
      <c r="H11" s="16" t="n">
        <v>30</v>
      </c>
      <c r="I11" s="19" t="n">
        <v>15000000</v>
      </c>
      <c r="J11" s="19"/>
      <c r="K11" s="19" t="n">
        <v>4163000</v>
      </c>
      <c r="L11" s="16" t="s">
        <v>176</v>
      </c>
      <c r="M11" s="19" t="n">
        <v>500000</v>
      </c>
      <c r="N11" s="16" t="s">
        <v>177</v>
      </c>
      <c r="O11" s="16" t="s">
        <v>203</v>
      </c>
      <c r="P11" s="16" t="s">
        <v>179</v>
      </c>
      <c r="Q11" s="16" t="s">
        <v>204</v>
      </c>
    </row>
    <row r="12" customFormat="false" ht="15" hidden="false" customHeight="false" outlineLevel="0" collapsed="false">
      <c r="A12" s="18" t="n">
        <v>8</v>
      </c>
      <c r="B12" s="16" t="s">
        <v>205</v>
      </c>
      <c r="C12" s="16" t="s">
        <v>206</v>
      </c>
      <c r="D12" s="16" t="s">
        <v>172</v>
      </c>
      <c r="E12" s="16" t="s">
        <v>173</v>
      </c>
      <c r="F12" s="16" t="s">
        <v>207</v>
      </c>
      <c r="G12" s="16" t="s">
        <v>183</v>
      </c>
      <c r="H12" s="16" t="n">
        <v>26</v>
      </c>
      <c r="I12" s="19" t="n">
        <v>9620000</v>
      </c>
      <c r="J12" s="19"/>
      <c r="K12" s="19" t="n">
        <v>4163000</v>
      </c>
      <c r="L12" s="16" t="s">
        <v>176</v>
      </c>
      <c r="M12" s="19" t="n">
        <v>500000</v>
      </c>
      <c r="N12" s="16" t="s">
        <v>193</v>
      </c>
      <c r="O12" s="16" t="s">
        <v>208</v>
      </c>
      <c r="P12" s="16" t="s">
        <v>179</v>
      </c>
      <c r="Q12" s="16"/>
    </row>
    <row r="13" customFormat="false" ht="15" hidden="false" customHeight="false" outlineLevel="0" collapsed="false">
      <c r="A13" s="18" t="n">
        <v>9</v>
      </c>
      <c r="B13" s="16" t="s">
        <v>209</v>
      </c>
      <c r="C13" s="16" t="s">
        <v>210</v>
      </c>
      <c r="D13" s="16" t="s">
        <v>172</v>
      </c>
      <c r="E13" s="16" t="s">
        <v>173</v>
      </c>
      <c r="F13" s="16" t="s">
        <v>192</v>
      </c>
      <c r="G13" s="16" t="s">
        <v>183</v>
      </c>
      <c r="H13" s="16" t="n">
        <v>26</v>
      </c>
      <c r="I13" s="19" t="n">
        <v>9620000</v>
      </c>
      <c r="J13" s="19"/>
      <c r="K13" s="19" t="n">
        <v>4163000</v>
      </c>
      <c r="L13" s="16" t="s">
        <v>176</v>
      </c>
      <c r="M13" s="19" t="n">
        <v>500000</v>
      </c>
      <c r="N13" s="16" t="s">
        <v>193</v>
      </c>
      <c r="O13" s="16" t="s">
        <v>208</v>
      </c>
      <c r="P13" s="16" t="s">
        <v>179</v>
      </c>
      <c r="Q13" s="16" t="s">
        <v>211</v>
      </c>
    </row>
    <row r="14" customFormat="false" ht="15" hidden="false" customHeight="false" outlineLevel="0" collapsed="false">
      <c r="A14" s="18" t="n">
        <v>10</v>
      </c>
      <c r="B14" s="16" t="s">
        <v>212</v>
      </c>
      <c r="C14" s="16" t="s">
        <v>213</v>
      </c>
      <c r="D14" s="16" t="s">
        <v>172</v>
      </c>
      <c r="E14" s="16" t="s">
        <v>173</v>
      </c>
      <c r="F14" s="16" t="s">
        <v>192</v>
      </c>
      <c r="G14" s="16" t="s">
        <v>183</v>
      </c>
      <c r="H14" s="16" t="n">
        <v>26</v>
      </c>
      <c r="I14" s="19" t="n">
        <v>9620000</v>
      </c>
      <c r="J14" s="19"/>
      <c r="K14" s="19" t="n">
        <v>4163000</v>
      </c>
      <c r="L14" s="16" t="s">
        <v>176</v>
      </c>
      <c r="M14" s="19" t="n">
        <v>0</v>
      </c>
      <c r="N14" s="16" t="s">
        <v>193</v>
      </c>
      <c r="O14" s="16" t="s">
        <v>208</v>
      </c>
      <c r="P14" s="16" t="s">
        <v>179</v>
      </c>
      <c r="Q14" s="16"/>
    </row>
    <row r="15" customFormat="false" ht="15" hidden="false" customHeight="false" outlineLevel="0" collapsed="false">
      <c r="A15" s="18" t="n">
        <v>11</v>
      </c>
      <c r="B15" s="16" t="s">
        <v>214</v>
      </c>
      <c r="C15" s="16" t="s">
        <v>215</v>
      </c>
      <c r="D15" s="16" t="s">
        <v>172</v>
      </c>
      <c r="E15" s="16" t="s">
        <v>173</v>
      </c>
      <c r="F15" s="16" t="s">
        <v>192</v>
      </c>
      <c r="G15" s="16" t="s">
        <v>183</v>
      </c>
      <c r="H15" s="16" t="n">
        <v>26</v>
      </c>
      <c r="I15" s="19" t="n">
        <v>10000000</v>
      </c>
      <c r="J15" s="19"/>
      <c r="K15" s="19" t="n">
        <v>4163000</v>
      </c>
      <c r="L15" s="16" t="s">
        <v>176</v>
      </c>
      <c r="M15" s="19" t="n">
        <v>1000000</v>
      </c>
      <c r="N15" s="16" t="s">
        <v>193</v>
      </c>
      <c r="O15" s="16" t="s">
        <v>208</v>
      </c>
      <c r="P15" s="16" t="s">
        <v>179</v>
      </c>
      <c r="Q15" s="16" t="s">
        <v>216</v>
      </c>
    </row>
    <row r="16" customFormat="false" ht="15" hidden="false" customHeight="false" outlineLevel="0" collapsed="false">
      <c r="A16" s="18" t="n">
        <v>12</v>
      </c>
      <c r="B16" s="16" t="s">
        <v>217</v>
      </c>
      <c r="C16" s="16" t="s">
        <v>218</v>
      </c>
      <c r="D16" s="16" t="s">
        <v>172</v>
      </c>
      <c r="E16" s="16" t="s">
        <v>173</v>
      </c>
      <c r="F16" s="16" t="s">
        <v>192</v>
      </c>
      <c r="G16" s="16" t="s">
        <v>183</v>
      </c>
      <c r="H16" s="16" t="n">
        <v>26</v>
      </c>
      <c r="I16" s="19" t="n">
        <v>11600000</v>
      </c>
      <c r="J16" s="19"/>
      <c r="K16" s="19" t="n">
        <v>4163000</v>
      </c>
      <c r="L16" s="16" t="s">
        <v>176</v>
      </c>
      <c r="M16" s="19" t="n">
        <v>1000000</v>
      </c>
      <c r="N16" s="16" t="s">
        <v>193</v>
      </c>
      <c r="O16" s="16" t="s">
        <v>219</v>
      </c>
      <c r="P16" s="16" t="s">
        <v>179</v>
      </c>
      <c r="Q16" s="16" t="s">
        <v>220</v>
      </c>
    </row>
    <row r="17" customFormat="false" ht="15" hidden="false" customHeight="false" outlineLevel="0" collapsed="false">
      <c r="A17" s="18" t="n">
        <v>13</v>
      </c>
      <c r="B17" s="16" t="s">
        <v>221</v>
      </c>
      <c r="C17" s="16" t="s">
        <v>222</v>
      </c>
      <c r="D17" s="16" t="s">
        <v>172</v>
      </c>
      <c r="E17" s="16" t="s">
        <v>173</v>
      </c>
      <c r="F17" s="16" t="s">
        <v>223</v>
      </c>
      <c r="G17" s="16" t="s">
        <v>183</v>
      </c>
      <c r="H17" s="16" t="n">
        <v>26</v>
      </c>
      <c r="I17" s="19" t="n">
        <v>8000000</v>
      </c>
      <c r="J17" s="19"/>
      <c r="K17" s="19" t="n">
        <v>4163000</v>
      </c>
      <c r="L17" s="16" t="s">
        <v>176</v>
      </c>
      <c r="M17" s="19" t="n">
        <v>0</v>
      </c>
      <c r="N17" s="16" t="s">
        <v>193</v>
      </c>
      <c r="O17" s="16" t="s">
        <v>224</v>
      </c>
      <c r="P17" s="16" t="s">
        <v>179</v>
      </c>
      <c r="Q17" s="16" t="s">
        <v>225</v>
      </c>
    </row>
    <row r="18" customFormat="false" ht="15" hidden="false" customHeight="false" outlineLevel="0" collapsed="false">
      <c r="A18" s="18" t="n">
        <v>14</v>
      </c>
      <c r="B18" s="16" t="s">
        <v>226</v>
      </c>
      <c r="C18" s="16" t="s">
        <v>227</v>
      </c>
      <c r="D18" s="16" t="s">
        <v>228</v>
      </c>
      <c r="E18" s="16" t="s">
        <v>229</v>
      </c>
      <c r="F18" s="16" t="s">
        <v>229</v>
      </c>
      <c r="G18" s="16" t="s">
        <v>183</v>
      </c>
      <c r="H18" s="16" t="n">
        <v>26</v>
      </c>
      <c r="I18" s="19" t="n">
        <v>9832000</v>
      </c>
      <c r="J18" s="19"/>
      <c r="K18" s="19" t="n">
        <v>4920000</v>
      </c>
      <c r="L18" s="16" t="s">
        <v>176</v>
      </c>
      <c r="M18" s="19" t="n">
        <v>2000000</v>
      </c>
      <c r="N18" s="16" t="s">
        <v>177</v>
      </c>
      <c r="O18" s="16" t="s">
        <v>230</v>
      </c>
      <c r="P18" s="16" t="s">
        <v>179</v>
      </c>
      <c r="Q18" s="16" t="s">
        <v>231</v>
      </c>
    </row>
    <row r="19" customFormat="false" ht="15" hidden="false" customHeight="false" outlineLevel="0" collapsed="false">
      <c r="A19" s="18" t="n">
        <v>15</v>
      </c>
      <c r="B19" s="16" t="s">
        <v>232</v>
      </c>
      <c r="C19" s="16" t="s">
        <v>233</v>
      </c>
      <c r="D19" s="16" t="s">
        <v>228</v>
      </c>
      <c r="E19" s="16" t="s">
        <v>234</v>
      </c>
      <c r="F19" s="16" t="s">
        <v>235</v>
      </c>
      <c r="G19" s="16" t="s">
        <v>175</v>
      </c>
      <c r="H19" s="16" t="n">
        <v>26</v>
      </c>
      <c r="I19" s="19" t="n">
        <v>6000000</v>
      </c>
      <c r="J19" s="19"/>
      <c r="K19" s="19" t="n">
        <v>0</v>
      </c>
      <c r="L19" s="16" t="s">
        <v>177</v>
      </c>
      <c r="M19" s="19" t="n">
        <v>1260000</v>
      </c>
      <c r="N19" s="16" t="s">
        <v>177</v>
      </c>
      <c r="O19" s="16"/>
      <c r="P19" s="16" t="s">
        <v>236</v>
      </c>
      <c r="Q19" s="16" t="s">
        <v>237</v>
      </c>
    </row>
    <row r="20" customFormat="false" ht="15" hidden="false" customHeight="false" outlineLevel="0" collapsed="false">
      <c r="A20" s="18" t="n">
        <v>16</v>
      </c>
      <c r="B20" s="16" t="s">
        <v>238</v>
      </c>
      <c r="C20" s="16" t="s">
        <v>239</v>
      </c>
      <c r="D20" s="16" t="s">
        <v>228</v>
      </c>
      <c r="E20" s="16" t="s">
        <v>234</v>
      </c>
      <c r="F20" s="16" t="s">
        <v>235</v>
      </c>
      <c r="G20" s="16" t="s">
        <v>175</v>
      </c>
      <c r="H20" s="16" t="n">
        <v>26</v>
      </c>
      <c r="I20" s="19" t="n">
        <v>6000000</v>
      </c>
      <c r="J20" s="19"/>
      <c r="K20" s="19" t="n">
        <v>0</v>
      </c>
      <c r="L20" s="16" t="s">
        <v>177</v>
      </c>
      <c r="M20" s="19" t="n">
        <v>260000</v>
      </c>
      <c r="N20" s="16" t="s">
        <v>177</v>
      </c>
      <c r="O20" s="16"/>
      <c r="P20" s="16" t="s">
        <v>236</v>
      </c>
      <c r="Q20" s="16" t="s">
        <v>240</v>
      </c>
    </row>
    <row r="21" customFormat="false" ht="15" hidden="false" customHeight="false" outlineLevel="0" collapsed="false">
      <c r="A21" s="18" t="n">
        <v>17</v>
      </c>
      <c r="B21" s="16" t="s">
        <v>241</v>
      </c>
      <c r="C21" s="16" t="s">
        <v>242</v>
      </c>
      <c r="D21" s="16" t="s">
        <v>243</v>
      </c>
      <c r="E21" s="16" t="s">
        <v>244</v>
      </c>
      <c r="F21" s="16" t="s">
        <v>245</v>
      </c>
      <c r="G21" s="16" t="s">
        <v>246</v>
      </c>
      <c r="H21" s="16" t="n">
        <v>26</v>
      </c>
      <c r="I21" s="19" t="n">
        <v>9000000</v>
      </c>
      <c r="J21" s="19"/>
      <c r="K21" s="19" t="n">
        <v>0</v>
      </c>
      <c r="L21" s="16" t="s">
        <v>177</v>
      </c>
      <c r="M21" s="19" t="n">
        <v>0</v>
      </c>
      <c r="N21" s="16" t="s">
        <v>229</v>
      </c>
      <c r="O21" s="16" t="s">
        <v>247</v>
      </c>
      <c r="P21" s="16" t="s">
        <v>246</v>
      </c>
      <c r="Q21" s="16" t="s">
        <v>248</v>
      </c>
    </row>
    <row r="22" customFormat="false" ht="15" hidden="false" customHeight="false" outlineLevel="0" collapsed="false">
      <c r="A22" s="1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</row>
    <row r="23" customFormat="false" ht="15" hidden="false" customHeight="false" outlineLevel="0" collapsed="false">
      <c r="A23" s="18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</row>
    <row r="24" customFormat="false" ht="15" hidden="false" customHeight="false" outlineLevel="0" collapsed="false">
      <c r="A24" s="1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</row>
    <row r="25" customFormat="false" ht="15" hidden="false" customHeight="false" outlineLevel="0" collapsed="false">
      <c r="A25" s="18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customFormat="false" ht="15" hidden="false" customHeight="false" outlineLevel="0" collapsed="false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</row>
    <row r="27" customFormat="false" ht="15" hidden="false" customHeight="false" outlineLevel="0" collapsed="false">
      <c r="A27" s="18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</row>
    <row r="28" customFormat="false" ht="15" hidden="false" customHeight="false" outlineLevel="0" collapsed="false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customFormat="false" ht="15" hidden="false" customHeight="false" outlineLevel="0" collapsed="false">
      <c r="A29" s="18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customFormat="false" ht="15" hidden="false" customHeight="false" outlineLevel="0" collapsed="false">
      <c r="A30" s="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customFormat="false" ht="15" hidden="false" customHeight="false" outlineLevel="0" collapsed="false">
      <c r="A31" s="18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</row>
    <row r="32" customFormat="false" ht="15" hidden="false" customHeight="false" outlineLevel="0" collapsed="false">
      <c r="A32" s="1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</row>
    <row r="33" customFormat="false" ht="15" hidden="false" customHeight="false" outlineLevel="0" collapsed="false">
      <c r="A33" s="1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customFormat="false" ht="15" hidden="false" customHeight="false" outlineLevel="0" collapsed="false">
      <c r="A34" s="1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customFormat="false" ht="15" hidden="false" customHeight="false" outlineLevel="0" collapsed="false">
      <c r="A35" s="18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  <row r="36" customFormat="false" ht="15" hidden="false" customHeight="false" outlineLevel="0" collapsed="false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</row>
    <row r="37" customFormat="false" ht="15" hidden="false" customHeight="false" outlineLevel="0" collapsed="false">
      <c r="A37" s="18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</row>
    <row r="38" customFormat="false" ht="15" hidden="false" customHeight="false" outlineLevel="0" collapsed="false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</row>
    <row r="39" customFormat="false" ht="15" hidden="false" customHeight="false" outlineLevel="0" collapsed="false">
      <c r="A39" s="18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</row>
    <row r="40" customFormat="false" ht="15" hidden="false" customHeight="false" outlineLevel="0" collapsed="false">
      <c r="A40" s="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</row>
    <row r="41" customFormat="false" ht="15" hidden="false" customHeight="false" outlineLevel="0" collapsed="false">
      <c r="A41" s="18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</row>
    <row r="42" customFormat="false" ht="15" hidden="false" customHeight="false" outlineLevel="0" collapsed="false">
      <c r="A42" s="1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customFormat="false" ht="15" hidden="false" customHeight="false" outlineLevel="0" collapsed="false">
      <c r="A43" s="18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customFormat="false" ht="15" hidden="false" customHeight="false" outlineLevel="0" collapsed="false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</row>
    <row r="45" customFormat="false" ht="15" hidden="false" customHeight="false" outlineLevel="0" collapsed="false">
      <c r="A45" s="18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</row>
    <row r="46" customFormat="false" ht="15" hidden="false" customHeight="false" outlineLevel="0" collapsed="false">
      <c r="A46" s="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customFormat="false" ht="15" hidden="false" customHeight="false" outlineLevel="0" collapsed="false">
      <c r="A47" s="18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customFormat="false" ht="15" hidden="false" customHeight="false" outlineLevel="0" collapsed="false">
      <c r="A48" s="1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49" customFormat="false" ht="15" hidden="false" customHeight="false" outlineLevel="0" collapsed="false">
      <c r="A49" s="18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</row>
    <row r="50" customFormat="false" ht="15" hidden="false" customHeight="false" outlineLevel="0" collapsed="false">
      <c r="A50" s="1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</row>
    <row r="51" customFormat="false" ht="15" hidden="false" customHeight="false" outlineLevel="0" collapsed="false">
      <c r="A51" s="18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</row>
    <row r="52" customFormat="false" ht="15" hidden="false" customHeight="false" outlineLevel="0" collapsed="false">
      <c r="A52" s="1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  <row r="53" customFormat="false" ht="15" hidden="false" customHeight="false" outlineLevel="0" collapsed="false">
      <c r="A53" s="18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</row>
    <row r="54" customFormat="false" ht="15" hidden="false" customHeight="false" outlineLevel="0" collapsed="false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  <row r="55" customFormat="false" ht="15" hidden="false" customHeight="false" outlineLevel="0" collapsed="false">
      <c r="A55" s="18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  <row r="56" customFormat="false" ht="15" hidden="false" customHeight="false" outlineLevel="0" collapsed="false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</row>
    <row r="57" customFormat="false" ht="15" hidden="false" customHeight="false" outlineLevel="0" collapsed="false">
      <c r="A57" s="18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</row>
    <row r="58" customFormat="false" ht="15" hidden="false" customHeight="false" outlineLevel="0" collapsed="false">
      <c r="A58" s="1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</row>
    <row r="59" customFormat="false" ht="15" hidden="false" customHeight="false" outlineLevel="0" collapsed="false">
      <c r="A59" s="18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</row>
    <row r="60" customFormat="false" ht="15" hidden="false" customHeight="false" outlineLevel="0" collapsed="false">
      <c r="A60" s="1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</row>
    <row r="61" customFormat="false" ht="15" hidden="false" customHeight="false" outlineLevel="0" collapsed="false">
      <c r="A61" s="18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</row>
    <row r="62" customFormat="false" ht="15" hidden="false" customHeight="false" outlineLevel="0" collapsed="false">
      <c r="A62" s="1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</row>
    <row r="63" customFormat="false" ht="15" hidden="false" customHeight="false" outlineLevel="0" collapsed="false">
      <c r="A63" s="18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</row>
    <row r="64" customFormat="false" ht="15" hidden="false" customHeight="false" outlineLevel="0" collapsed="false">
      <c r="A64" s="1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</row>
    <row r="65" customFormat="false" ht="15" hidden="false" customHeight="false" outlineLevel="0" collapsed="false">
      <c r="A65" s="18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</row>
    <row r="66" customFormat="false" ht="15" hidden="false" customHeight="false" outlineLevel="0" collapsed="false">
      <c r="A66" s="1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</row>
    <row r="67" customFormat="false" ht="15" hidden="false" customHeight="false" outlineLevel="0" collapsed="false">
      <c r="A67" s="18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</row>
    <row r="68" customFormat="false" ht="15" hidden="false" customHeight="false" outlineLevel="0" collapsed="false">
      <c r="A68" s="1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</row>
    <row r="69" customFormat="false" ht="15" hidden="false" customHeight="false" outlineLevel="0" collapsed="false">
      <c r="A69" s="18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</row>
    <row r="70" customFormat="false" ht="15" hidden="false" customHeight="false" outlineLevel="0" collapsed="false">
      <c r="A70" s="1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</row>
    <row r="71" customFormat="false" ht="15" hidden="false" customHeight="false" outlineLevel="0" collapsed="false">
      <c r="A71" s="18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</row>
    <row r="72" customFormat="false" ht="15" hidden="false" customHeight="false" outlineLevel="0" collapsed="false">
      <c r="A72" s="1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</row>
    <row r="73" customFormat="false" ht="15" hidden="false" customHeight="false" outlineLevel="0" collapsed="false">
      <c r="A73" s="18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</row>
    <row r="74" customFormat="false" ht="15" hidden="false" customHeight="false" outlineLevel="0" collapsed="false">
      <c r="A74" s="1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</row>
    <row r="75" customFormat="false" ht="15" hidden="false" customHeight="false" outlineLevel="0" collapsed="false">
      <c r="A75" s="18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</row>
    <row r="76" customFormat="false" ht="15" hidden="false" customHeight="false" outlineLevel="0" collapsed="false">
      <c r="A76" s="1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</row>
    <row r="77" customFormat="false" ht="15" hidden="false" customHeight="false" outlineLevel="0" collapsed="false">
      <c r="A77" s="18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</row>
    <row r="78" customFormat="false" ht="15" hidden="false" customHeight="false" outlineLevel="0" collapsed="false">
      <c r="A78" s="1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</row>
    <row r="79" customFormat="false" ht="15" hidden="false" customHeight="false" outlineLevel="0" collapsed="false">
      <c r="A79" s="18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</row>
    <row r="80" customFormat="false" ht="15" hidden="false" customHeight="false" outlineLevel="0" collapsed="false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</row>
    <row r="81" customFormat="false" ht="15" hidden="false" customHeight="false" outlineLevel="0" collapsed="false">
      <c r="A81" s="18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</row>
    <row r="82" customFormat="false" ht="15" hidden="false" customHeight="false" outlineLevel="0" collapsed="false">
      <c r="A82" s="1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</row>
    <row r="83" customFormat="false" ht="15" hidden="false" customHeight="false" outlineLevel="0" collapsed="false">
      <c r="A83" s="18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</row>
    <row r="84" customFormat="false" ht="15" hidden="false" customHeight="false" outlineLevel="0" collapsed="false">
      <c r="A84" s="1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</row>
    <row r="85" customFormat="false" ht="15" hidden="false" customHeight="false" outlineLevel="0" collapsed="false">
      <c r="A85" s="18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</row>
    <row r="86" customFormat="false" ht="15" hidden="false" customHeight="false" outlineLevel="0" collapsed="false">
      <c r="A86" s="1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</row>
    <row r="87" customFormat="false" ht="15" hidden="false" customHeight="false" outlineLevel="0" collapsed="false">
      <c r="A87" s="18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</row>
    <row r="88" customFormat="false" ht="15" hidden="false" customHeight="false" outlineLevel="0" collapsed="false">
      <c r="A88" s="1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</row>
    <row r="89" customFormat="false" ht="15" hidden="false" customHeight="false" outlineLevel="0" collapsed="false">
      <c r="A89" s="18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</row>
    <row r="90" customFormat="false" ht="15" hidden="false" customHeight="false" outlineLevel="0" collapsed="false">
      <c r="A90" s="1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</row>
    <row r="91" customFormat="false" ht="15" hidden="false" customHeight="false" outlineLevel="0" collapsed="false">
      <c r="A91" s="18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</row>
    <row r="92" customFormat="false" ht="15" hidden="false" customHeight="false" outlineLevel="0" collapsed="false">
      <c r="A92" s="1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</row>
    <row r="93" customFormat="false" ht="15" hidden="false" customHeight="false" outlineLevel="0" collapsed="false">
      <c r="A93" s="18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</row>
    <row r="94" customFormat="false" ht="15" hidden="false" customHeight="false" outlineLevel="0" collapsed="false">
      <c r="A94" s="1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</row>
    <row r="95" customFormat="false" ht="15" hidden="false" customHeight="false" outlineLevel="0" collapsed="false">
      <c r="A95" s="18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</row>
    <row r="96" customFormat="false" ht="15" hidden="false" customHeight="false" outlineLevel="0" collapsed="false">
      <c r="A96" s="1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</row>
    <row r="97" customFormat="false" ht="15" hidden="false" customHeight="false" outlineLevel="0" collapsed="false">
      <c r="A97" s="18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</row>
    <row r="98" customFormat="false" ht="15" hidden="false" customHeight="false" outlineLevel="0" collapsed="false">
      <c r="A98" s="1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</row>
    <row r="99" customFormat="false" ht="15" hidden="false" customHeight="false" outlineLevel="0" collapsed="false">
      <c r="A99" s="18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</row>
    <row r="100" customFormat="false" ht="15" hidden="false" customHeight="false" outlineLevel="0" collapsed="false">
      <c r="A100" s="1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</row>
    <row r="101" customFormat="false" ht="15" hidden="false" customHeight="false" outlineLevel="0" collapsed="false">
      <c r="A101" s="18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</row>
    <row r="102" customFormat="false" ht="15" hidden="false" customHeight="false" outlineLevel="0" collapsed="false">
      <c r="A102" s="1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</row>
    <row r="103" customFormat="false" ht="15" hidden="false" customHeight="false" outlineLevel="0" collapsed="false">
      <c r="A103" s="18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</row>
    <row r="104" customFormat="false" ht="15" hidden="false" customHeight="false" outlineLevel="0" collapsed="false">
      <c r="A104" s="1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</row>
    <row r="105" customFormat="false" ht="15" hidden="false" customHeight="false" outlineLevel="0" collapsed="false">
      <c r="A105" s="18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</row>
    <row r="106" customFormat="false" ht="15" hidden="false" customHeight="false" outlineLevel="0" collapsed="false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</row>
    <row r="107" customFormat="false" ht="15" hidden="false" customHeight="false" outlineLevel="0" collapsed="false">
      <c r="A107" s="18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</row>
    <row r="108" customFormat="false" ht="15" hidden="false" customHeight="false" outlineLevel="0" collapsed="false">
      <c r="A108" s="1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</row>
    <row r="109" customFormat="false" ht="15" hidden="false" customHeight="false" outlineLevel="0" collapsed="false">
      <c r="A109" s="18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</row>
    <row r="110" customFormat="false" ht="15" hidden="false" customHeight="false" outlineLevel="0" collapsed="false">
      <c r="A110" s="1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</row>
    <row r="111" customFormat="false" ht="15" hidden="false" customHeight="false" outlineLevel="0" collapsed="false">
      <c r="A111" s="18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</row>
    <row r="112" customFormat="false" ht="15" hidden="false" customHeight="false" outlineLevel="0" collapsed="false">
      <c r="A112" s="1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</row>
    <row r="113" customFormat="false" ht="15" hidden="false" customHeight="false" outlineLevel="0" collapsed="false">
      <c r="A113" s="18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</row>
    <row r="114" customFormat="false" ht="15" hidden="false" customHeight="false" outlineLevel="0" collapsed="false">
      <c r="A114" s="1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</row>
    <row r="115" customFormat="false" ht="15" hidden="false" customHeight="false" outlineLevel="0" collapsed="false">
      <c r="A115" s="18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</row>
    <row r="116" customFormat="false" ht="15" hidden="false" customHeight="false" outlineLevel="0" collapsed="false">
      <c r="A116" s="1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</row>
    <row r="117" customFormat="false" ht="15" hidden="false" customHeight="false" outlineLevel="0" collapsed="false">
      <c r="A117" s="18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</row>
    <row r="118" customFormat="false" ht="15" hidden="false" customHeight="false" outlineLevel="0" collapsed="false">
      <c r="A118" s="1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</row>
    <row r="119" customFormat="false" ht="15" hidden="false" customHeight="false" outlineLevel="0" collapsed="false">
      <c r="A119" s="18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</row>
    <row r="120" customFormat="false" ht="15" hidden="false" customHeight="false" outlineLevel="0" collapsed="false">
      <c r="A120" s="1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</row>
    <row r="121" customFormat="false" ht="15" hidden="false" customHeight="false" outlineLevel="0" collapsed="false">
      <c r="A121" s="18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</row>
    <row r="122" customFormat="false" ht="15" hidden="false" customHeight="false" outlineLevel="0" collapsed="false">
      <c r="A122" s="1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</row>
    <row r="123" customFormat="false" ht="15" hidden="false" customHeight="false" outlineLevel="0" collapsed="false">
      <c r="A123" s="18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</row>
    <row r="124" customFormat="false" ht="15" hidden="false" customHeight="false" outlineLevel="0" collapsed="false">
      <c r="A124" s="1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</row>
    <row r="125" customFormat="false" ht="15" hidden="false" customHeight="false" outlineLevel="0" collapsed="false">
      <c r="A125" s="18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</row>
    <row r="126" customFormat="false" ht="15" hidden="false" customHeight="false" outlineLevel="0" collapsed="false">
      <c r="A126" s="1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</row>
    <row r="127" customFormat="false" ht="15" hidden="false" customHeight="false" outlineLevel="0" collapsed="false">
      <c r="A127" s="18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</row>
    <row r="128" customFormat="false" ht="15" hidden="false" customHeight="false" outlineLevel="0" collapsed="false">
      <c r="A128" s="1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</row>
    <row r="129" customFormat="false" ht="15" hidden="false" customHeight="false" outlineLevel="0" collapsed="false">
      <c r="A129" s="18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</row>
    <row r="130" customFormat="false" ht="15" hidden="false" customHeight="false" outlineLevel="0" collapsed="false">
      <c r="A130" s="1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</row>
    <row r="131" customFormat="false" ht="15" hidden="false" customHeight="false" outlineLevel="0" collapsed="false">
      <c r="A131" s="18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</row>
    <row r="132" customFormat="false" ht="15" hidden="false" customHeight="false" outlineLevel="0" collapsed="false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</row>
    <row r="133" customFormat="false" ht="15" hidden="false" customHeight="false" outlineLevel="0" collapsed="false">
      <c r="A133" s="18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</row>
    <row r="134" customFormat="false" ht="15" hidden="false" customHeight="false" outlineLevel="0" collapsed="false">
      <c r="A134" s="1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</row>
    <row r="135" customFormat="false" ht="15" hidden="false" customHeight="false" outlineLevel="0" collapsed="false">
      <c r="A135" s="18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</row>
    <row r="136" customFormat="false" ht="15" hidden="false" customHeight="false" outlineLevel="0" collapsed="false">
      <c r="A136" s="1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</row>
    <row r="137" customFormat="false" ht="15" hidden="false" customHeight="false" outlineLevel="0" collapsed="false">
      <c r="A137" s="18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</row>
    <row r="138" customFormat="false" ht="15" hidden="false" customHeight="false" outlineLevel="0" collapsed="false">
      <c r="A138" s="1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</row>
    <row r="139" customFormat="false" ht="15" hidden="false" customHeight="false" outlineLevel="0" collapsed="false">
      <c r="A139" s="18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</row>
    <row r="140" customFormat="false" ht="15" hidden="false" customHeight="false" outlineLevel="0" collapsed="false">
      <c r="A140" s="1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</row>
    <row r="141" customFormat="false" ht="15" hidden="false" customHeight="false" outlineLevel="0" collapsed="false">
      <c r="A141" s="18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</row>
    <row r="142" customFormat="false" ht="15" hidden="false" customHeight="false" outlineLevel="0" collapsed="false">
      <c r="A142" s="1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</row>
    <row r="143" customFormat="false" ht="15" hidden="false" customHeight="false" outlineLevel="0" collapsed="false">
      <c r="A143" s="18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</row>
    <row r="144" customFormat="false" ht="15" hidden="false" customHeight="false" outlineLevel="0" collapsed="false">
      <c r="A144" s="1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</row>
    <row r="145" customFormat="false" ht="15" hidden="false" customHeight="false" outlineLevel="0" collapsed="false">
      <c r="A145" s="18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</row>
    <row r="146" customFormat="false" ht="15" hidden="false" customHeight="false" outlineLevel="0" collapsed="false">
      <c r="A146" s="1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</row>
    <row r="147" customFormat="false" ht="15" hidden="false" customHeight="false" outlineLevel="0" collapsed="false">
      <c r="A147" s="18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</row>
    <row r="148" customFormat="false" ht="15" hidden="false" customHeight="false" outlineLevel="0" collapsed="false">
      <c r="A148" s="1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</row>
    <row r="149" customFormat="false" ht="15" hidden="false" customHeight="false" outlineLevel="0" collapsed="false">
      <c r="A149" s="18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</row>
    <row r="150" customFormat="false" ht="15" hidden="false" customHeight="false" outlineLevel="0" collapsed="false">
      <c r="A150" s="1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</row>
    <row r="151" customFormat="false" ht="15" hidden="false" customHeight="false" outlineLevel="0" collapsed="false">
      <c r="A151" s="18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</row>
    <row r="152" customFormat="false" ht="15" hidden="false" customHeight="false" outlineLevel="0" collapsed="false">
      <c r="A152" s="1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</row>
    <row r="153" customFormat="false" ht="15" hidden="false" customHeight="false" outlineLevel="0" collapsed="false">
      <c r="A153" s="18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</row>
    <row r="154" customFormat="false" ht="15" hidden="false" customHeight="false" outlineLevel="0" collapsed="false">
      <c r="A154" s="1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</row>
    <row r="155" customFormat="false" ht="15" hidden="false" customHeight="false" outlineLevel="0" collapsed="false">
      <c r="A155" s="18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</row>
    <row r="156" customFormat="false" ht="15" hidden="false" customHeight="false" outlineLevel="0" collapsed="false">
      <c r="A156" s="1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</row>
    <row r="157" customFormat="false" ht="15" hidden="false" customHeight="false" outlineLevel="0" collapsed="false">
      <c r="A157" s="18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</row>
    <row r="158" customFormat="false" ht="15" hidden="false" customHeight="false" outlineLevel="0" collapsed="false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</row>
    <row r="159" customFormat="false" ht="15" hidden="false" customHeight="false" outlineLevel="0" collapsed="false">
      <c r="A159" s="18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</row>
    <row r="160" customFormat="false" ht="15" hidden="false" customHeight="false" outlineLevel="0" collapsed="false">
      <c r="A160" s="1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</row>
    <row r="161" customFormat="false" ht="15" hidden="false" customHeight="false" outlineLevel="0" collapsed="false">
      <c r="A161" s="18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</row>
    <row r="162" customFormat="false" ht="15" hidden="false" customHeight="false" outlineLevel="0" collapsed="false">
      <c r="A162" s="1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</row>
    <row r="163" customFormat="false" ht="15" hidden="false" customHeight="false" outlineLevel="0" collapsed="false">
      <c r="A163" s="18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</row>
    <row r="164" customFormat="false" ht="15" hidden="false" customHeight="false" outlineLevel="0" collapsed="false">
      <c r="A164" s="1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customFormat="false" ht="15" hidden="false" customHeight="false" outlineLevel="0" collapsed="false">
      <c r="A165" s="18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customFormat="false" ht="15" hidden="false" customHeight="false" outlineLevel="0" collapsed="false">
      <c r="A166" s="1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customFormat="false" ht="15" hidden="false" customHeight="false" outlineLevel="0" collapsed="false">
      <c r="A167" s="1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customFormat="false" ht="15" hidden="false" customHeight="false" outlineLevel="0" collapsed="false">
      <c r="A168" s="1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customFormat="false" ht="15" hidden="false" customHeight="false" outlineLevel="0" collapsed="false">
      <c r="A169" s="1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customFormat="false" ht="15" hidden="false" customHeight="false" outlineLevel="0" collapsed="false">
      <c r="A170" s="1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customFormat="false" ht="15" hidden="false" customHeight="false" outlineLevel="0" collapsed="false">
      <c r="A171" s="1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customFormat="false" ht="15" hidden="false" customHeight="false" outlineLevel="0" collapsed="false">
      <c r="A172" s="1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customFormat="false" ht="15" hidden="false" customHeight="false" outlineLevel="0" collapsed="false">
      <c r="A173" s="1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customFormat="false" ht="15" hidden="false" customHeight="false" outlineLevel="0" collapsed="false">
      <c r="A174" s="1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customFormat="false" ht="15" hidden="false" customHeight="false" outlineLevel="0" collapsed="false">
      <c r="A175" s="1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customFormat="false" ht="15" hidden="false" customHeight="false" outlineLevel="0" collapsed="false">
      <c r="A176" s="1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customFormat="false" ht="15" hidden="false" customHeight="false" outlineLevel="0" collapsed="false">
      <c r="A177" s="1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customFormat="false" ht="15" hidden="false" customHeight="false" outlineLevel="0" collapsed="false">
      <c r="A178" s="1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customFormat="false" ht="15" hidden="false" customHeight="false" outlineLevel="0" collapsed="false">
      <c r="A179" s="1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  <row r="180" customFormat="false" ht="15" hidden="false" customHeight="false" outlineLevel="0" collapsed="false">
      <c r="A180" s="1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</row>
    <row r="181" customFormat="false" ht="15" hidden="false" customHeight="false" outlineLevel="0" collapsed="false">
      <c r="A181" s="18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</row>
    <row r="182" customFormat="false" ht="15" hidden="false" customHeight="false" outlineLevel="0" collapsed="false">
      <c r="A182" s="1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</row>
    <row r="183" customFormat="false" ht="15" hidden="false" customHeight="false" outlineLevel="0" collapsed="false">
      <c r="A183" s="18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</row>
    <row r="184" customFormat="false" ht="15" hidden="false" customHeight="false" outlineLevel="0" collapsed="false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</row>
    <row r="185" customFormat="false" ht="15" hidden="false" customHeight="false" outlineLevel="0" collapsed="false">
      <c r="A185" s="18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</row>
    <row r="186" customFormat="false" ht="15" hidden="false" customHeight="false" outlineLevel="0" collapsed="false">
      <c r="A186" s="1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</row>
    <row r="187" customFormat="false" ht="15" hidden="false" customHeight="false" outlineLevel="0" collapsed="false">
      <c r="A187" s="18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</row>
    <row r="188" customFormat="false" ht="15" hidden="false" customHeight="false" outlineLevel="0" collapsed="false">
      <c r="A188" s="1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</row>
    <row r="189" customFormat="false" ht="15" hidden="false" customHeight="false" outlineLevel="0" collapsed="false">
      <c r="A189" s="18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0" customFormat="false" ht="15" hidden="false" customHeight="false" outlineLevel="0" collapsed="false">
      <c r="A190" s="1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</row>
    <row r="191" customFormat="false" ht="15" hidden="false" customHeight="false" outlineLevel="0" collapsed="false">
      <c r="A191" s="18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</row>
    <row r="192" customFormat="false" ht="15" hidden="false" customHeight="false" outlineLevel="0" collapsed="false">
      <c r="A192" s="1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</row>
    <row r="193" customFormat="false" ht="15" hidden="false" customHeight="false" outlineLevel="0" collapsed="false">
      <c r="A193" s="18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</row>
    <row r="194" customFormat="false" ht="15" hidden="false" customHeight="false" outlineLevel="0" collapsed="false">
      <c r="A194" s="1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</row>
    <row r="195" customFormat="false" ht="15" hidden="false" customHeight="false" outlineLevel="0" collapsed="false">
      <c r="A195" s="18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</row>
    <row r="196" customFormat="false" ht="15" hidden="false" customHeight="false" outlineLevel="0" collapsed="false">
      <c r="A196" s="1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</row>
    <row r="197" customFormat="false" ht="15" hidden="false" customHeight="false" outlineLevel="0" collapsed="false">
      <c r="A197" s="18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</row>
    <row r="198" customFormat="false" ht="15" hidden="false" customHeight="false" outlineLevel="0" collapsed="false">
      <c r="A198" s="1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</row>
    <row r="199" customFormat="false" ht="15" hidden="false" customHeight="false" outlineLevel="0" collapsed="false">
      <c r="A199" s="18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</row>
  </sheetData>
  <sheetProtection sheet="true" formatColumns="false" formatRows="false" sort="false" autoFilter="false"/>
  <dataValidations count="6">
    <dataValidation allowBlank="true" errorStyle="stop" operator="between" showDropDown="false" showErrorMessage="false" showInputMessage="false" sqref="D5:D300" type="list">
      <formula1>"HAPD,HAQT,APQT"</formula1>
      <formula2>0</formula2>
    </dataValidation>
    <dataValidation allowBlank="true" errorStyle="stop" operator="between" showDropDown="false" showErrorMessage="false" showInputMessage="false" sqref="G5:G300" type="list">
      <formula1>"Thời gian,Khoán tháng,Thử việc"</formula1>
      <formula2>0</formula2>
    </dataValidation>
    <dataValidation allowBlank="true" errorStyle="stop" operator="between" showDropDown="false" showErrorMessage="false" showInputMessage="false" sqref="H5:H300" type="list">
      <formula1>"26,30"</formula1>
      <formula2>0</formula2>
    </dataValidation>
    <dataValidation allowBlank="true" errorStyle="stop" operator="between" showDropDown="false" showErrorMessage="false" showInputMessage="false" sqref="L5:L300" type="list">
      <formula1>"Có,Không"</formula1>
      <formula2>0</formula2>
    </dataValidation>
    <dataValidation allowBlank="true" errorStyle="stop" operator="between" showDropDown="false" showErrorMessage="false" showInputMessage="false" sqref="N5:N300" type="list">
      <formula1>"Chung,Cơ điện,Không"</formula1>
      <formula2>0</formula2>
    </dataValidation>
    <dataValidation allowBlank="true" errorStyle="stop" operator="between" showDropDown="false" showErrorMessage="false" showInputMessage="false" sqref="P5:P300" type="list">
      <formula1>"Chính thức,Thử việc,Thời vụ,Đã nghỉ"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35" min="5" style="0" width="4.6"/>
    <col collapsed="false" customWidth="true" hidden="false" outlineLevel="0" max="36" min="36" style="0" width="9"/>
    <col collapsed="false" customWidth="true" hidden="false" outlineLevel="0" max="39" min="37" style="0" width="8"/>
    <col collapsed="false" customWidth="true" hidden="false" outlineLevel="0" max="41" min="40" style="0" width="9"/>
    <col collapsed="false" customWidth="true" hidden="false" outlineLevel="0" max="42" min="42" style="0" width="8"/>
    <col collapsed="false" customWidth="true" hidden="false" outlineLevel="0" max="44" min="43" style="0" width="12"/>
    <col collapsed="false" customWidth="true" hidden="false" outlineLevel="0" max="45" min="45" style="0" width="3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3" customFormat="false" ht="15" hidden="false" customHeight="false" outlineLevel="0" collapsed="false">
      <c r="E3" s="21" t="n">
        <f aca="false">IF(0&lt;DAY(EOMONTH(DATE(NAM,THANG,1),0)),DATE(NAM,THANG,1)+0,"")</f>
        <v>46235</v>
      </c>
      <c r="F3" s="21" t="n">
        <f aca="false">IF(1&lt;DAY(EOMONTH(DATE(NAM,THANG,1),0)),DATE(NAM,THANG,1)+1,"")</f>
        <v>46236</v>
      </c>
      <c r="G3" s="21" t="n">
        <f aca="false">IF(2&lt;DAY(EOMONTH(DATE(NAM,THANG,1),0)),DATE(NAM,THANG,1)+2,"")</f>
        <v>46237</v>
      </c>
      <c r="H3" s="21" t="n">
        <f aca="false">IF(3&lt;DAY(EOMONTH(DATE(NAM,THANG,1),0)),DATE(NAM,THANG,1)+3,"")</f>
        <v>46238</v>
      </c>
      <c r="I3" s="21" t="n">
        <f aca="false">IF(4&lt;DAY(EOMONTH(DATE(NAM,THANG,1),0)),DATE(NAM,THANG,1)+4,"")</f>
        <v>46239</v>
      </c>
      <c r="J3" s="21" t="n">
        <f aca="false">IF(5&lt;DAY(EOMONTH(DATE(NAM,THANG,1),0)),DATE(NAM,THANG,1)+5,"")</f>
        <v>46240</v>
      </c>
      <c r="K3" s="21" t="n">
        <f aca="false">IF(6&lt;DAY(EOMONTH(DATE(NAM,THANG,1),0)),DATE(NAM,THANG,1)+6,"")</f>
        <v>46241</v>
      </c>
      <c r="L3" s="21" t="n">
        <f aca="false">IF(7&lt;DAY(EOMONTH(DATE(NAM,THANG,1),0)),DATE(NAM,THANG,1)+7,"")</f>
        <v>46242</v>
      </c>
      <c r="M3" s="21" t="n">
        <f aca="false">IF(8&lt;DAY(EOMONTH(DATE(NAM,THANG,1),0)),DATE(NAM,THANG,1)+8,"")</f>
        <v>46243</v>
      </c>
      <c r="N3" s="21" t="n">
        <f aca="false">IF(9&lt;DAY(EOMONTH(DATE(NAM,THANG,1),0)),DATE(NAM,THANG,1)+9,"")</f>
        <v>46244</v>
      </c>
      <c r="O3" s="21" t="n">
        <f aca="false">IF(10&lt;DAY(EOMONTH(DATE(NAM,THANG,1),0)),DATE(NAM,THANG,1)+10,"")</f>
        <v>46245</v>
      </c>
      <c r="P3" s="21" t="n">
        <f aca="false">IF(11&lt;DAY(EOMONTH(DATE(NAM,THANG,1),0)),DATE(NAM,THANG,1)+11,"")</f>
        <v>46246</v>
      </c>
      <c r="Q3" s="21" t="n">
        <f aca="false">IF(12&lt;DAY(EOMONTH(DATE(NAM,THANG,1),0)),DATE(NAM,THANG,1)+12,"")</f>
        <v>46247</v>
      </c>
      <c r="R3" s="21" t="n">
        <f aca="false">IF(13&lt;DAY(EOMONTH(DATE(NAM,THANG,1),0)),DATE(NAM,THANG,1)+13,"")</f>
        <v>46248</v>
      </c>
      <c r="S3" s="21" t="n">
        <f aca="false">IF(14&lt;DAY(EOMONTH(DATE(NAM,THANG,1),0)),DATE(NAM,THANG,1)+14,"")</f>
        <v>46249</v>
      </c>
      <c r="T3" s="21" t="n">
        <f aca="false">IF(15&lt;DAY(EOMONTH(DATE(NAM,THANG,1),0)),DATE(NAM,THANG,1)+15,"")</f>
        <v>46250</v>
      </c>
      <c r="U3" s="21" t="n">
        <f aca="false">IF(16&lt;DAY(EOMONTH(DATE(NAM,THANG,1),0)),DATE(NAM,THANG,1)+16,"")</f>
        <v>46251</v>
      </c>
      <c r="V3" s="21" t="n">
        <f aca="false">IF(17&lt;DAY(EOMONTH(DATE(NAM,THANG,1),0)),DATE(NAM,THANG,1)+17,"")</f>
        <v>46252</v>
      </c>
      <c r="W3" s="21" t="n">
        <f aca="false">IF(18&lt;DAY(EOMONTH(DATE(NAM,THANG,1),0)),DATE(NAM,THANG,1)+18,"")</f>
        <v>46253</v>
      </c>
      <c r="X3" s="21" t="n">
        <f aca="false">IF(19&lt;DAY(EOMONTH(DATE(NAM,THANG,1),0)),DATE(NAM,THANG,1)+19,"")</f>
        <v>46254</v>
      </c>
      <c r="Y3" s="21" t="n">
        <f aca="false">IF(20&lt;DAY(EOMONTH(DATE(NAM,THANG,1),0)),DATE(NAM,THANG,1)+20,"")</f>
        <v>46255</v>
      </c>
      <c r="Z3" s="21" t="n">
        <f aca="false">IF(21&lt;DAY(EOMONTH(DATE(NAM,THANG,1),0)),DATE(NAM,THANG,1)+21,"")</f>
        <v>46256</v>
      </c>
      <c r="AA3" s="21" t="n">
        <f aca="false">IF(22&lt;DAY(EOMONTH(DATE(NAM,THANG,1),0)),DATE(NAM,THANG,1)+22,"")</f>
        <v>46257</v>
      </c>
      <c r="AB3" s="21" t="n">
        <f aca="false">IF(23&lt;DAY(EOMONTH(DATE(NAM,THANG,1),0)),DATE(NAM,THANG,1)+23,"")</f>
        <v>46258</v>
      </c>
      <c r="AC3" s="21" t="n">
        <f aca="false">IF(24&lt;DAY(EOMONTH(DATE(NAM,THANG,1),0)),DATE(NAM,THANG,1)+24,"")</f>
        <v>46259</v>
      </c>
      <c r="AD3" s="21" t="n">
        <f aca="false">IF(25&lt;DAY(EOMONTH(DATE(NAM,THANG,1),0)),DATE(NAM,THANG,1)+25,"")</f>
        <v>46260</v>
      </c>
      <c r="AE3" s="21" t="n">
        <f aca="false">IF(26&lt;DAY(EOMONTH(DATE(NAM,THANG,1),0)),DATE(NAM,THANG,1)+26,"")</f>
        <v>46261</v>
      </c>
      <c r="AF3" s="21" t="n">
        <f aca="false">IF(27&lt;DAY(EOMONTH(DATE(NAM,THANG,1),0)),DATE(NAM,THANG,1)+27,"")</f>
        <v>46262</v>
      </c>
      <c r="AG3" s="21" t="n">
        <f aca="false">IF(28&lt;DAY(EOMONTH(DATE(NAM,THANG,1),0)),DATE(NAM,THANG,1)+28,"")</f>
        <v>46263</v>
      </c>
      <c r="AH3" s="21" t="n">
        <f aca="false">IF(29&lt;DAY(EOMONTH(DATE(NAM,THANG,1),0)),DATE(NAM,THANG,1)+29,"")</f>
        <v>46264</v>
      </c>
      <c r="AI3" s="21" t="n">
        <f aca="false">IF(30&lt;DAY(EOMONTH(DATE(NAM,THANG,1),0)),DATE(NAM,THANG,1)+30,"")</f>
        <v>46265</v>
      </c>
    </row>
    <row r="4" customFormat="false" ht="15" hidden="false" customHeight="false" outlineLevel="0" collapsed="false">
      <c r="E4" s="22" t="str">
        <f aca="false">IF(E3="","",CHOOSE(WEEKDAY(E3),"CN","T2","T3","T4","T5","T6","T7"))</f>
        <v>T7</v>
      </c>
      <c r="F4" s="22" t="str">
        <f aca="false">IF(F3="","",CHOOSE(WEEKDAY(F3),"CN","T2","T3","T4","T5","T6","T7"))</f>
        <v>CN</v>
      </c>
      <c r="G4" s="22" t="str">
        <f aca="false">IF(G3="","",CHOOSE(WEEKDAY(G3),"CN","T2","T3","T4","T5","T6","T7"))</f>
        <v>T2</v>
      </c>
      <c r="H4" s="22" t="str">
        <f aca="false">IF(H3="","",CHOOSE(WEEKDAY(H3),"CN","T2","T3","T4","T5","T6","T7"))</f>
        <v>T3</v>
      </c>
      <c r="I4" s="22" t="str">
        <f aca="false">IF(I3="","",CHOOSE(WEEKDAY(I3),"CN","T2","T3","T4","T5","T6","T7"))</f>
        <v>T4</v>
      </c>
      <c r="J4" s="22" t="str">
        <f aca="false">IF(J3="","",CHOOSE(WEEKDAY(J3),"CN","T2","T3","T4","T5","T6","T7"))</f>
        <v>T5</v>
      </c>
      <c r="K4" s="22" t="str">
        <f aca="false">IF(K3="","",CHOOSE(WEEKDAY(K3),"CN","T2","T3","T4","T5","T6","T7"))</f>
        <v>T6</v>
      </c>
      <c r="L4" s="22" t="str">
        <f aca="false">IF(L3="","",CHOOSE(WEEKDAY(L3),"CN","T2","T3","T4","T5","T6","T7"))</f>
        <v>T7</v>
      </c>
      <c r="M4" s="22" t="str">
        <f aca="false">IF(M3="","",CHOOSE(WEEKDAY(M3),"CN","T2","T3","T4","T5","T6","T7"))</f>
        <v>CN</v>
      </c>
      <c r="N4" s="22" t="str">
        <f aca="false">IF(N3="","",CHOOSE(WEEKDAY(N3),"CN","T2","T3","T4","T5","T6","T7"))</f>
        <v>T2</v>
      </c>
      <c r="O4" s="22" t="str">
        <f aca="false">IF(O3="","",CHOOSE(WEEKDAY(O3),"CN","T2","T3","T4","T5","T6","T7"))</f>
        <v>T3</v>
      </c>
      <c r="P4" s="22" t="str">
        <f aca="false">IF(P3="","",CHOOSE(WEEKDAY(P3),"CN","T2","T3","T4","T5","T6","T7"))</f>
        <v>T4</v>
      </c>
      <c r="Q4" s="22" t="str">
        <f aca="false">IF(Q3="","",CHOOSE(WEEKDAY(Q3),"CN","T2","T3","T4","T5","T6","T7"))</f>
        <v>T5</v>
      </c>
      <c r="R4" s="22" t="str">
        <f aca="false">IF(R3="","",CHOOSE(WEEKDAY(R3),"CN","T2","T3","T4","T5","T6","T7"))</f>
        <v>T6</v>
      </c>
      <c r="S4" s="22" t="str">
        <f aca="false">IF(S3="","",CHOOSE(WEEKDAY(S3),"CN","T2","T3","T4","T5","T6","T7"))</f>
        <v>T7</v>
      </c>
      <c r="T4" s="22" t="str">
        <f aca="false">IF(T3="","",CHOOSE(WEEKDAY(T3),"CN","T2","T3","T4","T5","T6","T7"))</f>
        <v>CN</v>
      </c>
      <c r="U4" s="22" t="str">
        <f aca="false">IF(U3="","",CHOOSE(WEEKDAY(U3),"CN","T2","T3","T4","T5","T6","T7"))</f>
        <v>T2</v>
      </c>
      <c r="V4" s="22" t="str">
        <f aca="false">IF(V3="","",CHOOSE(WEEKDAY(V3),"CN","T2","T3","T4","T5","T6","T7"))</f>
        <v>T3</v>
      </c>
      <c r="W4" s="22" t="str">
        <f aca="false">IF(W3="","",CHOOSE(WEEKDAY(W3),"CN","T2","T3","T4","T5","T6","T7"))</f>
        <v>T4</v>
      </c>
      <c r="X4" s="22" t="str">
        <f aca="false">IF(X3="","",CHOOSE(WEEKDAY(X3),"CN","T2","T3","T4","T5","T6","T7"))</f>
        <v>T5</v>
      </c>
      <c r="Y4" s="22" t="str">
        <f aca="false">IF(Y3="","",CHOOSE(WEEKDAY(Y3),"CN","T2","T3","T4","T5","T6","T7"))</f>
        <v>T6</v>
      </c>
      <c r="Z4" s="22" t="str">
        <f aca="false">IF(Z3="","",CHOOSE(WEEKDAY(Z3),"CN","T2","T3","T4","T5","T6","T7"))</f>
        <v>T7</v>
      </c>
      <c r="AA4" s="22" t="str">
        <f aca="false">IF(AA3="","",CHOOSE(WEEKDAY(AA3),"CN","T2","T3","T4","T5","T6","T7"))</f>
        <v>CN</v>
      </c>
      <c r="AB4" s="22" t="str">
        <f aca="false">IF(AB3="","",CHOOSE(WEEKDAY(AB3),"CN","T2","T3","T4","T5","T6","T7"))</f>
        <v>T2</v>
      </c>
      <c r="AC4" s="22" t="str">
        <f aca="false">IF(AC3="","",CHOOSE(WEEKDAY(AC3),"CN","T2","T3","T4","T5","T6","T7"))</f>
        <v>T3</v>
      </c>
      <c r="AD4" s="22" t="str">
        <f aca="false">IF(AD3="","",CHOOSE(WEEKDAY(AD3),"CN","T2","T3","T4","T5","T6","T7"))</f>
        <v>T4</v>
      </c>
      <c r="AE4" s="22" t="str">
        <f aca="false">IF(AE3="","",CHOOSE(WEEKDAY(AE3),"CN","T2","T3","T4","T5","T6","T7"))</f>
        <v>T5</v>
      </c>
      <c r="AF4" s="22" t="str">
        <f aca="false">IF(AF3="","",CHOOSE(WEEKDAY(AF3),"CN","T2","T3","T4","T5","T6","T7"))</f>
        <v>T6</v>
      </c>
      <c r="AG4" s="22" t="str">
        <f aca="false">IF(AG3="","",CHOOSE(WEEKDAY(AG3),"CN","T2","T3","T4","T5","T6","T7"))</f>
        <v>T7</v>
      </c>
      <c r="AH4" s="22" t="str">
        <f aca="false">IF(AH3="","",CHOOSE(WEEKDAY(AH3),"CN","T2","T3","T4","T5","T6","T7"))</f>
        <v>CN</v>
      </c>
      <c r="AI4" s="22" t="str">
        <f aca="false">IF(AI3="","",CHOOSE(WEEKDAY(AI3),"CN","T2","T3","T4","T5","T6","T7"))</f>
        <v>T2</v>
      </c>
    </row>
    <row r="5" customFormat="false" ht="39.75" hidden="false" customHeight="true" outlineLevel="0" collapsed="false">
      <c r="A5" s="15" t="s">
        <v>154</v>
      </c>
      <c r="B5" s="15" t="s">
        <v>155</v>
      </c>
      <c r="C5" s="15" t="s">
        <v>156</v>
      </c>
      <c r="D5" s="15" t="s">
        <v>157</v>
      </c>
      <c r="E5" s="15" t="s">
        <v>251</v>
      </c>
      <c r="F5" s="15" t="s">
        <v>252</v>
      </c>
      <c r="G5" s="15" t="s">
        <v>253</v>
      </c>
      <c r="H5" s="15" t="s">
        <v>254</v>
      </c>
      <c r="I5" s="15" t="s">
        <v>255</v>
      </c>
      <c r="J5" s="15" t="s">
        <v>256</v>
      </c>
      <c r="K5" s="15" t="s">
        <v>257</v>
      </c>
      <c r="L5" s="15" t="s">
        <v>258</v>
      </c>
      <c r="M5" s="15" t="s">
        <v>259</v>
      </c>
      <c r="N5" s="15" t="s">
        <v>260</v>
      </c>
      <c r="O5" s="15" t="s">
        <v>261</v>
      </c>
      <c r="P5" s="15" t="s">
        <v>262</v>
      </c>
      <c r="Q5" s="15" t="s">
        <v>263</v>
      </c>
      <c r="R5" s="15" t="s">
        <v>264</v>
      </c>
      <c r="S5" s="15" t="s">
        <v>265</v>
      </c>
      <c r="T5" s="15" t="s">
        <v>266</v>
      </c>
      <c r="U5" s="15" t="s">
        <v>267</v>
      </c>
      <c r="V5" s="15" t="s">
        <v>268</v>
      </c>
      <c r="W5" s="15" t="s">
        <v>269</v>
      </c>
      <c r="X5" s="15" t="s">
        <v>270</v>
      </c>
      <c r="Y5" s="15" t="s">
        <v>271</v>
      </c>
      <c r="Z5" s="15" t="s">
        <v>272</v>
      </c>
      <c r="AA5" s="15" t="s">
        <v>273</v>
      </c>
      <c r="AB5" s="15" t="s">
        <v>274</v>
      </c>
      <c r="AC5" s="15" t="s">
        <v>275</v>
      </c>
      <c r="AD5" s="15" t="s">
        <v>276</v>
      </c>
      <c r="AE5" s="15" t="s">
        <v>277</v>
      </c>
      <c r="AF5" s="15" t="s">
        <v>278</v>
      </c>
      <c r="AG5" s="15" t="s">
        <v>279</v>
      </c>
      <c r="AH5" s="15" t="s">
        <v>280</v>
      </c>
      <c r="AI5" s="15" t="s">
        <v>281</v>
      </c>
      <c r="AJ5" s="15" t="s">
        <v>66</v>
      </c>
      <c r="AK5" s="15" t="s">
        <v>282</v>
      </c>
      <c r="AL5" s="15" t="s">
        <v>283</v>
      </c>
      <c r="AM5" s="15" t="s">
        <v>284</v>
      </c>
      <c r="AN5" s="15" t="s">
        <v>285</v>
      </c>
      <c r="AO5" s="15" t="s">
        <v>286</v>
      </c>
      <c r="AP5" s="15" t="s">
        <v>287</v>
      </c>
      <c r="AQ5" s="15" t="s">
        <v>288</v>
      </c>
      <c r="AR5" s="15" t="s">
        <v>289</v>
      </c>
      <c r="AS5" s="15" t="s">
        <v>72</v>
      </c>
    </row>
    <row r="6" customFormat="false" ht="15" hidden="false" customHeight="false" outlineLevel="0" collapsed="false">
      <c r="A6" s="18" t="n">
        <v>1</v>
      </c>
      <c r="B6" s="16" t="s">
        <v>170</v>
      </c>
      <c r="C6" s="18" t="str">
        <f aca="false">IF(B6="","",IFERROR(INDEX(NV_TEN,MATCH(B6,NV_MA,0)),"MÃ KHÔNG CÓ"))</f>
        <v>Hồ Thị Ngọc Á</v>
      </c>
      <c r="D6" s="18" t="str">
        <f aca="false">IF(B6="","",IFERROR(INDEX(NV_PN,MATCH(B6,NV_MA,0)),""))</f>
        <v>APQT</v>
      </c>
      <c r="E6" s="23" t="n">
        <v>8</v>
      </c>
      <c r="F6" s="23" t="n">
        <v>8</v>
      </c>
      <c r="G6" s="23" t="n">
        <v>8</v>
      </c>
      <c r="H6" s="23" t="n">
        <v>8</v>
      </c>
      <c r="I6" s="23"/>
      <c r="J6" s="23" t="n">
        <v>8</v>
      </c>
      <c r="K6" s="23" t="n">
        <v>8</v>
      </c>
      <c r="L6" s="23" t="n">
        <v>8</v>
      </c>
      <c r="M6" s="23" t="n">
        <v>8</v>
      </c>
      <c r="N6" s="23" t="n">
        <v>8</v>
      </c>
      <c r="O6" s="23" t="n">
        <v>8</v>
      </c>
      <c r="P6" s="23"/>
      <c r="Q6" s="23" t="n">
        <v>8</v>
      </c>
      <c r="R6" s="23" t="n">
        <v>8</v>
      </c>
      <c r="S6" s="23" t="n">
        <v>8</v>
      </c>
      <c r="T6" s="23" t="n">
        <v>8</v>
      </c>
      <c r="U6" s="23" t="n">
        <v>8</v>
      </c>
      <c r="V6" s="23" t="n">
        <v>8</v>
      </c>
      <c r="W6" s="23"/>
      <c r="X6" s="23" t="n">
        <v>8</v>
      </c>
      <c r="Y6" s="23" t="n">
        <v>8</v>
      </c>
      <c r="Z6" s="23" t="n">
        <v>8</v>
      </c>
      <c r="AA6" s="23" t="n">
        <v>8</v>
      </c>
      <c r="AB6" s="23" t="n">
        <v>8</v>
      </c>
      <c r="AC6" s="23" t="n">
        <v>8</v>
      </c>
      <c r="AD6" s="23"/>
      <c r="AE6" s="23" t="n">
        <v>8</v>
      </c>
      <c r="AF6" s="23" t="n">
        <v>8</v>
      </c>
      <c r="AG6" s="23" t="n">
        <v>8</v>
      </c>
      <c r="AH6" s="23" t="n">
        <v>8</v>
      </c>
      <c r="AI6" s="23" t="n">
        <v>8</v>
      </c>
      <c r="AJ6" s="24" t="n">
        <f aca="false">IF(B6="","",SUM(E6:AI6)+SUMPRODUCT(COUNTIF(E6:AI6,KH_MA),KH_LUONG))</f>
        <v>216</v>
      </c>
      <c r="AK6" s="25" t="n">
        <f aca="false">IF(B6="","",AJ6/GIO_CONG)</f>
        <v>27</v>
      </c>
      <c r="AL6" s="26" t="n">
        <f aca="false">IF(B6="","",SUMPRODUCT(COUNTIF(E6:AI6,KH_MA),KH_PHEP)/GIO_CONG)</f>
        <v>0</v>
      </c>
      <c r="AM6" s="26" t="n">
        <f aca="false">IF(B6="","",SUMPRODUCT(COUNTIF(E6:AI6,KH_MA),KH_LE)/GIO_CONG)</f>
        <v>0</v>
      </c>
      <c r="AN6" s="26" t="n">
        <f aca="false">IF(B6="","",SUMPRODUCT(COUNTIF(E6:AI6,KH_MA),KH_LEDL))</f>
        <v>0</v>
      </c>
      <c r="AO6" s="26" t="n">
        <f aca="false">IF(B6="","",SUMPRODUCT(COUNTIF(E6:AI6,KH_MA),KH_CD)/GIO_CONG)</f>
        <v>0</v>
      </c>
      <c r="AP6" s="26" t="n">
        <f aca="false">IF(B6="","",SUMPRODUCT(COUNTIF(E6:AI6,KH_MA),KH_CTL)/GIO_CONG)</f>
        <v>0</v>
      </c>
      <c r="AQ6" s="16"/>
      <c r="AR6" s="16"/>
      <c r="AS6" s="16"/>
    </row>
    <row r="7" customFormat="false" ht="15" hidden="false" customHeight="false" outlineLevel="0" collapsed="false">
      <c r="A7" s="18" t="n">
        <v>2</v>
      </c>
      <c r="B7" s="16" t="s">
        <v>180</v>
      </c>
      <c r="C7" s="18" t="str">
        <f aca="false">IF(B7="","",IFERROR(INDEX(NV_TEN,MATCH(B7,NV_MA,0)),"MÃ KHÔNG CÓ"))</f>
        <v>Nguyễn Nhật Tân</v>
      </c>
      <c r="D7" s="18" t="str">
        <f aca="false">IF(B7="","",IFERROR(INDEX(NV_PN,MATCH(B7,NV_MA,0)),""))</f>
        <v>APQT</v>
      </c>
      <c r="E7" s="23" t="n">
        <v>8</v>
      </c>
      <c r="F7" s="23" t="n">
        <v>8</v>
      </c>
      <c r="G7" s="23" t="n">
        <v>8</v>
      </c>
      <c r="H7" s="23" t="n">
        <v>8</v>
      </c>
      <c r="I7" s="23" t="n">
        <v>8</v>
      </c>
      <c r="J7" s="23" t="n">
        <v>8</v>
      </c>
      <c r="K7" s="23" t="n">
        <v>8</v>
      </c>
      <c r="L7" s="23" t="n">
        <v>8</v>
      </c>
      <c r="M7" s="23" t="n">
        <v>8</v>
      </c>
      <c r="N7" s="23" t="n">
        <v>8</v>
      </c>
      <c r="O7" s="23" t="n">
        <v>8</v>
      </c>
      <c r="P7" s="23" t="n">
        <v>8</v>
      </c>
      <c r="Q7" s="23" t="n">
        <v>8</v>
      </c>
      <c r="R7" s="23" t="n">
        <v>8</v>
      </c>
      <c r="S7" s="23" t="n">
        <v>8</v>
      </c>
      <c r="T7" s="23" t="n">
        <v>8</v>
      </c>
      <c r="U7" s="23" t="n">
        <v>8</v>
      </c>
      <c r="V7" s="23" t="n">
        <v>8</v>
      </c>
      <c r="W7" s="23" t="n">
        <v>8</v>
      </c>
      <c r="X7" s="23" t="n">
        <v>8</v>
      </c>
      <c r="Y7" s="23" t="n">
        <v>8</v>
      </c>
      <c r="Z7" s="23" t="n">
        <v>8</v>
      </c>
      <c r="AA7" s="23" t="n">
        <v>8</v>
      </c>
      <c r="AB7" s="23" t="n">
        <v>8</v>
      </c>
      <c r="AC7" s="23" t="n">
        <v>8</v>
      </c>
      <c r="AD7" s="23" t="n">
        <v>8</v>
      </c>
      <c r="AE7" s="23" t="n">
        <v>8</v>
      </c>
      <c r="AF7" s="23" t="n">
        <v>8</v>
      </c>
      <c r="AG7" s="23" t="n">
        <v>8</v>
      </c>
      <c r="AH7" s="23" t="n">
        <v>8</v>
      </c>
      <c r="AI7" s="23" t="n">
        <v>8</v>
      </c>
      <c r="AJ7" s="24" t="n">
        <f aca="false">IF(B7="","",SUM(E7:AI7)+SUMPRODUCT(COUNTIF(E7:AI7,KH_MA),KH_LUONG))</f>
        <v>248</v>
      </c>
      <c r="AK7" s="25" t="n">
        <f aca="false">IF(B7="","",AJ7/GIO_CONG)</f>
        <v>31</v>
      </c>
      <c r="AL7" s="26" t="n">
        <f aca="false">IF(B7="","",SUMPRODUCT(COUNTIF(E7:AI7,KH_MA),KH_PHEP)/GIO_CONG)</f>
        <v>0</v>
      </c>
      <c r="AM7" s="26" t="n">
        <f aca="false">IF(B7="","",SUMPRODUCT(COUNTIF(E7:AI7,KH_MA),KH_LE)/GIO_CONG)</f>
        <v>0</v>
      </c>
      <c r="AN7" s="26" t="n">
        <f aca="false">IF(B7="","",SUMPRODUCT(COUNTIF(E7:AI7,KH_MA),KH_LEDL))</f>
        <v>0</v>
      </c>
      <c r="AO7" s="26" t="n">
        <f aca="false">IF(B7="","",SUMPRODUCT(COUNTIF(E7:AI7,KH_MA),KH_CD)/GIO_CONG)</f>
        <v>0</v>
      </c>
      <c r="AP7" s="26" t="n">
        <f aca="false">IF(B7="","",SUMPRODUCT(COUNTIF(E7:AI7,KH_MA),KH_CTL)/GIO_CONG)</f>
        <v>0</v>
      </c>
      <c r="AQ7" s="16"/>
      <c r="AR7" s="16"/>
      <c r="AS7" s="16"/>
    </row>
    <row r="8" customFormat="false" ht="15" hidden="false" customHeight="false" outlineLevel="0" collapsed="false">
      <c r="A8" s="18" t="n">
        <v>3</v>
      </c>
      <c r="B8" s="16" t="s">
        <v>185</v>
      </c>
      <c r="C8" s="18" t="str">
        <f aca="false">IF(B8="","",IFERROR(INDEX(NV_TEN,MATCH(B8,NV_MA,0)),"MÃ KHÔNG CÓ"))</f>
        <v>Đặng Quang Chung</v>
      </c>
      <c r="D8" s="18" t="str">
        <f aca="false">IF(B8="","",IFERROR(INDEX(NV_PN,MATCH(B8,NV_MA,0)),""))</f>
        <v>APQT</v>
      </c>
      <c r="E8" s="23" t="n">
        <v>8</v>
      </c>
      <c r="F8" s="23"/>
      <c r="G8" s="23" t="n">
        <v>8</v>
      </c>
      <c r="H8" s="23" t="n">
        <v>8</v>
      </c>
      <c r="I8" s="23" t="n">
        <v>8</v>
      </c>
      <c r="J8" s="23" t="n">
        <v>8</v>
      </c>
      <c r="K8" s="23" t="n">
        <v>8</v>
      </c>
      <c r="L8" s="23" t="n">
        <v>8</v>
      </c>
      <c r="M8" s="23" t="n">
        <v>8</v>
      </c>
      <c r="N8" s="23" t="n">
        <v>8</v>
      </c>
      <c r="O8" s="23" t="n">
        <v>8</v>
      </c>
      <c r="P8" s="23" t="n">
        <v>16</v>
      </c>
      <c r="Q8" s="23" t="n">
        <v>8</v>
      </c>
      <c r="R8" s="23" t="n">
        <v>8</v>
      </c>
      <c r="S8" s="23" t="n">
        <v>8</v>
      </c>
      <c r="T8" s="23"/>
      <c r="U8" s="23" t="n">
        <v>8</v>
      </c>
      <c r="V8" s="23" t="n">
        <v>8</v>
      </c>
      <c r="W8" s="23" t="n">
        <v>8</v>
      </c>
      <c r="X8" s="23" t="n">
        <v>8</v>
      </c>
      <c r="Y8" s="23" t="n">
        <v>16</v>
      </c>
      <c r="Z8" s="23" t="s">
        <v>73</v>
      </c>
      <c r="AA8" s="23" t="n">
        <v>8</v>
      </c>
      <c r="AB8" s="23" t="n">
        <v>10</v>
      </c>
      <c r="AC8" s="23" t="n">
        <v>8</v>
      </c>
      <c r="AD8" s="23" t="n">
        <v>8</v>
      </c>
      <c r="AE8" s="23" t="n">
        <v>8</v>
      </c>
      <c r="AF8" s="23" t="n">
        <v>8</v>
      </c>
      <c r="AG8" s="23" t="n">
        <v>8</v>
      </c>
      <c r="AH8" s="23" t="n">
        <v>14</v>
      </c>
      <c r="AI8" s="23" t="n">
        <v>8</v>
      </c>
      <c r="AJ8" s="24" t="n">
        <f aca="false">IF(B8="","",SUM(E8:AI8)+SUMPRODUCT(COUNTIF(E8:AI8,KH_MA),KH_LUONG))</f>
        <v>248</v>
      </c>
      <c r="AK8" s="25" t="n">
        <f aca="false">IF(B8="","",AJ8/GIO_CONG)</f>
        <v>31</v>
      </c>
      <c r="AL8" s="26" t="n">
        <f aca="false">IF(B8="","",SUMPRODUCT(COUNTIF(E8:AI8,KH_MA),KH_PHEP)/GIO_CONG)</f>
        <v>1</v>
      </c>
      <c r="AM8" s="26" t="n">
        <f aca="false">IF(B8="","",SUMPRODUCT(COUNTIF(E8:AI8,KH_MA),KH_LE)/GIO_CONG)</f>
        <v>0</v>
      </c>
      <c r="AN8" s="26" t="n">
        <f aca="false">IF(B8="","",SUMPRODUCT(COUNTIF(E8:AI8,KH_MA),KH_LEDL))</f>
        <v>0</v>
      </c>
      <c r="AO8" s="26" t="n">
        <f aca="false">IF(B8="","",SUMPRODUCT(COUNTIF(E8:AI8,KH_MA),KH_CD)/GIO_CONG)</f>
        <v>0</v>
      </c>
      <c r="AP8" s="26" t="n">
        <f aca="false">IF(B8="","",SUMPRODUCT(COUNTIF(E8:AI8,KH_MA),KH_CTL)/GIO_CONG)</f>
        <v>0</v>
      </c>
      <c r="AQ8" s="16"/>
      <c r="AR8" s="16"/>
      <c r="AS8" s="16"/>
    </row>
    <row r="9" customFormat="false" ht="15" hidden="false" customHeight="false" outlineLevel="0" collapsed="false">
      <c r="A9" s="18" t="n">
        <v>4</v>
      </c>
      <c r="B9" s="16" t="s">
        <v>190</v>
      </c>
      <c r="C9" s="18" t="str">
        <f aca="false">IF(B9="","",IFERROR(INDEX(NV_TEN,MATCH(B9,NV_MA,0)),"MÃ KHÔNG CÓ"))</f>
        <v>Nguyễn Hào</v>
      </c>
      <c r="D9" s="18" t="str">
        <f aca="false">IF(B9="","",IFERROR(INDEX(NV_PN,MATCH(B9,NV_MA,0)),""))</f>
        <v>APQT</v>
      </c>
      <c r="E9" s="23" t="n">
        <v>8</v>
      </c>
      <c r="F9" s="23" t="n">
        <v>8</v>
      </c>
      <c r="G9" s="23" t="n">
        <v>8</v>
      </c>
      <c r="H9" s="23" t="n">
        <v>8</v>
      </c>
      <c r="I9" s="23" t="n">
        <v>8</v>
      </c>
      <c r="J9" s="23" t="n">
        <v>8</v>
      </c>
      <c r="K9" s="23" t="n">
        <v>8</v>
      </c>
      <c r="L9" s="23"/>
      <c r="M9" s="23" t="n">
        <v>8</v>
      </c>
      <c r="N9" s="23" t="n">
        <v>8</v>
      </c>
      <c r="O9" s="23" t="n">
        <v>8</v>
      </c>
      <c r="P9" s="23" t="n">
        <v>8</v>
      </c>
      <c r="Q9" s="23" t="n">
        <v>8</v>
      </c>
      <c r="R9" s="23" t="n">
        <v>8</v>
      </c>
      <c r="S9" s="23" t="n">
        <v>8</v>
      </c>
      <c r="T9" s="23" t="n">
        <v>16</v>
      </c>
      <c r="U9" s="23"/>
      <c r="V9" s="23" t="n">
        <v>8</v>
      </c>
      <c r="W9" s="23" t="n">
        <v>8</v>
      </c>
      <c r="X9" s="23" t="n">
        <v>8</v>
      </c>
      <c r="Y9" s="23" t="n">
        <v>8</v>
      </c>
      <c r="Z9" s="23" t="n">
        <v>8</v>
      </c>
      <c r="AA9" s="23" t="n">
        <v>8</v>
      </c>
      <c r="AB9" s="23" t="n">
        <v>8</v>
      </c>
      <c r="AC9" s="23" t="n">
        <v>8</v>
      </c>
      <c r="AD9" s="23" t="n">
        <v>8</v>
      </c>
      <c r="AE9" s="23" t="n">
        <v>8</v>
      </c>
      <c r="AF9" s="23" t="n">
        <v>8</v>
      </c>
      <c r="AG9" s="23" t="n">
        <v>8</v>
      </c>
      <c r="AH9" s="23" t="n">
        <v>8</v>
      </c>
      <c r="AI9" s="23"/>
      <c r="AJ9" s="24" t="n">
        <f aca="false">IF(B9="","",SUM(E9:AI9)+SUMPRODUCT(COUNTIF(E9:AI9,KH_MA),KH_LUONG))</f>
        <v>232</v>
      </c>
      <c r="AK9" s="25" t="n">
        <f aca="false">IF(B9="","",AJ9/GIO_CONG)</f>
        <v>29</v>
      </c>
      <c r="AL9" s="26" t="n">
        <f aca="false">IF(B9="","",SUMPRODUCT(COUNTIF(E9:AI9,KH_MA),KH_PHEP)/GIO_CONG)</f>
        <v>0</v>
      </c>
      <c r="AM9" s="26" t="n">
        <f aca="false">IF(B9="","",SUMPRODUCT(COUNTIF(E9:AI9,KH_MA),KH_LE)/GIO_CONG)</f>
        <v>0</v>
      </c>
      <c r="AN9" s="26" t="n">
        <f aca="false">IF(B9="","",SUMPRODUCT(COUNTIF(E9:AI9,KH_MA),KH_LEDL))</f>
        <v>0</v>
      </c>
      <c r="AO9" s="26" t="n">
        <f aca="false">IF(B9="","",SUMPRODUCT(COUNTIF(E9:AI9,KH_MA),KH_CD)/GIO_CONG)</f>
        <v>0</v>
      </c>
      <c r="AP9" s="26" t="n">
        <f aca="false">IF(B9="","",SUMPRODUCT(COUNTIF(E9:AI9,KH_MA),KH_CTL)/GIO_CONG)</f>
        <v>0</v>
      </c>
      <c r="AQ9" s="16"/>
      <c r="AR9" s="16"/>
      <c r="AS9" s="16"/>
    </row>
    <row r="10" customFormat="false" ht="15" hidden="false" customHeight="false" outlineLevel="0" collapsed="false">
      <c r="A10" s="18" t="n">
        <v>5</v>
      </c>
      <c r="B10" s="16" t="s">
        <v>195</v>
      </c>
      <c r="C10" s="18" t="str">
        <f aca="false">IF(B10="","",IFERROR(INDEX(NV_TEN,MATCH(B10,NV_MA,0)),"MÃ KHÔNG CÓ"))</f>
        <v>Nguyễn Mạnh Thắng</v>
      </c>
      <c r="D10" s="18" t="str">
        <f aca="false">IF(B10="","",IFERROR(INDEX(NV_PN,MATCH(B10,NV_MA,0)),""))</f>
        <v>APQT</v>
      </c>
      <c r="E10" s="23" t="n">
        <v>8</v>
      </c>
      <c r="F10" s="23"/>
      <c r="G10" s="23" t="n">
        <v>8</v>
      </c>
      <c r="H10" s="23" t="n">
        <v>8</v>
      </c>
      <c r="I10" s="23" t="n">
        <v>8</v>
      </c>
      <c r="J10" s="23" t="n">
        <v>8</v>
      </c>
      <c r="K10" s="23" t="n">
        <v>8</v>
      </c>
      <c r="L10" s="23"/>
      <c r="M10" s="23" t="n">
        <v>8</v>
      </c>
      <c r="N10" s="23" t="n">
        <v>8</v>
      </c>
      <c r="O10" s="23" t="n">
        <v>8</v>
      </c>
      <c r="P10" s="23" t="n">
        <v>8</v>
      </c>
      <c r="Q10" s="23" t="n">
        <v>8</v>
      </c>
      <c r="R10" s="23" t="n">
        <v>8</v>
      </c>
      <c r="S10" s="23" t="n">
        <v>8</v>
      </c>
      <c r="T10" s="23" t="n">
        <v>16</v>
      </c>
      <c r="U10" s="23"/>
      <c r="V10" s="23" t="n">
        <v>8</v>
      </c>
      <c r="W10" s="23" t="n">
        <v>8</v>
      </c>
      <c r="X10" s="23" t="n">
        <v>8</v>
      </c>
      <c r="Y10" s="23" t="n">
        <v>8</v>
      </c>
      <c r="Z10" s="23" t="n">
        <v>8</v>
      </c>
      <c r="AA10" s="23" t="n">
        <v>8</v>
      </c>
      <c r="AB10" s="23" t="n">
        <v>12</v>
      </c>
      <c r="AC10" s="23" t="n">
        <v>8</v>
      </c>
      <c r="AD10" s="23" t="n">
        <v>8</v>
      </c>
      <c r="AE10" s="23"/>
      <c r="AF10" s="23" t="n">
        <v>8</v>
      </c>
      <c r="AG10" s="23"/>
      <c r="AH10" s="23"/>
      <c r="AI10" s="23"/>
      <c r="AJ10" s="24" t="n">
        <f aca="false">IF(B10="","",SUM(E10:AI10)+SUMPRODUCT(COUNTIF(E10:AI10,KH_MA),KH_LUONG))</f>
        <v>204</v>
      </c>
      <c r="AK10" s="25" t="n">
        <f aca="false">IF(B10="","",AJ10/GIO_CONG)</f>
        <v>25.5</v>
      </c>
      <c r="AL10" s="26" t="n">
        <f aca="false">IF(B10="","",SUMPRODUCT(COUNTIF(E10:AI10,KH_MA),KH_PHEP)/GIO_CONG)</f>
        <v>0</v>
      </c>
      <c r="AM10" s="26" t="n">
        <f aca="false">IF(B10="","",SUMPRODUCT(COUNTIF(E10:AI10,KH_MA),KH_LE)/GIO_CONG)</f>
        <v>0</v>
      </c>
      <c r="AN10" s="26" t="n">
        <f aca="false">IF(B10="","",SUMPRODUCT(COUNTIF(E10:AI10,KH_MA),KH_LEDL))</f>
        <v>0</v>
      </c>
      <c r="AO10" s="26" t="n">
        <f aca="false">IF(B10="","",SUMPRODUCT(COUNTIF(E10:AI10,KH_MA),KH_CD)/GIO_CONG)</f>
        <v>0</v>
      </c>
      <c r="AP10" s="26" t="n">
        <f aca="false">IF(B10="","",SUMPRODUCT(COUNTIF(E10:AI10,KH_MA),KH_CTL)/GIO_CONG)</f>
        <v>0</v>
      </c>
      <c r="AQ10" s="16"/>
      <c r="AR10" s="16"/>
      <c r="AS10" s="16"/>
    </row>
    <row r="11" customFormat="false" ht="15" hidden="false" customHeight="false" outlineLevel="0" collapsed="false">
      <c r="A11" s="18" t="n">
        <v>6</v>
      </c>
      <c r="B11" s="16" t="s">
        <v>198</v>
      </c>
      <c r="C11" s="18" t="str">
        <f aca="false">IF(B11="","",IFERROR(INDEX(NV_TEN,MATCH(B11,NV_MA,0)),"MÃ KHÔNG CÓ"))</f>
        <v>Nguyễn Quang Quốc</v>
      </c>
      <c r="D11" s="18" t="str">
        <f aca="false">IF(B11="","",IFERROR(INDEX(NV_PN,MATCH(B11,NV_MA,0)),""))</f>
        <v>APQT</v>
      </c>
      <c r="E11" s="23" t="n">
        <v>12</v>
      </c>
      <c r="F11" s="23"/>
      <c r="G11" s="23" t="n">
        <v>12</v>
      </c>
      <c r="H11" s="23" t="n">
        <v>12</v>
      </c>
      <c r="I11" s="23" t="n">
        <v>12</v>
      </c>
      <c r="J11" s="23"/>
      <c r="K11" s="23" t="n">
        <v>8</v>
      </c>
      <c r="L11" s="23" t="n">
        <v>8</v>
      </c>
      <c r="M11" s="23"/>
      <c r="N11" s="23" t="n">
        <v>8</v>
      </c>
      <c r="O11" s="23" t="n">
        <v>8</v>
      </c>
      <c r="P11" s="23" t="n">
        <v>12</v>
      </c>
      <c r="Q11" s="23" t="n">
        <v>12</v>
      </c>
      <c r="R11" s="23" t="n">
        <v>12</v>
      </c>
      <c r="S11" s="23" t="n">
        <v>12</v>
      </c>
      <c r="T11" s="23" t="n">
        <v>8</v>
      </c>
      <c r="U11" s="23" t="n">
        <v>8</v>
      </c>
      <c r="V11" s="23" t="n">
        <v>8</v>
      </c>
      <c r="W11" s="23" t="n">
        <v>8</v>
      </c>
      <c r="X11" s="23" t="s">
        <v>73</v>
      </c>
      <c r="Y11" s="23" t="n">
        <v>16</v>
      </c>
      <c r="Z11" s="23" t="n">
        <v>12</v>
      </c>
      <c r="AA11" s="23" t="n">
        <v>8</v>
      </c>
      <c r="AB11" s="23" t="n">
        <v>12</v>
      </c>
      <c r="AC11" s="23" t="n">
        <v>12</v>
      </c>
      <c r="AD11" s="23" t="n">
        <v>12</v>
      </c>
      <c r="AE11" s="23" t="n">
        <v>16</v>
      </c>
      <c r="AF11" s="23" t="n">
        <v>8</v>
      </c>
      <c r="AG11" s="23" t="n">
        <v>8</v>
      </c>
      <c r="AH11" s="23" t="n">
        <v>16</v>
      </c>
      <c r="AI11" s="23" t="n">
        <v>8</v>
      </c>
      <c r="AJ11" s="24" t="n">
        <f aca="false">IF(B11="","",SUM(E11:AI11)+SUMPRODUCT(COUNTIF(E11:AI11,KH_MA),KH_LUONG))</f>
        <v>288</v>
      </c>
      <c r="AK11" s="25" t="n">
        <f aca="false">IF(B11="","",AJ11/GIO_CONG)</f>
        <v>36</v>
      </c>
      <c r="AL11" s="26" t="n">
        <f aca="false">IF(B11="","",SUMPRODUCT(COUNTIF(E11:AI11,KH_MA),KH_PHEP)/GIO_CONG)</f>
        <v>1</v>
      </c>
      <c r="AM11" s="26" t="n">
        <f aca="false">IF(B11="","",SUMPRODUCT(COUNTIF(E11:AI11,KH_MA),KH_LE)/GIO_CONG)</f>
        <v>0</v>
      </c>
      <c r="AN11" s="26" t="n">
        <f aca="false">IF(B11="","",SUMPRODUCT(COUNTIF(E11:AI11,KH_MA),KH_LEDL))</f>
        <v>0</v>
      </c>
      <c r="AO11" s="26" t="n">
        <f aca="false">IF(B11="","",SUMPRODUCT(COUNTIF(E11:AI11,KH_MA),KH_CD)/GIO_CONG)</f>
        <v>0</v>
      </c>
      <c r="AP11" s="26" t="n">
        <f aca="false">IF(B11="","",SUMPRODUCT(COUNTIF(E11:AI11,KH_MA),KH_CTL)/GIO_CONG)</f>
        <v>0</v>
      </c>
      <c r="AQ11" s="16"/>
      <c r="AR11" s="16"/>
      <c r="AS11" s="16"/>
    </row>
    <row r="12" customFormat="false" ht="15" hidden="false" customHeight="false" outlineLevel="0" collapsed="false">
      <c r="A12" s="18" t="n">
        <v>7</v>
      </c>
      <c r="B12" s="16" t="s">
        <v>201</v>
      </c>
      <c r="C12" s="18" t="str">
        <f aca="false">IF(B12="","",IFERROR(INDEX(NV_TEN,MATCH(B12,NV_MA,0)),"MÃ KHÔNG CÓ"))</f>
        <v>Trần Đình Chiến</v>
      </c>
      <c r="D12" s="18" t="str">
        <f aca="false">IF(B12="","",IFERROR(INDEX(NV_PN,MATCH(B12,NV_MA,0)),""))</f>
        <v>APQT</v>
      </c>
      <c r="E12" s="23" t="n">
        <v>8</v>
      </c>
      <c r="F12" s="23"/>
      <c r="G12" s="23" t="n">
        <v>8</v>
      </c>
      <c r="H12" s="23" t="n">
        <v>8</v>
      </c>
      <c r="I12" s="23" t="n">
        <v>8</v>
      </c>
      <c r="J12" s="23" t="n">
        <v>8</v>
      </c>
      <c r="K12" s="23" t="s">
        <v>73</v>
      </c>
      <c r="L12" s="23" t="s">
        <v>73</v>
      </c>
      <c r="M12" s="23"/>
      <c r="N12" s="23" t="n">
        <v>8</v>
      </c>
      <c r="O12" s="23" t="n">
        <v>8</v>
      </c>
      <c r="P12" s="23" t="n">
        <v>8</v>
      </c>
      <c r="Q12" s="23" t="n">
        <v>8</v>
      </c>
      <c r="R12" s="23" t="n">
        <v>8</v>
      </c>
      <c r="S12" s="23" t="n">
        <v>8</v>
      </c>
      <c r="T12" s="23" t="n">
        <v>8</v>
      </c>
      <c r="U12" s="23"/>
      <c r="V12" s="23" t="n">
        <v>8</v>
      </c>
      <c r="W12" s="23" t="n">
        <v>8</v>
      </c>
      <c r="X12" s="23" t="n">
        <v>8</v>
      </c>
      <c r="Y12" s="23" t="n">
        <v>8</v>
      </c>
      <c r="Z12" s="23" t="n">
        <v>8</v>
      </c>
      <c r="AA12" s="23"/>
      <c r="AB12" s="23" t="n">
        <v>8</v>
      </c>
      <c r="AC12" s="23" t="n">
        <v>8</v>
      </c>
      <c r="AD12" s="23" t="n">
        <v>8</v>
      </c>
      <c r="AE12" s="23" t="n">
        <v>8</v>
      </c>
      <c r="AF12" s="23" t="n">
        <v>8</v>
      </c>
      <c r="AG12" s="23" t="n">
        <v>8</v>
      </c>
      <c r="AH12" s="23" t="n">
        <v>8</v>
      </c>
      <c r="AI12" s="23" t="n">
        <v>8</v>
      </c>
      <c r="AJ12" s="24" t="n">
        <f aca="false">IF(B12="","",SUM(E12:AI12)+SUMPRODUCT(COUNTIF(E12:AI12,KH_MA),KH_LUONG))</f>
        <v>200</v>
      </c>
      <c r="AK12" s="25" t="n">
        <f aca="false">IF(B12="","",AJ12/GIO_CONG)</f>
        <v>25</v>
      </c>
      <c r="AL12" s="26" t="n">
        <f aca="false">IF(B12="","",SUMPRODUCT(COUNTIF(E12:AI12,KH_MA),KH_PHEP)/GIO_CONG)</f>
        <v>2</v>
      </c>
      <c r="AM12" s="26" t="n">
        <f aca="false">IF(B12="","",SUMPRODUCT(COUNTIF(E12:AI12,KH_MA),KH_LE)/GIO_CONG)</f>
        <v>0</v>
      </c>
      <c r="AN12" s="26" t="n">
        <f aca="false">IF(B12="","",SUMPRODUCT(COUNTIF(E12:AI12,KH_MA),KH_LEDL))</f>
        <v>0</v>
      </c>
      <c r="AO12" s="26" t="n">
        <f aca="false">IF(B12="","",SUMPRODUCT(COUNTIF(E12:AI12,KH_MA),KH_CD)/GIO_CONG)</f>
        <v>0</v>
      </c>
      <c r="AP12" s="26" t="n">
        <f aca="false">IF(B12="","",SUMPRODUCT(COUNTIF(E12:AI12,KH_MA),KH_CTL)/GIO_CONG)</f>
        <v>0</v>
      </c>
      <c r="AQ12" s="16"/>
      <c r="AR12" s="16"/>
      <c r="AS12" s="16"/>
    </row>
    <row r="13" customFormat="false" ht="15" hidden="false" customHeight="false" outlineLevel="0" collapsed="false">
      <c r="A13" s="18" t="n">
        <v>8</v>
      </c>
      <c r="B13" s="16" t="s">
        <v>205</v>
      </c>
      <c r="C13" s="18" t="str">
        <f aca="false">IF(B13="","",IFERROR(INDEX(NV_TEN,MATCH(B13,NV_MA,0)),"MÃ KHÔNG CÓ"))</f>
        <v>Phạm Bá Vinh</v>
      </c>
      <c r="D13" s="18" t="str">
        <f aca="false">IF(B13="","",IFERROR(INDEX(NV_PN,MATCH(B13,NV_MA,0)),""))</f>
        <v>APQT</v>
      </c>
      <c r="E13" s="23" t="n">
        <v>12</v>
      </c>
      <c r="F13" s="23"/>
      <c r="G13" s="23" t="n">
        <v>12</v>
      </c>
      <c r="H13" s="23" t="n">
        <v>12</v>
      </c>
      <c r="I13" s="23" t="n">
        <v>12</v>
      </c>
      <c r="J13" s="23"/>
      <c r="K13" s="23" t="n">
        <v>8</v>
      </c>
      <c r="L13" s="23" t="n">
        <v>8</v>
      </c>
      <c r="M13" s="23"/>
      <c r="N13" s="23" t="n">
        <v>8</v>
      </c>
      <c r="O13" s="23" t="n">
        <v>8</v>
      </c>
      <c r="P13" s="23"/>
      <c r="Q13" s="23" t="n">
        <v>12</v>
      </c>
      <c r="R13" s="23" t="n">
        <v>12</v>
      </c>
      <c r="S13" s="23" t="n">
        <v>12</v>
      </c>
      <c r="T13" s="23" t="n">
        <v>12</v>
      </c>
      <c r="U13" s="23" t="n">
        <v>8</v>
      </c>
      <c r="V13" s="23" t="n">
        <v>8</v>
      </c>
      <c r="W13" s="23" t="n">
        <v>8</v>
      </c>
      <c r="X13" s="23" t="n">
        <v>8</v>
      </c>
      <c r="Y13" s="23" t="n">
        <v>16</v>
      </c>
      <c r="Z13" s="23" t="n">
        <v>12</v>
      </c>
      <c r="AA13" s="23" t="n">
        <v>8</v>
      </c>
      <c r="AB13" s="23" t="n">
        <v>12</v>
      </c>
      <c r="AC13" s="23" t="n">
        <v>12</v>
      </c>
      <c r="AD13" s="23" t="n">
        <v>12</v>
      </c>
      <c r="AE13" s="23" t="n">
        <v>16</v>
      </c>
      <c r="AF13" s="23" t="n">
        <v>12</v>
      </c>
      <c r="AG13" s="23" t="n">
        <v>8</v>
      </c>
      <c r="AH13" s="23"/>
      <c r="AI13" s="23" t="n">
        <v>8</v>
      </c>
      <c r="AJ13" s="24" t="n">
        <f aca="false">IF(B13="","",SUM(E13:AI13)+SUMPRODUCT(COUNTIF(E13:AI13,KH_MA),KH_LUONG))</f>
        <v>276</v>
      </c>
      <c r="AK13" s="25" t="n">
        <f aca="false">IF(B13="","",AJ13/GIO_CONG)</f>
        <v>34.5</v>
      </c>
      <c r="AL13" s="26" t="n">
        <f aca="false">IF(B13="","",SUMPRODUCT(COUNTIF(E13:AI13,KH_MA),KH_PHEP)/GIO_CONG)</f>
        <v>0</v>
      </c>
      <c r="AM13" s="26" t="n">
        <f aca="false">IF(B13="","",SUMPRODUCT(COUNTIF(E13:AI13,KH_MA),KH_LE)/GIO_CONG)</f>
        <v>0</v>
      </c>
      <c r="AN13" s="26" t="n">
        <f aca="false">IF(B13="","",SUMPRODUCT(COUNTIF(E13:AI13,KH_MA),KH_LEDL))</f>
        <v>0</v>
      </c>
      <c r="AO13" s="26" t="n">
        <f aca="false">IF(B13="","",SUMPRODUCT(COUNTIF(E13:AI13,KH_MA),KH_CD)/GIO_CONG)</f>
        <v>0</v>
      </c>
      <c r="AP13" s="26" t="n">
        <f aca="false">IF(B13="","",SUMPRODUCT(COUNTIF(E13:AI13,KH_MA),KH_CTL)/GIO_CONG)</f>
        <v>0</v>
      </c>
      <c r="AQ13" s="16"/>
      <c r="AR13" s="16"/>
      <c r="AS13" s="16"/>
    </row>
    <row r="14" customFormat="false" ht="15" hidden="false" customHeight="false" outlineLevel="0" collapsed="false">
      <c r="A14" s="18" t="n">
        <v>9</v>
      </c>
      <c r="B14" s="16" t="s">
        <v>209</v>
      </c>
      <c r="C14" s="18" t="str">
        <f aca="false">IF(B14="","",IFERROR(INDEX(NV_TEN,MATCH(B14,NV_MA,0)),"MÃ KHÔNG CÓ"))</f>
        <v>Nguyễn Văn Cường</v>
      </c>
      <c r="D14" s="18" t="str">
        <f aca="false">IF(B14="","",IFERROR(INDEX(NV_PN,MATCH(B14,NV_MA,0)),""))</f>
        <v>APQT</v>
      </c>
      <c r="E14" s="23" t="s">
        <v>73</v>
      </c>
      <c r="F14" s="23" t="n">
        <v>12</v>
      </c>
      <c r="G14" s="23" t="n">
        <v>12</v>
      </c>
      <c r="H14" s="23" t="n">
        <v>12</v>
      </c>
      <c r="I14" s="23" t="n">
        <v>12</v>
      </c>
      <c r="J14" s="23" t="n">
        <v>12</v>
      </c>
      <c r="K14" s="23" t="n">
        <v>8</v>
      </c>
      <c r="L14" s="23" t="n">
        <v>8</v>
      </c>
      <c r="M14" s="23" t="n">
        <v>8</v>
      </c>
      <c r="N14" s="23" t="s">
        <v>73</v>
      </c>
      <c r="O14" s="23" t="n">
        <v>16</v>
      </c>
      <c r="P14" s="23" t="n">
        <v>12</v>
      </c>
      <c r="Q14" s="23" t="n">
        <v>12</v>
      </c>
      <c r="R14" s="23" t="n">
        <v>12</v>
      </c>
      <c r="S14" s="23" t="s">
        <v>73</v>
      </c>
      <c r="T14" s="23" t="n">
        <v>8</v>
      </c>
      <c r="U14" s="23" t="n">
        <v>8</v>
      </c>
      <c r="V14" s="23" t="n">
        <v>8</v>
      </c>
      <c r="W14" s="23" t="n">
        <v>8</v>
      </c>
      <c r="X14" s="23" t="n">
        <v>8</v>
      </c>
      <c r="Y14" s="23" t="n">
        <v>8</v>
      </c>
      <c r="Z14" s="23"/>
      <c r="AA14" s="23" t="n">
        <v>16</v>
      </c>
      <c r="AB14" s="23" t="n">
        <v>12</v>
      </c>
      <c r="AC14" s="23" t="n">
        <v>12</v>
      </c>
      <c r="AD14" s="23" t="n">
        <v>12</v>
      </c>
      <c r="AE14" s="23" t="s">
        <v>73</v>
      </c>
      <c r="AF14" s="23" t="n">
        <v>8</v>
      </c>
      <c r="AG14" s="23" t="n">
        <v>16</v>
      </c>
      <c r="AH14" s="23" t="n">
        <v>8</v>
      </c>
      <c r="AI14" s="23" t="n">
        <v>8</v>
      </c>
      <c r="AJ14" s="24" t="n">
        <f aca="false">IF(B14="","",SUM(E14:AI14)+SUMPRODUCT(COUNTIF(E14:AI14,KH_MA),KH_LUONG))</f>
        <v>276</v>
      </c>
      <c r="AK14" s="25" t="n">
        <f aca="false">IF(B14="","",AJ14/GIO_CONG)</f>
        <v>34.5</v>
      </c>
      <c r="AL14" s="26" t="n">
        <f aca="false">IF(B14="","",SUMPRODUCT(COUNTIF(E14:AI14,KH_MA),KH_PHEP)/GIO_CONG)</f>
        <v>4</v>
      </c>
      <c r="AM14" s="26" t="n">
        <f aca="false">IF(B14="","",SUMPRODUCT(COUNTIF(E14:AI14,KH_MA),KH_LE)/GIO_CONG)</f>
        <v>0</v>
      </c>
      <c r="AN14" s="26" t="n">
        <f aca="false">IF(B14="","",SUMPRODUCT(COUNTIF(E14:AI14,KH_MA),KH_LEDL))</f>
        <v>0</v>
      </c>
      <c r="AO14" s="26" t="n">
        <f aca="false">IF(B14="","",SUMPRODUCT(COUNTIF(E14:AI14,KH_MA),KH_CD)/GIO_CONG)</f>
        <v>0</v>
      </c>
      <c r="AP14" s="26" t="n">
        <f aca="false">IF(B14="","",SUMPRODUCT(COUNTIF(E14:AI14,KH_MA),KH_CTL)/GIO_CONG)</f>
        <v>0</v>
      </c>
      <c r="AQ14" s="16"/>
      <c r="AR14" s="16"/>
      <c r="AS14" s="16"/>
    </row>
    <row r="15" customFormat="false" ht="15" hidden="false" customHeight="false" outlineLevel="0" collapsed="false">
      <c r="A15" s="18" t="n">
        <v>10</v>
      </c>
      <c r="B15" s="16" t="s">
        <v>212</v>
      </c>
      <c r="C15" s="18" t="str">
        <f aca="false">IF(B15="","",IFERROR(INDEX(NV_TEN,MATCH(B15,NV_MA,0)),"MÃ KHÔNG CÓ"))</f>
        <v>Mai Bá Trung</v>
      </c>
      <c r="D15" s="18" t="str">
        <f aca="false">IF(B15="","",IFERROR(INDEX(NV_PN,MATCH(B15,NV_MA,0)),""))</f>
        <v>APQT</v>
      </c>
      <c r="E15" s="23" t="s">
        <v>73</v>
      </c>
      <c r="F15" s="23" t="n">
        <v>12</v>
      </c>
      <c r="G15" s="23" t="n">
        <v>12</v>
      </c>
      <c r="H15" s="23" t="n">
        <v>12</v>
      </c>
      <c r="I15" s="23" t="n">
        <v>12</v>
      </c>
      <c r="J15" s="23" t="n">
        <v>12</v>
      </c>
      <c r="K15" s="23" t="n">
        <v>8</v>
      </c>
      <c r="L15" s="23" t="n">
        <v>8</v>
      </c>
      <c r="M15" s="23" t="s">
        <v>73</v>
      </c>
      <c r="N15" s="23" t="n">
        <v>8</v>
      </c>
      <c r="O15" s="23" t="n">
        <v>16</v>
      </c>
      <c r="P15" s="23" t="n">
        <v>12</v>
      </c>
      <c r="Q15" s="23" t="n">
        <v>12</v>
      </c>
      <c r="R15" s="23" t="n">
        <v>12</v>
      </c>
      <c r="S15" s="23" t="s">
        <v>73</v>
      </c>
      <c r="T15" s="23" t="n">
        <v>8</v>
      </c>
      <c r="U15" s="23" t="n">
        <v>8</v>
      </c>
      <c r="V15" s="23" t="n">
        <v>8</v>
      </c>
      <c r="W15" s="23" t="n">
        <v>8</v>
      </c>
      <c r="X15" s="23" t="n">
        <v>8</v>
      </c>
      <c r="Y15" s="23" t="n">
        <v>8</v>
      </c>
      <c r="Z15" s="23" t="n">
        <v>12</v>
      </c>
      <c r="AA15" s="23" t="n">
        <v>16</v>
      </c>
      <c r="AB15" s="23" t="n">
        <v>12</v>
      </c>
      <c r="AC15" s="23" t="n">
        <v>12</v>
      </c>
      <c r="AD15" s="23" t="n">
        <v>12</v>
      </c>
      <c r="AE15" s="23"/>
      <c r="AF15" s="23" t="n">
        <v>8</v>
      </c>
      <c r="AG15" s="23" t="n">
        <v>8</v>
      </c>
      <c r="AH15" s="23" t="n">
        <v>8</v>
      </c>
      <c r="AI15" s="23" t="n">
        <v>8</v>
      </c>
      <c r="AJ15" s="24" t="n">
        <f aca="false">IF(B15="","",SUM(E15:AI15)+SUMPRODUCT(COUNTIF(E15:AI15,KH_MA),KH_LUONG))</f>
        <v>280</v>
      </c>
      <c r="AK15" s="25" t="n">
        <f aca="false">IF(B15="","",AJ15/GIO_CONG)</f>
        <v>35</v>
      </c>
      <c r="AL15" s="26" t="n">
        <f aca="false">IF(B15="","",SUMPRODUCT(COUNTIF(E15:AI15,KH_MA),KH_PHEP)/GIO_CONG)</f>
        <v>3</v>
      </c>
      <c r="AM15" s="26" t="n">
        <f aca="false">IF(B15="","",SUMPRODUCT(COUNTIF(E15:AI15,KH_MA),KH_LE)/GIO_CONG)</f>
        <v>0</v>
      </c>
      <c r="AN15" s="26" t="n">
        <f aca="false">IF(B15="","",SUMPRODUCT(COUNTIF(E15:AI15,KH_MA),KH_LEDL))</f>
        <v>0</v>
      </c>
      <c r="AO15" s="26" t="n">
        <f aca="false">IF(B15="","",SUMPRODUCT(COUNTIF(E15:AI15,KH_MA),KH_CD)/GIO_CONG)</f>
        <v>0</v>
      </c>
      <c r="AP15" s="26" t="n">
        <f aca="false">IF(B15="","",SUMPRODUCT(COUNTIF(E15:AI15,KH_MA),KH_CTL)/GIO_CONG)</f>
        <v>0</v>
      </c>
      <c r="AQ15" s="16"/>
      <c r="AR15" s="16"/>
      <c r="AS15" s="16"/>
    </row>
    <row r="16" customFormat="false" ht="15" hidden="false" customHeight="false" outlineLevel="0" collapsed="false">
      <c r="A16" s="18" t="n">
        <v>11</v>
      </c>
      <c r="B16" s="16" t="s">
        <v>214</v>
      </c>
      <c r="C16" s="18" t="str">
        <f aca="false">IF(B16="","",IFERROR(INDEX(NV_TEN,MATCH(B16,NV_MA,0)),"MÃ KHÔNG CÓ"))</f>
        <v>Cao Phước Tiến</v>
      </c>
      <c r="D16" s="18" t="str">
        <f aca="false">IF(B16="","",IFERROR(INDEX(NV_PN,MATCH(B16,NV_MA,0)),""))</f>
        <v>APQT</v>
      </c>
      <c r="E16" s="23" t="n">
        <v>8</v>
      </c>
      <c r="F16" s="23"/>
      <c r="G16" s="23" t="n">
        <v>8</v>
      </c>
      <c r="H16" s="23" t="n">
        <v>12</v>
      </c>
      <c r="I16" s="23" t="n">
        <v>12</v>
      </c>
      <c r="J16" s="23" t="n">
        <v>8</v>
      </c>
      <c r="K16" s="23" t="n">
        <v>8</v>
      </c>
      <c r="L16" s="23" t="n">
        <v>8</v>
      </c>
      <c r="M16" s="23"/>
      <c r="N16" s="23" t="n">
        <v>8</v>
      </c>
      <c r="O16" s="23" t="n">
        <v>8</v>
      </c>
      <c r="P16" s="23" t="n">
        <v>8</v>
      </c>
      <c r="Q16" s="23" t="n">
        <v>8</v>
      </c>
      <c r="R16" s="23" t="n">
        <v>8</v>
      </c>
      <c r="S16" s="23" t="n">
        <v>8</v>
      </c>
      <c r="T16" s="23" t="n">
        <v>8</v>
      </c>
      <c r="U16" s="23" t="n">
        <v>14</v>
      </c>
      <c r="V16" s="23" t="n">
        <v>8</v>
      </c>
      <c r="W16" s="23" t="n">
        <v>8</v>
      </c>
      <c r="X16" s="23" t="n">
        <v>8</v>
      </c>
      <c r="Y16" s="23" t="n">
        <v>14</v>
      </c>
      <c r="Z16" s="23" t="n">
        <v>4</v>
      </c>
      <c r="AA16" s="23"/>
      <c r="AB16" s="23" t="n">
        <v>8</v>
      </c>
      <c r="AC16" s="23" t="n">
        <v>8</v>
      </c>
      <c r="AD16" s="23" t="n">
        <v>8</v>
      </c>
      <c r="AE16" s="23" t="n">
        <v>8</v>
      </c>
      <c r="AF16" s="23" t="n">
        <v>8</v>
      </c>
      <c r="AG16" s="23" t="n">
        <v>8</v>
      </c>
      <c r="AH16" s="23"/>
      <c r="AI16" s="23"/>
      <c r="AJ16" s="24" t="n">
        <f aca="false">IF(B16="","",SUM(E16:AI16)+SUMPRODUCT(COUNTIF(E16:AI16,KH_MA),KH_LUONG))</f>
        <v>224</v>
      </c>
      <c r="AK16" s="25" t="n">
        <f aca="false">IF(B16="","",AJ16/GIO_CONG)</f>
        <v>28</v>
      </c>
      <c r="AL16" s="26" t="n">
        <f aca="false">IF(B16="","",SUMPRODUCT(COUNTIF(E16:AI16,KH_MA),KH_PHEP)/GIO_CONG)</f>
        <v>0</v>
      </c>
      <c r="AM16" s="26" t="n">
        <f aca="false">IF(B16="","",SUMPRODUCT(COUNTIF(E16:AI16,KH_MA),KH_LE)/GIO_CONG)</f>
        <v>0</v>
      </c>
      <c r="AN16" s="26" t="n">
        <f aca="false">IF(B16="","",SUMPRODUCT(COUNTIF(E16:AI16,KH_MA),KH_LEDL))</f>
        <v>0</v>
      </c>
      <c r="AO16" s="26" t="n">
        <f aca="false">IF(B16="","",SUMPRODUCT(COUNTIF(E16:AI16,KH_MA),KH_CD)/GIO_CONG)</f>
        <v>0</v>
      </c>
      <c r="AP16" s="26" t="n">
        <f aca="false">IF(B16="","",SUMPRODUCT(COUNTIF(E16:AI16,KH_MA),KH_CTL)/GIO_CONG)</f>
        <v>0</v>
      </c>
      <c r="AQ16" s="16"/>
      <c r="AR16" s="16"/>
      <c r="AS16" s="16"/>
    </row>
    <row r="17" customFormat="false" ht="15" hidden="false" customHeight="false" outlineLevel="0" collapsed="false">
      <c r="A17" s="18" t="n">
        <v>12</v>
      </c>
      <c r="B17" s="16" t="s">
        <v>217</v>
      </c>
      <c r="C17" s="18" t="str">
        <f aca="false">IF(B17="","",IFERROR(INDEX(NV_TEN,MATCH(B17,NV_MA,0)),"MÃ KHÔNG CÓ"))</f>
        <v>Nguyễn Ngọc Thanh</v>
      </c>
      <c r="D17" s="18" t="str">
        <f aca="false">IF(B17="","",IFERROR(INDEX(NV_PN,MATCH(B17,NV_MA,0)),""))</f>
        <v>APQT</v>
      </c>
      <c r="E17" s="23" t="n">
        <v>8</v>
      </c>
      <c r="F17" s="23" t="n">
        <v>8</v>
      </c>
      <c r="G17" s="23" t="n">
        <v>8</v>
      </c>
      <c r="H17" s="23" t="n">
        <v>8</v>
      </c>
      <c r="I17" s="23" t="n">
        <v>8</v>
      </c>
      <c r="J17" s="23" t="n">
        <v>8</v>
      </c>
      <c r="K17" s="23" t="n">
        <v>8</v>
      </c>
      <c r="L17" s="23" t="n">
        <v>8</v>
      </c>
      <c r="M17" s="23"/>
      <c r="N17" s="23" t="n">
        <v>8</v>
      </c>
      <c r="O17" s="23" t="n">
        <v>8</v>
      </c>
      <c r="P17" s="23" t="n">
        <v>8</v>
      </c>
      <c r="Q17" s="23" t="n">
        <v>8</v>
      </c>
      <c r="R17" s="23" t="n">
        <v>8</v>
      </c>
      <c r="S17" s="23" t="n">
        <v>8</v>
      </c>
      <c r="T17" s="23"/>
      <c r="U17" s="23" t="n">
        <v>8</v>
      </c>
      <c r="V17" s="23" t="n">
        <v>8</v>
      </c>
      <c r="W17" s="23" t="n">
        <v>8</v>
      </c>
      <c r="X17" s="23" t="n">
        <v>8</v>
      </c>
      <c r="Y17" s="23" t="n">
        <v>8</v>
      </c>
      <c r="Z17" s="23" t="n">
        <v>8</v>
      </c>
      <c r="AA17" s="23"/>
      <c r="AB17" s="23" t="n">
        <v>8</v>
      </c>
      <c r="AC17" s="23" t="n">
        <v>8</v>
      </c>
      <c r="AD17" s="23" t="n">
        <v>8</v>
      </c>
      <c r="AE17" s="23" t="n">
        <v>8</v>
      </c>
      <c r="AF17" s="23" t="n">
        <v>8</v>
      </c>
      <c r="AG17" s="23" t="n">
        <v>8</v>
      </c>
      <c r="AH17" s="23"/>
      <c r="AI17" s="23" t="n">
        <v>8</v>
      </c>
      <c r="AJ17" s="24" t="n">
        <f aca="false">IF(B17="","",SUM(E17:AI17)+SUMPRODUCT(COUNTIF(E17:AI17,KH_MA),KH_LUONG))</f>
        <v>216</v>
      </c>
      <c r="AK17" s="25" t="n">
        <f aca="false">IF(B17="","",AJ17/GIO_CONG)</f>
        <v>27</v>
      </c>
      <c r="AL17" s="26" t="n">
        <f aca="false">IF(B17="","",SUMPRODUCT(COUNTIF(E17:AI17,KH_MA),KH_PHEP)/GIO_CONG)</f>
        <v>0</v>
      </c>
      <c r="AM17" s="26" t="n">
        <f aca="false">IF(B17="","",SUMPRODUCT(COUNTIF(E17:AI17,KH_MA),KH_LE)/GIO_CONG)</f>
        <v>0</v>
      </c>
      <c r="AN17" s="26" t="n">
        <f aca="false">IF(B17="","",SUMPRODUCT(COUNTIF(E17:AI17,KH_MA),KH_LEDL))</f>
        <v>0</v>
      </c>
      <c r="AO17" s="26" t="n">
        <f aca="false">IF(B17="","",SUMPRODUCT(COUNTIF(E17:AI17,KH_MA),KH_CD)/GIO_CONG)</f>
        <v>0</v>
      </c>
      <c r="AP17" s="26" t="n">
        <f aca="false">IF(B17="","",SUMPRODUCT(COUNTIF(E17:AI17,KH_MA),KH_CTL)/GIO_CONG)</f>
        <v>0</v>
      </c>
      <c r="AQ17" s="16"/>
      <c r="AR17" s="16"/>
      <c r="AS17" s="16"/>
    </row>
    <row r="18" customFormat="false" ht="15" hidden="false" customHeight="false" outlineLevel="0" collapsed="false">
      <c r="A18" s="18" t="n">
        <v>13</v>
      </c>
      <c r="B18" s="16" t="s">
        <v>221</v>
      </c>
      <c r="C18" s="18" t="str">
        <f aca="false">IF(B18="","",IFERROR(INDEX(NV_TEN,MATCH(B18,NV_MA,0)),"MÃ KHÔNG CÓ"))</f>
        <v>Dương Vinh Quang</v>
      </c>
      <c r="D18" s="18" t="str">
        <f aca="false">IF(B18="","",IFERROR(INDEX(NV_PN,MATCH(B18,NV_MA,0)),""))</f>
        <v>APQT</v>
      </c>
      <c r="E18" s="23" t="n">
        <v>12</v>
      </c>
      <c r="F18" s="23"/>
      <c r="G18" s="23" t="n">
        <v>8</v>
      </c>
      <c r="H18" s="23" t="n">
        <v>8</v>
      </c>
      <c r="I18" s="23" t="n">
        <v>8</v>
      </c>
      <c r="J18" s="23" t="n">
        <v>8</v>
      </c>
      <c r="K18" s="23" t="n">
        <v>8</v>
      </c>
      <c r="L18" s="23" t="n">
        <v>8</v>
      </c>
      <c r="M18" s="23"/>
      <c r="N18" s="23" t="n">
        <v>8</v>
      </c>
      <c r="O18" s="23" t="n">
        <v>8</v>
      </c>
      <c r="P18" s="23" t="n">
        <v>8</v>
      </c>
      <c r="Q18" s="23" t="n">
        <v>8</v>
      </c>
      <c r="R18" s="23" t="n">
        <v>8</v>
      </c>
      <c r="S18" s="23" t="n">
        <v>12</v>
      </c>
      <c r="T18" s="23"/>
      <c r="U18" s="23" t="n">
        <v>8</v>
      </c>
      <c r="V18" s="23" t="n">
        <v>8</v>
      </c>
      <c r="W18" s="23" t="n">
        <v>8</v>
      </c>
      <c r="X18" s="23" t="n">
        <v>8</v>
      </c>
      <c r="Y18" s="23" t="n">
        <v>8</v>
      </c>
      <c r="Z18" s="23" t="n">
        <v>8</v>
      </c>
      <c r="AA18" s="23"/>
      <c r="AB18" s="23" t="n">
        <v>8</v>
      </c>
      <c r="AC18" s="23" t="n">
        <v>8</v>
      </c>
      <c r="AD18" s="23" t="n">
        <v>8</v>
      </c>
      <c r="AE18" s="23" t="n">
        <v>8</v>
      </c>
      <c r="AF18" s="23" t="n">
        <v>8</v>
      </c>
      <c r="AG18" s="23" t="n">
        <v>8</v>
      </c>
      <c r="AH18" s="23"/>
      <c r="AI18" s="23" t="n">
        <v>8</v>
      </c>
      <c r="AJ18" s="24" t="n">
        <f aca="false">IF(B18="","",SUM(E18:AI18)+SUMPRODUCT(COUNTIF(E18:AI18,KH_MA),KH_LUONG))</f>
        <v>216</v>
      </c>
      <c r="AK18" s="25" t="n">
        <f aca="false">IF(B18="","",AJ18/GIO_CONG)</f>
        <v>27</v>
      </c>
      <c r="AL18" s="26" t="n">
        <f aca="false">IF(B18="","",SUMPRODUCT(COUNTIF(E18:AI18,KH_MA),KH_PHEP)/GIO_CONG)</f>
        <v>0</v>
      </c>
      <c r="AM18" s="26" t="n">
        <f aca="false">IF(B18="","",SUMPRODUCT(COUNTIF(E18:AI18,KH_MA),KH_LE)/GIO_CONG)</f>
        <v>0</v>
      </c>
      <c r="AN18" s="26" t="n">
        <f aca="false">IF(B18="","",SUMPRODUCT(COUNTIF(E18:AI18,KH_MA),KH_LEDL))</f>
        <v>0</v>
      </c>
      <c r="AO18" s="26" t="n">
        <f aca="false">IF(B18="","",SUMPRODUCT(COUNTIF(E18:AI18,KH_MA),KH_CD)/GIO_CONG)</f>
        <v>0</v>
      </c>
      <c r="AP18" s="26" t="n">
        <f aca="false">IF(B18="","",SUMPRODUCT(COUNTIF(E18:AI18,KH_MA),KH_CTL)/GIO_CONG)</f>
        <v>0</v>
      </c>
      <c r="AQ18" s="16"/>
      <c r="AR18" s="16"/>
      <c r="AS18" s="16"/>
    </row>
    <row r="19" customFormat="false" ht="15" hidden="false" customHeight="false" outlineLevel="0" collapsed="false">
      <c r="A19" s="18" t="n">
        <v>14</v>
      </c>
      <c r="B19" s="16" t="s">
        <v>226</v>
      </c>
      <c r="C19" s="18" t="str">
        <f aca="false">IF(B19="","",IFERROR(INDEX(NV_TEN,MATCH(B19,NV_MA,0)),"MÃ KHÔNG CÓ"))</f>
        <v>Hoàng Xuân Quang</v>
      </c>
      <c r="D19" s="18" t="str">
        <f aca="false">IF(B19="","",IFERROR(INDEX(NV_PN,MATCH(B19,NV_MA,0)),""))</f>
        <v>HAQT</v>
      </c>
      <c r="E19" s="23" t="n">
        <v>8</v>
      </c>
      <c r="F19" s="23" t="n">
        <v>8</v>
      </c>
      <c r="G19" s="23" t="n">
        <v>12</v>
      </c>
      <c r="H19" s="23" t="n">
        <v>12</v>
      </c>
      <c r="I19" s="23" t="n">
        <v>8</v>
      </c>
      <c r="J19" s="23" t="n">
        <v>8</v>
      </c>
      <c r="K19" s="23" t="n">
        <v>8</v>
      </c>
      <c r="L19" s="23" t="n">
        <v>8</v>
      </c>
      <c r="M19" s="23" t="n">
        <v>12</v>
      </c>
      <c r="N19" s="23" t="n">
        <v>8</v>
      </c>
      <c r="O19" s="23" t="n">
        <v>8</v>
      </c>
      <c r="P19" s="23" t="n">
        <v>8</v>
      </c>
      <c r="Q19" s="23" t="n">
        <v>16</v>
      </c>
      <c r="R19" s="23" t="n">
        <v>8</v>
      </c>
      <c r="S19" s="23" t="n">
        <v>12</v>
      </c>
      <c r="T19" s="23" t="n">
        <v>12</v>
      </c>
      <c r="U19" s="23" t="n">
        <v>8</v>
      </c>
      <c r="V19" s="23" t="n">
        <v>8</v>
      </c>
      <c r="W19" s="23"/>
      <c r="X19" s="23" t="n">
        <v>10</v>
      </c>
      <c r="Y19" s="23" t="n">
        <v>8</v>
      </c>
      <c r="Z19" s="23" t="n">
        <v>8</v>
      </c>
      <c r="AA19" s="23" t="n">
        <v>8</v>
      </c>
      <c r="AB19" s="23" t="n">
        <v>8</v>
      </c>
      <c r="AC19" s="23" t="n">
        <v>10</v>
      </c>
      <c r="AD19" s="23" t="n">
        <v>10</v>
      </c>
      <c r="AE19" s="23" t="n">
        <v>10</v>
      </c>
      <c r="AF19" s="23" t="n">
        <v>8</v>
      </c>
      <c r="AG19" s="23" t="n">
        <v>8</v>
      </c>
      <c r="AH19" s="23" t="n">
        <v>12</v>
      </c>
      <c r="AI19" s="23" t="n">
        <v>8</v>
      </c>
      <c r="AJ19" s="24" t="n">
        <f aca="false">IF(B19="","",SUM(E19:AI19)+SUMPRODUCT(COUNTIF(E19:AI19,KH_MA),KH_LUONG))</f>
        <v>280</v>
      </c>
      <c r="AK19" s="25" t="n">
        <f aca="false">IF(B19="","",AJ19/GIO_CONG)</f>
        <v>35</v>
      </c>
      <c r="AL19" s="26" t="n">
        <f aca="false">IF(B19="","",SUMPRODUCT(COUNTIF(E19:AI19,KH_MA),KH_PHEP)/GIO_CONG)</f>
        <v>0</v>
      </c>
      <c r="AM19" s="26" t="n">
        <f aca="false">IF(B19="","",SUMPRODUCT(COUNTIF(E19:AI19,KH_MA),KH_LE)/GIO_CONG)</f>
        <v>0</v>
      </c>
      <c r="AN19" s="26" t="n">
        <f aca="false">IF(B19="","",SUMPRODUCT(COUNTIF(E19:AI19,KH_MA),KH_LEDL))</f>
        <v>0</v>
      </c>
      <c r="AO19" s="26" t="n">
        <f aca="false">IF(B19="","",SUMPRODUCT(COUNTIF(E19:AI19,KH_MA),KH_CD)/GIO_CONG)</f>
        <v>0</v>
      </c>
      <c r="AP19" s="26" t="n">
        <f aca="false">IF(B19="","",SUMPRODUCT(COUNTIF(E19:AI19,KH_MA),KH_CTL)/GIO_CONG)</f>
        <v>0</v>
      </c>
      <c r="AQ19" s="16"/>
      <c r="AR19" s="16"/>
      <c r="AS19" s="16"/>
    </row>
    <row r="20" customFormat="false" ht="15" hidden="false" customHeight="false" outlineLevel="0" collapsed="false">
      <c r="A20" s="18" t="n">
        <v>15</v>
      </c>
      <c r="B20" s="16" t="s">
        <v>232</v>
      </c>
      <c r="C20" s="18" t="str">
        <f aca="false">IF(B20="","",IFERROR(INDEX(NV_TEN,MATCH(B20,NV_MA,0)),"MÃ KHÔNG CÓ"))</f>
        <v>Trần Văn Khai</v>
      </c>
      <c r="D20" s="18" t="str">
        <f aca="false">IF(B20="","",IFERROR(INDEX(NV_PN,MATCH(B20,NV_MA,0)),""))</f>
        <v>HAQT</v>
      </c>
      <c r="E20" s="23" t="n">
        <v>8</v>
      </c>
      <c r="F20" s="23" t="n">
        <v>8</v>
      </c>
      <c r="G20" s="23" t="n">
        <v>8</v>
      </c>
      <c r="H20" s="23" t="n">
        <v>8</v>
      </c>
      <c r="I20" s="23" t="n">
        <v>8</v>
      </c>
      <c r="J20" s="23" t="n">
        <v>8</v>
      </c>
      <c r="K20" s="23" t="n">
        <v>8</v>
      </c>
      <c r="L20" s="23" t="n">
        <v>8</v>
      </c>
      <c r="M20" s="23" t="n">
        <v>8</v>
      </c>
      <c r="N20" s="23" t="n">
        <v>8</v>
      </c>
      <c r="O20" s="23" t="n">
        <v>8</v>
      </c>
      <c r="P20" s="23" t="n">
        <v>8</v>
      </c>
      <c r="Q20" s="23" t="n">
        <v>8</v>
      </c>
      <c r="R20" s="23" t="n">
        <v>8</v>
      </c>
      <c r="S20" s="23" t="n">
        <v>8</v>
      </c>
      <c r="T20" s="23" t="n">
        <v>8</v>
      </c>
      <c r="U20" s="23" t="n">
        <v>8</v>
      </c>
      <c r="V20" s="23" t="n">
        <v>8</v>
      </c>
      <c r="W20" s="23" t="n">
        <v>8</v>
      </c>
      <c r="X20" s="23" t="n">
        <v>8</v>
      </c>
      <c r="Y20" s="23" t="n">
        <v>8</v>
      </c>
      <c r="Z20" s="23" t="n">
        <v>8</v>
      </c>
      <c r="AA20" s="23" t="n">
        <v>8</v>
      </c>
      <c r="AB20" s="23" t="n">
        <v>8</v>
      </c>
      <c r="AC20" s="23" t="n">
        <v>8</v>
      </c>
      <c r="AD20" s="23" t="n">
        <v>8</v>
      </c>
      <c r="AE20" s="23" t="n">
        <v>8</v>
      </c>
      <c r="AF20" s="23" t="n">
        <v>8</v>
      </c>
      <c r="AG20" s="23" t="n">
        <v>8</v>
      </c>
      <c r="AH20" s="23" t="n">
        <v>8</v>
      </c>
      <c r="AI20" s="23" t="n">
        <v>8</v>
      </c>
      <c r="AJ20" s="24" t="n">
        <f aca="false">IF(B20="","",SUM(E20:AI20)+SUMPRODUCT(COUNTIF(E20:AI20,KH_MA),KH_LUONG))</f>
        <v>248</v>
      </c>
      <c r="AK20" s="25" t="n">
        <f aca="false">IF(B20="","",AJ20/GIO_CONG)</f>
        <v>31</v>
      </c>
      <c r="AL20" s="26" t="n">
        <f aca="false">IF(B20="","",SUMPRODUCT(COUNTIF(E20:AI20,KH_MA),KH_PHEP)/GIO_CONG)</f>
        <v>0</v>
      </c>
      <c r="AM20" s="26" t="n">
        <f aca="false">IF(B20="","",SUMPRODUCT(COUNTIF(E20:AI20,KH_MA),KH_LE)/GIO_CONG)</f>
        <v>0</v>
      </c>
      <c r="AN20" s="26" t="n">
        <f aca="false">IF(B20="","",SUMPRODUCT(COUNTIF(E20:AI20,KH_MA),KH_LEDL))</f>
        <v>0</v>
      </c>
      <c r="AO20" s="26" t="n">
        <f aca="false">IF(B20="","",SUMPRODUCT(COUNTIF(E20:AI20,KH_MA),KH_CD)/GIO_CONG)</f>
        <v>0</v>
      </c>
      <c r="AP20" s="26" t="n">
        <f aca="false">IF(B20="","",SUMPRODUCT(COUNTIF(E20:AI20,KH_MA),KH_CTL)/GIO_CONG)</f>
        <v>0</v>
      </c>
      <c r="AQ20" s="16"/>
      <c r="AR20" s="16"/>
      <c r="AS20" s="16"/>
    </row>
    <row r="21" customFormat="false" ht="15" hidden="false" customHeight="false" outlineLevel="0" collapsed="false">
      <c r="A21" s="18" t="n">
        <v>16</v>
      </c>
      <c r="B21" s="16" t="s">
        <v>238</v>
      </c>
      <c r="C21" s="18" t="str">
        <f aca="false">IF(B21="","",IFERROR(INDEX(NV_TEN,MATCH(B21,NV_MA,0)),"MÃ KHÔNG CÓ"))</f>
        <v>Lê Văn Dũng</v>
      </c>
      <c r="D21" s="18" t="str">
        <f aca="false">IF(B21="","",IFERROR(INDEX(NV_PN,MATCH(B21,NV_MA,0)),""))</f>
        <v>HAQT</v>
      </c>
      <c r="E21" s="23" t="n">
        <v>8</v>
      </c>
      <c r="F21" s="23" t="n">
        <v>8</v>
      </c>
      <c r="G21" s="23" t="n">
        <v>8</v>
      </c>
      <c r="H21" s="23" t="n">
        <v>8</v>
      </c>
      <c r="I21" s="23" t="n">
        <v>8</v>
      </c>
      <c r="J21" s="23" t="n">
        <v>8</v>
      </c>
      <c r="K21" s="23" t="n">
        <v>8</v>
      </c>
      <c r="L21" s="23" t="n">
        <v>8</v>
      </c>
      <c r="M21" s="23" t="n">
        <v>8</v>
      </c>
      <c r="N21" s="23" t="n">
        <v>8</v>
      </c>
      <c r="O21" s="23" t="n">
        <v>8</v>
      </c>
      <c r="P21" s="23" t="n">
        <v>8</v>
      </c>
      <c r="Q21" s="23" t="n">
        <v>8</v>
      </c>
      <c r="R21" s="23" t="n">
        <v>8</v>
      </c>
      <c r="S21" s="23" t="n">
        <v>8</v>
      </c>
      <c r="T21" s="23" t="n">
        <v>8</v>
      </c>
      <c r="U21" s="23" t="n">
        <v>8</v>
      </c>
      <c r="V21" s="23" t="n">
        <v>8</v>
      </c>
      <c r="W21" s="23" t="n">
        <v>8</v>
      </c>
      <c r="X21" s="23" t="n">
        <v>8</v>
      </c>
      <c r="Y21" s="23" t="n">
        <v>8</v>
      </c>
      <c r="Z21" s="23" t="n">
        <v>8</v>
      </c>
      <c r="AA21" s="23" t="n">
        <v>8</v>
      </c>
      <c r="AB21" s="23" t="n">
        <v>8</v>
      </c>
      <c r="AC21" s="23" t="n">
        <v>8</v>
      </c>
      <c r="AD21" s="23" t="n">
        <v>8</v>
      </c>
      <c r="AE21" s="23" t="n">
        <v>8</v>
      </c>
      <c r="AF21" s="23" t="n">
        <v>8</v>
      </c>
      <c r="AG21" s="23" t="n">
        <v>8</v>
      </c>
      <c r="AH21" s="23" t="n">
        <v>8</v>
      </c>
      <c r="AI21" s="23" t="n">
        <v>8</v>
      </c>
      <c r="AJ21" s="24" t="n">
        <f aca="false">IF(B21="","",SUM(E21:AI21)+SUMPRODUCT(COUNTIF(E21:AI21,KH_MA),KH_LUONG))</f>
        <v>248</v>
      </c>
      <c r="AK21" s="25" t="n">
        <f aca="false">IF(B21="","",AJ21/GIO_CONG)</f>
        <v>31</v>
      </c>
      <c r="AL21" s="26" t="n">
        <f aca="false">IF(B21="","",SUMPRODUCT(COUNTIF(E21:AI21,KH_MA),KH_PHEP)/GIO_CONG)</f>
        <v>0</v>
      </c>
      <c r="AM21" s="26" t="n">
        <f aca="false">IF(B21="","",SUMPRODUCT(COUNTIF(E21:AI21,KH_MA),KH_LE)/GIO_CONG)</f>
        <v>0</v>
      </c>
      <c r="AN21" s="26" t="n">
        <f aca="false">IF(B21="","",SUMPRODUCT(COUNTIF(E21:AI21,KH_MA),KH_LEDL))</f>
        <v>0</v>
      </c>
      <c r="AO21" s="26" t="n">
        <f aca="false">IF(B21="","",SUMPRODUCT(COUNTIF(E21:AI21,KH_MA),KH_CD)/GIO_CONG)</f>
        <v>0</v>
      </c>
      <c r="AP21" s="26" t="n">
        <f aca="false">IF(B21="","",SUMPRODUCT(COUNTIF(E21:AI21,KH_MA),KH_CTL)/GIO_CONG)</f>
        <v>0</v>
      </c>
      <c r="AQ21" s="16"/>
      <c r="AR21" s="16"/>
      <c r="AS21" s="16"/>
    </row>
    <row r="22" customFormat="false" ht="15" hidden="false" customHeight="false" outlineLevel="0" collapsed="false">
      <c r="A22" s="18"/>
      <c r="B22" s="16" t="s">
        <v>241</v>
      </c>
      <c r="C22" s="18" t="str">
        <f aca="false">IF(B22="","",IFERROR(INDEX(NV_TEN,MATCH(B22,NV_MA,0)),"MÃ KHÔNG CÓ"))</f>
        <v>(Ví dụ) Nguyễn Văn B</v>
      </c>
      <c r="D22" s="18" t="str">
        <f aca="false">IF(B22="","",IFERROR(INDEX(NV_PN,MATCH(B22,NV_MA,0)),""))</f>
        <v>HAPD</v>
      </c>
      <c r="E22" s="23" t="n">
        <v>8</v>
      </c>
      <c r="F22" s="23" t="s">
        <v>73</v>
      </c>
      <c r="G22" s="23" t="n">
        <v>8</v>
      </c>
      <c r="H22" s="23" t="n">
        <v>8</v>
      </c>
      <c r="I22" s="23" t="n">
        <v>8</v>
      </c>
      <c r="J22" s="23"/>
      <c r="K22" s="23"/>
      <c r="L22" s="23" t="n">
        <v>8</v>
      </c>
      <c r="M22" s="23"/>
      <c r="N22" s="23" t="n">
        <v>8</v>
      </c>
      <c r="O22" s="23" t="n">
        <v>8</v>
      </c>
      <c r="P22" s="23" t="n">
        <v>8</v>
      </c>
      <c r="Q22" s="23"/>
      <c r="R22" s="23" t="s">
        <v>110</v>
      </c>
      <c r="S22" s="23" t="n">
        <v>8</v>
      </c>
      <c r="T22" s="23"/>
      <c r="U22" s="23" t="n">
        <v>8</v>
      </c>
      <c r="V22" s="23" t="n">
        <v>8</v>
      </c>
      <c r="W22" s="23" t="n">
        <v>8</v>
      </c>
      <c r="X22" s="23"/>
      <c r="Y22" s="23" t="s">
        <v>93</v>
      </c>
      <c r="Z22" s="23" t="n">
        <v>8</v>
      </c>
      <c r="AA22" s="23"/>
      <c r="AB22" s="23" t="n">
        <v>8</v>
      </c>
      <c r="AC22" s="23" t="n">
        <v>8</v>
      </c>
      <c r="AD22" s="23" t="n">
        <v>8</v>
      </c>
      <c r="AE22" s="23"/>
      <c r="AF22" s="23"/>
      <c r="AG22" s="23" t="n">
        <v>8</v>
      </c>
      <c r="AH22" s="23"/>
      <c r="AI22" s="23" t="n">
        <v>8</v>
      </c>
      <c r="AJ22" s="24" t="n">
        <f aca="false">IF(B22="","",SUM(E22:AI22)+SUMPRODUCT(COUNTIF(E22:AI22,KH_MA),KH_LUONG))</f>
        <v>148</v>
      </c>
      <c r="AK22" s="25" t="n">
        <f aca="false">IF(B22="","",AJ22/GIO_CONG)</f>
        <v>18.5</v>
      </c>
      <c r="AL22" s="26" t="n">
        <f aca="false">IF(B22="","",SUMPRODUCT(COUNTIF(E22:AI22,KH_MA),KH_PHEP)/GIO_CONG)</f>
        <v>1</v>
      </c>
      <c r="AM22" s="26" t="n">
        <f aca="false">IF(B22="","",SUMPRODUCT(COUNTIF(E22:AI22,KH_MA),KH_LE)/GIO_CONG)</f>
        <v>1</v>
      </c>
      <c r="AN22" s="26" t="n">
        <f aca="false">IF(B22="","",SUMPRODUCT(COUNTIF(E22:AI22,KH_MA),KH_LEDL))</f>
        <v>4</v>
      </c>
      <c r="AO22" s="26" t="n">
        <f aca="false">IF(B22="","",SUMPRODUCT(COUNTIF(E22:AI22,KH_MA),KH_CD)/GIO_CONG)</f>
        <v>0.5</v>
      </c>
      <c r="AP22" s="26" t="n">
        <f aca="false">IF(B22="","",SUMPRODUCT(COUNTIF(E22:AI22,KH_MA),KH_CTL)/GIO_CONG)</f>
        <v>0</v>
      </c>
      <c r="AQ22" s="16"/>
      <c r="AR22" s="16"/>
      <c r="AS22" s="16" t="s">
        <v>290</v>
      </c>
    </row>
    <row r="23" customFormat="false" ht="15" hidden="false" customHeight="false" outlineLevel="0" collapsed="false">
      <c r="A23" s="18" t="str">
        <f aca="false">IF(B23="","",ROW()-5)</f>
        <v/>
      </c>
      <c r="B23" s="16"/>
      <c r="C23" s="18" t="str">
        <f aca="false">IF(B23="","",IFERROR(INDEX(NV_TEN,MATCH(B23,NV_MA,0)),"MÃ KHÔNG CÓ"))</f>
        <v/>
      </c>
      <c r="D23" s="18" t="str">
        <f aca="false">IF(B23="","",IFERROR(INDEX(NV_PN,MATCH(B23,NV_MA,0)),""))</f>
        <v/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 t="str">
        <f aca="false">IF(B23="","",SUM(E23:AI23)+SUMPRODUCT(COUNTIF(E23:AI23,KH_MA),KH_LUONG))</f>
        <v/>
      </c>
      <c r="AK23" s="25" t="str">
        <f aca="false">IF(B23="","",AJ23/GIO_CONG)</f>
        <v/>
      </c>
      <c r="AL23" s="26" t="str">
        <f aca="false">IF(B23="","",SUMPRODUCT(COUNTIF(E23:AI23,KH_MA),KH_PHEP)/GIO_CONG)</f>
        <v/>
      </c>
      <c r="AM23" s="26" t="str">
        <f aca="false">IF(B23="","",SUMPRODUCT(COUNTIF(E23:AI23,KH_MA),KH_LE)/GIO_CONG)</f>
        <v/>
      </c>
      <c r="AN23" s="26" t="str">
        <f aca="false">IF(B23="","",SUMPRODUCT(COUNTIF(E23:AI23,KH_MA),KH_LEDL))</f>
        <v/>
      </c>
      <c r="AO23" s="26" t="str">
        <f aca="false">IF(B23="","",SUMPRODUCT(COUNTIF(E23:AI23,KH_MA),KH_CD)/GIO_CONG)</f>
        <v/>
      </c>
      <c r="AP23" s="26" t="str">
        <f aca="false">IF(B23="","",SUMPRODUCT(COUNTIF(E23:AI23,KH_MA),KH_CTL)/GIO_CONG)</f>
        <v/>
      </c>
      <c r="AQ23" s="16"/>
      <c r="AR23" s="16"/>
      <c r="AS23" s="16"/>
    </row>
    <row r="24" customFormat="false" ht="15" hidden="false" customHeight="false" outlineLevel="0" collapsed="false">
      <c r="A24" s="18" t="str">
        <f aca="false">IF(B24="","",ROW()-5)</f>
        <v/>
      </c>
      <c r="B24" s="16"/>
      <c r="C24" s="18" t="str">
        <f aca="false">IF(B24="","",IFERROR(INDEX(NV_TEN,MATCH(B24,NV_MA,0)),"MÃ KHÔNG CÓ"))</f>
        <v/>
      </c>
      <c r="D24" s="18" t="str">
        <f aca="false">IF(B24="","",IFERROR(INDEX(NV_PN,MATCH(B24,NV_MA,0)),""))</f>
        <v/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4" t="str">
        <f aca="false">IF(B24="","",SUM(E24:AI24)+SUMPRODUCT(COUNTIF(E24:AI24,KH_MA),KH_LUONG))</f>
        <v/>
      </c>
      <c r="AK24" s="25" t="str">
        <f aca="false">IF(B24="","",AJ24/GIO_CONG)</f>
        <v/>
      </c>
      <c r="AL24" s="26" t="str">
        <f aca="false">IF(B24="","",SUMPRODUCT(COUNTIF(E24:AI24,KH_MA),KH_PHEP)/GIO_CONG)</f>
        <v/>
      </c>
      <c r="AM24" s="26" t="str">
        <f aca="false">IF(B24="","",SUMPRODUCT(COUNTIF(E24:AI24,KH_MA),KH_LE)/GIO_CONG)</f>
        <v/>
      </c>
      <c r="AN24" s="26" t="str">
        <f aca="false">IF(B24="","",SUMPRODUCT(COUNTIF(E24:AI24,KH_MA),KH_LEDL))</f>
        <v/>
      </c>
      <c r="AO24" s="26" t="str">
        <f aca="false">IF(B24="","",SUMPRODUCT(COUNTIF(E24:AI24,KH_MA),KH_CD)/GIO_CONG)</f>
        <v/>
      </c>
      <c r="AP24" s="26" t="str">
        <f aca="false">IF(B24="","",SUMPRODUCT(COUNTIF(E24:AI24,KH_MA),KH_CTL)/GIO_CONG)</f>
        <v/>
      </c>
      <c r="AQ24" s="16"/>
      <c r="AR24" s="16"/>
      <c r="AS24" s="16"/>
    </row>
    <row r="25" customFormat="false" ht="15" hidden="false" customHeight="false" outlineLevel="0" collapsed="false">
      <c r="A25" s="18" t="str">
        <f aca="false">IF(B25="","",ROW()-5)</f>
        <v/>
      </c>
      <c r="B25" s="16"/>
      <c r="C25" s="18" t="str">
        <f aca="false">IF(B25="","",IFERROR(INDEX(NV_TEN,MATCH(B25,NV_MA,0)),"MÃ KHÔNG CÓ"))</f>
        <v/>
      </c>
      <c r="D25" s="18" t="str">
        <f aca="false">IF(B25="","",IFERROR(INDEX(NV_PN,MATCH(B25,NV_MA,0)),""))</f>
        <v/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4" t="str">
        <f aca="false">IF(B25="","",SUM(E25:AI25)+SUMPRODUCT(COUNTIF(E25:AI25,KH_MA),KH_LUONG))</f>
        <v/>
      </c>
      <c r="AK25" s="25" t="str">
        <f aca="false">IF(B25="","",AJ25/GIO_CONG)</f>
        <v/>
      </c>
      <c r="AL25" s="26" t="str">
        <f aca="false">IF(B25="","",SUMPRODUCT(COUNTIF(E25:AI25,KH_MA),KH_PHEP)/GIO_CONG)</f>
        <v/>
      </c>
      <c r="AM25" s="26" t="str">
        <f aca="false">IF(B25="","",SUMPRODUCT(COUNTIF(E25:AI25,KH_MA),KH_LE)/GIO_CONG)</f>
        <v/>
      </c>
      <c r="AN25" s="26" t="str">
        <f aca="false">IF(B25="","",SUMPRODUCT(COUNTIF(E25:AI25,KH_MA),KH_LEDL))</f>
        <v/>
      </c>
      <c r="AO25" s="26" t="str">
        <f aca="false">IF(B25="","",SUMPRODUCT(COUNTIF(E25:AI25,KH_MA),KH_CD)/GIO_CONG)</f>
        <v/>
      </c>
      <c r="AP25" s="26" t="str">
        <f aca="false">IF(B25="","",SUMPRODUCT(COUNTIF(E25:AI25,KH_MA),KH_CTL)/GIO_CONG)</f>
        <v/>
      </c>
      <c r="AQ25" s="16"/>
      <c r="AR25" s="16"/>
      <c r="AS25" s="16"/>
    </row>
    <row r="26" customFormat="false" ht="15" hidden="false" customHeight="false" outlineLevel="0" collapsed="false">
      <c r="A26" s="18" t="str">
        <f aca="false">IF(B26="","",ROW()-5)</f>
        <v/>
      </c>
      <c r="B26" s="16"/>
      <c r="C26" s="18" t="str">
        <f aca="false">IF(B26="","",IFERROR(INDEX(NV_TEN,MATCH(B26,NV_MA,0)),"MÃ KHÔNG CÓ"))</f>
        <v/>
      </c>
      <c r="D26" s="18" t="str">
        <f aca="false">IF(B26="","",IFERROR(INDEX(NV_PN,MATCH(B26,NV_MA,0)),""))</f>
        <v/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 t="str">
        <f aca="false">IF(B26="","",SUM(E26:AI26)+SUMPRODUCT(COUNTIF(E26:AI26,KH_MA),KH_LUONG))</f>
        <v/>
      </c>
      <c r="AK26" s="25" t="str">
        <f aca="false">IF(B26="","",AJ26/GIO_CONG)</f>
        <v/>
      </c>
      <c r="AL26" s="26" t="str">
        <f aca="false">IF(B26="","",SUMPRODUCT(COUNTIF(E26:AI26,KH_MA),KH_PHEP)/GIO_CONG)</f>
        <v/>
      </c>
      <c r="AM26" s="26" t="str">
        <f aca="false">IF(B26="","",SUMPRODUCT(COUNTIF(E26:AI26,KH_MA),KH_LE)/GIO_CONG)</f>
        <v/>
      </c>
      <c r="AN26" s="26" t="str">
        <f aca="false">IF(B26="","",SUMPRODUCT(COUNTIF(E26:AI26,KH_MA),KH_LEDL))</f>
        <v/>
      </c>
      <c r="AO26" s="26" t="str">
        <f aca="false">IF(B26="","",SUMPRODUCT(COUNTIF(E26:AI26,KH_MA),KH_CD)/GIO_CONG)</f>
        <v/>
      </c>
      <c r="AP26" s="26" t="str">
        <f aca="false">IF(B26="","",SUMPRODUCT(COUNTIF(E26:AI26,KH_MA),KH_CTL)/GIO_CONG)</f>
        <v/>
      </c>
      <c r="AQ26" s="16"/>
      <c r="AR26" s="16"/>
      <c r="AS26" s="16"/>
    </row>
    <row r="27" customFormat="false" ht="15" hidden="false" customHeight="false" outlineLevel="0" collapsed="false">
      <c r="A27" s="18" t="str">
        <f aca="false">IF(B27="","",ROW()-5)</f>
        <v/>
      </c>
      <c r="B27" s="16"/>
      <c r="C27" s="18" t="str">
        <f aca="false">IF(B27="","",IFERROR(INDEX(NV_TEN,MATCH(B27,NV_MA,0)),"MÃ KHÔNG CÓ"))</f>
        <v/>
      </c>
      <c r="D27" s="18" t="str">
        <f aca="false">IF(B27="","",IFERROR(INDEX(NV_PN,MATCH(B27,NV_MA,0)),""))</f>
        <v/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4" t="str">
        <f aca="false">IF(B27="","",SUM(E27:AI27)+SUMPRODUCT(COUNTIF(E27:AI27,KH_MA),KH_LUONG))</f>
        <v/>
      </c>
      <c r="AK27" s="25" t="str">
        <f aca="false">IF(B27="","",AJ27/GIO_CONG)</f>
        <v/>
      </c>
      <c r="AL27" s="26" t="str">
        <f aca="false">IF(B27="","",SUMPRODUCT(COUNTIF(E27:AI27,KH_MA),KH_PHEP)/GIO_CONG)</f>
        <v/>
      </c>
      <c r="AM27" s="26" t="str">
        <f aca="false">IF(B27="","",SUMPRODUCT(COUNTIF(E27:AI27,KH_MA),KH_LE)/GIO_CONG)</f>
        <v/>
      </c>
      <c r="AN27" s="26" t="str">
        <f aca="false">IF(B27="","",SUMPRODUCT(COUNTIF(E27:AI27,KH_MA),KH_LEDL))</f>
        <v/>
      </c>
      <c r="AO27" s="26" t="str">
        <f aca="false">IF(B27="","",SUMPRODUCT(COUNTIF(E27:AI27,KH_MA),KH_CD)/GIO_CONG)</f>
        <v/>
      </c>
      <c r="AP27" s="26" t="str">
        <f aca="false">IF(B27="","",SUMPRODUCT(COUNTIF(E27:AI27,KH_MA),KH_CTL)/GIO_CONG)</f>
        <v/>
      </c>
      <c r="AQ27" s="16"/>
      <c r="AR27" s="16"/>
      <c r="AS27" s="16"/>
    </row>
    <row r="28" customFormat="false" ht="15" hidden="false" customHeight="false" outlineLevel="0" collapsed="false">
      <c r="A28" s="18" t="str">
        <f aca="false">IF(B28="","",ROW()-5)</f>
        <v/>
      </c>
      <c r="B28" s="16"/>
      <c r="C28" s="18" t="str">
        <f aca="false">IF(B28="","",IFERROR(INDEX(NV_TEN,MATCH(B28,NV_MA,0)),"MÃ KHÔNG CÓ"))</f>
        <v/>
      </c>
      <c r="D28" s="18" t="str">
        <f aca="false">IF(B28="","",IFERROR(INDEX(NV_PN,MATCH(B28,NV_MA,0)),""))</f>
        <v/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4" t="str">
        <f aca="false">IF(B28="","",SUM(E28:AI28)+SUMPRODUCT(COUNTIF(E28:AI28,KH_MA),KH_LUONG))</f>
        <v/>
      </c>
      <c r="AK28" s="25" t="str">
        <f aca="false">IF(B28="","",AJ28/GIO_CONG)</f>
        <v/>
      </c>
      <c r="AL28" s="26" t="str">
        <f aca="false">IF(B28="","",SUMPRODUCT(COUNTIF(E28:AI28,KH_MA),KH_PHEP)/GIO_CONG)</f>
        <v/>
      </c>
      <c r="AM28" s="26" t="str">
        <f aca="false">IF(B28="","",SUMPRODUCT(COUNTIF(E28:AI28,KH_MA),KH_LE)/GIO_CONG)</f>
        <v/>
      </c>
      <c r="AN28" s="26" t="str">
        <f aca="false">IF(B28="","",SUMPRODUCT(COUNTIF(E28:AI28,KH_MA),KH_LEDL))</f>
        <v/>
      </c>
      <c r="AO28" s="26" t="str">
        <f aca="false">IF(B28="","",SUMPRODUCT(COUNTIF(E28:AI28,KH_MA),KH_CD)/GIO_CONG)</f>
        <v/>
      </c>
      <c r="AP28" s="26" t="str">
        <f aca="false">IF(B28="","",SUMPRODUCT(COUNTIF(E28:AI28,KH_MA),KH_CTL)/GIO_CONG)</f>
        <v/>
      </c>
      <c r="AQ28" s="16"/>
      <c r="AR28" s="16"/>
      <c r="AS28" s="16"/>
    </row>
    <row r="29" customFormat="false" ht="15" hidden="false" customHeight="false" outlineLevel="0" collapsed="false">
      <c r="A29" s="18" t="str">
        <f aca="false">IF(B29="","",ROW()-5)</f>
        <v/>
      </c>
      <c r="B29" s="16"/>
      <c r="C29" s="18" t="str">
        <f aca="false">IF(B29="","",IFERROR(INDEX(NV_TEN,MATCH(B29,NV_MA,0)),"MÃ KHÔNG CÓ"))</f>
        <v/>
      </c>
      <c r="D29" s="18" t="str">
        <f aca="false">IF(B29="","",IFERROR(INDEX(NV_PN,MATCH(B29,NV_MA,0)),""))</f>
        <v/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4" t="str">
        <f aca="false">IF(B29="","",SUM(E29:AI29)+SUMPRODUCT(COUNTIF(E29:AI29,KH_MA),KH_LUONG))</f>
        <v/>
      </c>
      <c r="AK29" s="25" t="str">
        <f aca="false">IF(B29="","",AJ29/GIO_CONG)</f>
        <v/>
      </c>
      <c r="AL29" s="26" t="str">
        <f aca="false">IF(B29="","",SUMPRODUCT(COUNTIF(E29:AI29,KH_MA),KH_PHEP)/GIO_CONG)</f>
        <v/>
      </c>
      <c r="AM29" s="26" t="str">
        <f aca="false">IF(B29="","",SUMPRODUCT(COUNTIF(E29:AI29,KH_MA),KH_LE)/GIO_CONG)</f>
        <v/>
      </c>
      <c r="AN29" s="26" t="str">
        <f aca="false">IF(B29="","",SUMPRODUCT(COUNTIF(E29:AI29,KH_MA),KH_LEDL))</f>
        <v/>
      </c>
      <c r="AO29" s="26" t="str">
        <f aca="false">IF(B29="","",SUMPRODUCT(COUNTIF(E29:AI29,KH_MA),KH_CD)/GIO_CONG)</f>
        <v/>
      </c>
      <c r="AP29" s="26" t="str">
        <f aca="false">IF(B29="","",SUMPRODUCT(COUNTIF(E29:AI29,KH_MA),KH_CTL)/GIO_CONG)</f>
        <v/>
      </c>
      <c r="AQ29" s="16"/>
      <c r="AR29" s="16"/>
      <c r="AS29" s="16"/>
    </row>
    <row r="30" customFormat="false" ht="15" hidden="false" customHeight="false" outlineLevel="0" collapsed="false">
      <c r="A30" s="18" t="str">
        <f aca="false">IF(B30="","",ROW()-5)</f>
        <v/>
      </c>
      <c r="B30" s="16"/>
      <c r="C30" s="18" t="str">
        <f aca="false">IF(B30="","",IFERROR(INDEX(NV_TEN,MATCH(B30,NV_MA,0)),"MÃ KHÔNG CÓ"))</f>
        <v/>
      </c>
      <c r="D30" s="18" t="str">
        <f aca="false">IF(B30="","",IFERROR(INDEX(NV_PN,MATCH(B30,NV_MA,0)),""))</f>
        <v/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4" t="str">
        <f aca="false">IF(B30="","",SUM(E30:AI30)+SUMPRODUCT(COUNTIF(E30:AI30,KH_MA),KH_LUONG))</f>
        <v/>
      </c>
      <c r="AK30" s="25" t="str">
        <f aca="false">IF(B30="","",AJ30/GIO_CONG)</f>
        <v/>
      </c>
      <c r="AL30" s="26" t="str">
        <f aca="false">IF(B30="","",SUMPRODUCT(COUNTIF(E30:AI30,KH_MA),KH_PHEP)/GIO_CONG)</f>
        <v/>
      </c>
      <c r="AM30" s="26" t="str">
        <f aca="false">IF(B30="","",SUMPRODUCT(COUNTIF(E30:AI30,KH_MA),KH_LE)/GIO_CONG)</f>
        <v/>
      </c>
      <c r="AN30" s="26" t="str">
        <f aca="false">IF(B30="","",SUMPRODUCT(COUNTIF(E30:AI30,KH_MA),KH_LEDL))</f>
        <v/>
      </c>
      <c r="AO30" s="26" t="str">
        <f aca="false">IF(B30="","",SUMPRODUCT(COUNTIF(E30:AI30,KH_MA),KH_CD)/GIO_CONG)</f>
        <v/>
      </c>
      <c r="AP30" s="26" t="str">
        <f aca="false">IF(B30="","",SUMPRODUCT(COUNTIF(E30:AI30,KH_MA),KH_CTL)/GIO_CONG)</f>
        <v/>
      </c>
      <c r="AQ30" s="16"/>
      <c r="AR30" s="16"/>
      <c r="AS30" s="16"/>
    </row>
    <row r="31" customFormat="false" ht="15" hidden="false" customHeight="false" outlineLevel="0" collapsed="false">
      <c r="A31" s="18" t="str">
        <f aca="false">IF(B31="","",ROW()-5)</f>
        <v/>
      </c>
      <c r="B31" s="16"/>
      <c r="C31" s="18" t="str">
        <f aca="false">IF(B31="","",IFERROR(INDEX(NV_TEN,MATCH(B31,NV_MA,0)),"MÃ KHÔNG CÓ"))</f>
        <v/>
      </c>
      <c r="D31" s="18" t="str">
        <f aca="false">IF(B31="","",IFERROR(INDEX(NV_PN,MATCH(B31,NV_MA,0)),""))</f>
        <v/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4" t="str">
        <f aca="false">IF(B31="","",SUM(E31:AI31)+SUMPRODUCT(COUNTIF(E31:AI31,KH_MA),KH_LUONG))</f>
        <v/>
      </c>
      <c r="AK31" s="25" t="str">
        <f aca="false">IF(B31="","",AJ31/GIO_CONG)</f>
        <v/>
      </c>
      <c r="AL31" s="26" t="str">
        <f aca="false">IF(B31="","",SUMPRODUCT(COUNTIF(E31:AI31,KH_MA),KH_PHEP)/GIO_CONG)</f>
        <v/>
      </c>
      <c r="AM31" s="26" t="str">
        <f aca="false">IF(B31="","",SUMPRODUCT(COUNTIF(E31:AI31,KH_MA),KH_LE)/GIO_CONG)</f>
        <v/>
      </c>
      <c r="AN31" s="26" t="str">
        <f aca="false">IF(B31="","",SUMPRODUCT(COUNTIF(E31:AI31,KH_MA),KH_LEDL))</f>
        <v/>
      </c>
      <c r="AO31" s="26" t="str">
        <f aca="false">IF(B31="","",SUMPRODUCT(COUNTIF(E31:AI31,KH_MA),KH_CD)/GIO_CONG)</f>
        <v/>
      </c>
      <c r="AP31" s="26" t="str">
        <f aca="false">IF(B31="","",SUMPRODUCT(COUNTIF(E31:AI31,KH_MA),KH_CTL)/GIO_CONG)</f>
        <v/>
      </c>
      <c r="AQ31" s="16"/>
      <c r="AR31" s="16"/>
      <c r="AS31" s="16"/>
    </row>
    <row r="32" customFormat="false" ht="15" hidden="false" customHeight="false" outlineLevel="0" collapsed="false">
      <c r="A32" s="18" t="str">
        <f aca="false">IF(B32="","",ROW()-5)</f>
        <v/>
      </c>
      <c r="B32" s="16"/>
      <c r="C32" s="18" t="str">
        <f aca="false">IF(B32="","",IFERROR(INDEX(NV_TEN,MATCH(B32,NV_MA,0)),"MÃ KHÔNG CÓ"))</f>
        <v/>
      </c>
      <c r="D32" s="18" t="str">
        <f aca="false">IF(B32="","",IFERROR(INDEX(NV_PN,MATCH(B32,NV_MA,0)),""))</f>
        <v/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4" t="str">
        <f aca="false">IF(B32="","",SUM(E32:AI32)+SUMPRODUCT(COUNTIF(E32:AI32,KH_MA),KH_LUONG))</f>
        <v/>
      </c>
      <c r="AK32" s="25" t="str">
        <f aca="false">IF(B32="","",AJ32/GIO_CONG)</f>
        <v/>
      </c>
      <c r="AL32" s="26" t="str">
        <f aca="false">IF(B32="","",SUMPRODUCT(COUNTIF(E32:AI32,KH_MA),KH_PHEP)/GIO_CONG)</f>
        <v/>
      </c>
      <c r="AM32" s="26" t="str">
        <f aca="false">IF(B32="","",SUMPRODUCT(COUNTIF(E32:AI32,KH_MA),KH_LE)/GIO_CONG)</f>
        <v/>
      </c>
      <c r="AN32" s="26" t="str">
        <f aca="false">IF(B32="","",SUMPRODUCT(COUNTIF(E32:AI32,KH_MA),KH_LEDL))</f>
        <v/>
      </c>
      <c r="AO32" s="26" t="str">
        <f aca="false">IF(B32="","",SUMPRODUCT(COUNTIF(E32:AI32,KH_MA),KH_CD)/GIO_CONG)</f>
        <v/>
      </c>
      <c r="AP32" s="26" t="str">
        <f aca="false">IF(B32="","",SUMPRODUCT(COUNTIF(E32:AI32,KH_MA),KH_CTL)/GIO_CONG)</f>
        <v/>
      </c>
      <c r="AQ32" s="16"/>
      <c r="AR32" s="16"/>
      <c r="AS32" s="16"/>
    </row>
    <row r="33" customFormat="false" ht="15" hidden="false" customHeight="false" outlineLevel="0" collapsed="false">
      <c r="A33" s="18" t="str">
        <f aca="false">IF(B33="","",ROW()-5)</f>
        <v/>
      </c>
      <c r="B33" s="16"/>
      <c r="C33" s="18" t="str">
        <f aca="false">IF(B33="","",IFERROR(INDEX(NV_TEN,MATCH(B33,NV_MA,0)),"MÃ KHÔNG CÓ"))</f>
        <v/>
      </c>
      <c r="D33" s="18" t="str">
        <f aca="false">IF(B33="","",IFERROR(INDEX(NV_PN,MATCH(B33,NV_MA,0)),""))</f>
        <v/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4" t="str">
        <f aca="false">IF(B33="","",SUM(E33:AI33)+SUMPRODUCT(COUNTIF(E33:AI33,KH_MA),KH_LUONG))</f>
        <v/>
      </c>
      <c r="AK33" s="25" t="str">
        <f aca="false">IF(B33="","",AJ33/GIO_CONG)</f>
        <v/>
      </c>
      <c r="AL33" s="26" t="str">
        <f aca="false">IF(B33="","",SUMPRODUCT(COUNTIF(E33:AI33,KH_MA),KH_PHEP)/GIO_CONG)</f>
        <v/>
      </c>
      <c r="AM33" s="26" t="str">
        <f aca="false">IF(B33="","",SUMPRODUCT(COUNTIF(E33:AI33,KH_MA),KH_LE)/GIO_CONG)</f>
        <v/>
      </c>
      <c r="AN33" s="26" t="str">
        <f aca="false">IF(B33="","",SUMPRODUCT(COUNTIF(E33:AI33,KH_MA),KH_LEDL))</f>
        <v/>
      </c>
      <c r="AO33" s="26" t="str">
        <f aca="false">IF(B33="","",SUMPRODUCT(COUNTIF(E33:AI33,KH_MA),KH_CD)/GIO_CONG)</f>
        <v/>
      </c>
      <c r="AP33" s="26" t="str">
        <f aca="false">IF(B33="","",SUMPRODUCT(COUNTIF(E33:AI33,KH_MA),KH_CTL)/GIO_CONG)</f>
        <v/>
      </c>
      <c r="AQ33" s="16"/>
      <c r="AR33" s="16"/>
      <c r="AS33" s="16"/>
    </row>
    <row r="34" customFormat="false" ht="15" hidden="false" customHeight="false" outlineLevel="0" collapsed="false">
      <c r="A34" s="18" t="str">
        <f aca="false">IF(B34="","",ROW()-5)</f>
        <v/>
      </c>
      <c r="B34" s="16"/>
      <c r="C34" s="18" t="str">
        <f aca="false">IF(B34="","",IFERROR(INDEX(NV_TEN,MATCH(B34,NV_MA,0)),"MÃ KHÔNG CÓ"))</f>
        <v/>
      </c>
      <c r="D34" s="18" t="str">
        <f aca="false">IF(B34="","",IFERROR(INDEX(NV_PN,MATCH(B34,NV_MA,0)),""))</f>
        <v/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4" t="str">
        <f aca="false">IF(B34="","",SUM(E34:AI34)+SUMPRODUCT(COUNTIF(E34:AI34,KH_MA),KH_LUONG))</f>
        <v/>
      </c>
      <c r="AK34" s="25" t="str">
        <f aca="false">IF(B34="","",AJ34/GIO_CONG)</f>
        <v/>
      </c>
      <c r="AL34" s="26" t="str">
        <f aca="false">IF(B34="","",SUMPRODUCT(COUNTIF(E34:AI34,KH_MA),KH_PHEP)/GIO_CONG)</f>
        <v/>
      </c>
      <c r="AM34" s="26" t="str">
        <f aca="false">IF(B34="","",SUMPRODUCT(COUNTIF(E34:AI34,KH_MA),KH_LE)/GIO_CONG)</f>
        <v/>
      </c>
      <c r="AN34" s="26" t="str">
        <f aca="false">IF(B34="","",SUMPRODUCT(COUNTIF(E34:AI34,KH_MA),KH_LEDL))</f>
        <v/>
      </c>
      <c r="AO34" s="26" t="str">
        <f aca="false">IF(B34="","",SUMPRODUCT(COUNTIF(E34:AI34,KH_MA),KH_CD)/GIO_CONG)</f>
        <v/>
      </c>
      <c r="AP34" s="26" t="str">
        <f aca="false">IF(B34="","",SUMPRODUCT(COUNTIF(E34:AI34,KH_MA),KH_CTL)/GIO_CONG)</f>
        <v/>
      </c>
      <c r="AQ34" s="16"/>
      <c r="AR34" s="16"/>
      <c r="AS34" s="16"/>
    </row>
    <row r="35" customFormat="false" ht="15" hidden="false" customHeight="false" outlineLevel="0" collapsed="false">
      <c r="A35" s="18" t="str">
        <f aca="false">IF(B35="","",ROW()-5)</f>
        <v/>
      </c>
      <c r="B35" s="16"/>
      <c r="C35" s="18" t="str">
        <f aca="false">IF(B35="","",IFERROR(INDEX(NV_TEN,MATCH(B35,NV_MA,0)),"MÃ KHÔNG CÓ"))</f>
        <v/>
      </c>
      <c r="D35" s="18" t="str">
        <f aca="false">IF(B35="","",IFERROR(INDEX(NV_PN,MATCH(B35,NV_MA,0)),""))</f>
        <v/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4" t="str">
        <f aca="false">IF(B35="","",SUM(E35:AI35)+SUMPRODUCT(COUNTIF(E35:AI35,KH_MA),KH_LUONG))</f>
        <v/>
      </c>
      <c r="AK35" s="25" t="str">
        <f aca="false">IF(B35="","",AJ35/GIO_CONG)</f>
        <v/>
      </c>
      <c r="AL35" s="26" t="str">
        <f aca="false">IF(B35="","",SUMPRODUCT(COUNTIF(E35:AI35,KH_MA),KH_PHEP)/GIO_CONG)</f>
        <v/>
      </c>
      <c r="AM35" s="26" t="str">
        <f aca="false">IF(B35="","",SUMPRODUCT(COUNTIF(E35:AI35,KH_MA),KH_LE)/GIO_CONG)</f>
        <v/>
      </c>
      <c r="AN35" s="26" t="str">
        <f aca="false">IF(B35="","",SUMPRODUCT(COUNTIF(E35:AI35,KH_MA),KH_LEDL))</f>
        <v/>
      </c>
      <c r="AO35" s="26" t="str">
        <f aca="false">IF(B35="","",SUMPRODUCT(COUNTIF(E35:AI35,KH_MA),KH_CD)/GIO_CONG)</f>
        <v/>
      </c>
      <c r="AP35" s="26" t="str">
        <f aca="false">IF(B35="","",SUMPRODUCT(COUNTIF(E35:AI35,KH_MA),KH_CTL)/GIO_CONG)</f>
        <v/>
      </c>
      <c r="AQ35" s="16"/>
      <c r="AR35" s="16"/>
      <c r="AS35" s="16"/>
    </row>
    <row r="36" customFormat="false" ht="15" hidden="false" customHeight="false" outlineLevel="0" collapsed="false">
      <c r="A36" s="18" t="str">
        <f aca="false">IF(B36="","",ROW()-5)</f>
        <v/>
      </c>
      <c r="B36" s="16"/>
      <c r="C36" s="18" t="str">
        <f aca="false">IF(B36="","",IFERROR(INDEX(NV_TEN,MATCH(B36,NV_MA,0)),"MÃ KHÔNG CÓ"))</f>
        <v/>
      </c>
      <c r="D36" s="18" t="str">
        <f aca="false">IF(B36="","",IFERROR(INDEX(NV_PN,MATCH(B36,NV_MA,0)),""))</f>
        <v/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4" t="str">
        <f aca="false">IF(B36="","",SUM(E36:AI36)+SUMPRODUCT(COUNTIF(E36:AI36,KH_MA),KH_LUONG))</f>
        <v/>
      </c>
      <c r="AK36" s="25" t="str">
        <f aca="false">IF(B36="","",AJ36/GIO_CONG)</f>
        <v/>
      </c>
      <c r="AL36" s="26" t="str">
        <f aca="false">IF(B36="","",SUMPRODUCT(COUNTIF(E36:AI36,KH_MA),KH_PHEP)/GIO_CONG)</f>
        <v/>
      </c>
      <c r="AM36" s="26" t="str">
        <f aca="false">IF(B36="","",SUMPRODUCT(COUNTIF(E36:AI36,KH_MA),KH_LE)/GIO_CONG)</f>
        <v/>
      </c>
      <c r="AN36" s="26" t="str">
        <f aca="false">IF(B36="","",SUMPRODUCT(COUNTIF(E36:AI36,KH_MA),KH_LEDL))</f>
        <v/>
      </c>
      <c r="AO36" s="26" t="str">
        <f aca="false">IF(B36="","",SUMPRODUCT(COUNTIF(E36:AI36,KH_MA),KH_CD)/GIO_CONG)</f>
        <v/>
      </c>
      <c r="AP36" s="26" t="str">
        <f aca="false">IF(B36="","",SUMPRODUCT(COUNTIF(E36:AI36,KH_MA),KH_CTL)/GIO_CONG)</f>
        <v/>
      </c>
      <c r="AQ36" s="16"/>
      <c r="AR36" s="16"/>
      <c r="AS36" s="16"/>
    </row>
    <row r="37" customFormat="false" ht="15" hidden="false" customHeight="false" outlineLevel="0" collapsed="false">
      <c r="A37" s="18" t="str">
        <f aca="false">IF(B37="","",ROW()-5)</f>
        <v/>
      </c>
      <c r="B37" s="16"/>
      <c r="C37" s="18" t="str">
        <f aca="false">IF(B37="","",IFERROR(INDEX(NV_TEN,MATCH(B37,NV_MA,0)),"MÃ KHÔNG CÓ"))</f>
        <v/>
      </c>
      <c r="D37" s="18" t="str">
        <f aca="false">IF(B37="","",IFERROR(INDEX(NV_PN,MATCH(B37,NV_MA,0)),""))</f>
        <v/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4" t="str">
        <f aca="false">IF(B37="","",SUM(E37:AI37)+SUMPRODUCT(COUNTIF(E37:AI37,KH_MA),KH_LUONG))</f>
        <v/>
      </c>
      <c r="AK37" s="25" t="str">
        <f aca="false">IF(B37="","",AJ37/GIO_CONG)</f>
        <v/>
      </c>
      <c r="AL37" s="26" t="str">
        <f aca="false">IF(B37="","",SUMPRODUCT(COUNTIF(E37:AI37,KH_MA),KH_PHEP)/GIO_CONG)</f>
        <v/>
      </c>
      <c r="AM37" s="26" t="str">
        <f aca="false">IF(B37="","",SUMPRODUCT(COUNTIF(E37:AI37,KH_MA),KH_LE)/GIO_CONG)</f>
        <v/>
      </c>
      <c r="AN37" s="26" t="str">
        <f aca="false">IF(B37="","",SUMPRODUCT(COUNTIF(E37:AI37,KH_MA),KH_LEDL))</f>
        <v/>
      </c>
      <c r="AO37" s="26" t="str">
        <f aca="false">IF(B37="","",SUMPRODUCT(COUNTIF(E37:AI37,KH_MA),KH_CD)/GIO_CONG)</f>
        <v/>
      </c>
      <c r="AP37" s="26" t="str">
        <f aca="false">IF(B37="","",SUMPRODUCT(COUNTIF(E37:AI37,KH_MA),KH_CTL)/GIO_CONG)</f>
        <v/>
      </c>
      <c r="AQ37" s="16"/>
      <c r="AR37" s="16"/>
      <c r="AS37" s="16"/>
    </row>
    <row r="38" customFormat="false" ht="15" hidden="false" customHeight="false" outlineLevel="0" collapsed="false">
      <c r="A38" s="18" t="str">
        <f aca="false">IF(B38="","",ROW()-5)</f>
        <v/>
      </c>
      <c r="B38" s="16"/>
      <c r="C38" s="18" t="str">
        <f aca="false">IF(B38="","",IFERROR(INDEX(NV_TEN,MATCH(B38,NV_MA,0)),"MÃ KHÔNG CÓ"))</f>
        <v/>
      </c>
      <c r="D38" s="18" t="str">
        <f aca="false">IF(B38="","",IFERROR(INDEX(NV_PN,MATCH(B38,NV_MA,0)),""))</f>
        <v/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4" t="str">
        <f aca="false">IF(B38="","",SUM(E38:AI38)+SUMPRODUCT(COUNTIF(E38:AI38,KH_MA),KH_LUONG))</f>
        <v/>
      </c>
      <c r="AK38" s="25" t="str">
        <f aca="false">IF(B38="","",AJ38/GIO_CONG)</f>
        <v/>
      </c>
      <c r="AL38" s="26" t="str">
        <f aca="false">IF(B38="","",SUMPRODUCT(COUNTIF(E38:AI38,KH_MA),KH_PHEP)/GIO_CONG)</f>
        <v/>
      </c>
      <c r="AM38" s="26" t="str">
        <f aca="false">IF(B38="","",SUMPRODUCT(COUNTIF(E38:AI38,KH_MA),KH_LE)/GIO_CONG)</f>
        <v/>
      </c>
      <c r="AN38" s="26" t="str">
        <f aca="false">IF(B38="","",SUMPRODUCT(COUNTIF(E38:AI38,KH_MA),KH_LEDL))</f>
        <v/>
      </c>
      <c r="AO38" s="26" t="str">
        <f aca="false">IF(B38="","",SUMPRODUCT(COUNTIF(E38:AI38,KH_MA),KH_CD)/GIO_CONG)</f>
        <v/>
      </c>
      <c r="AP38" s="26" t="str">
        <f aca="false">IF(B38="","",SUMPRODUCT(COUNTIF(E38:AI38,KH_MA),KH_CTL)/GIO_CONG)</f>
        <v/>
      </c>
      <c r="AQ38" s="16"/>
      <c r="AR38" s="16"/>
      <c r="AS38" s="16"/>
    </row>
    <row r="39" customFormat="false" ht="15" hidden="false" customHeight="false" outlineLevel="0" collapsed="false">
      <c r="A39" s="18" t="str">
        <f aca="false">IF(B39="","",ROW()-5)</f>
        <v/>
      </c>
      <c r="B39" s="16"/>
      <c r="C39" s="18" t="str">
        <f aca="false">IF(B39="","",IFERROR(INDEX(NV_TEN,MATCH(B39,NV_MA,0)),"MÃ KHÔNG CÓ"))</f>
        <v/>
      </c>
      <c r="D39" s="18" t="str">
        <f aca="false">IF(B39="","",IFERROR(INDEX(NV_PN,MATCH(B39,NV_MA,0)),""))</f>
        <v/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4" t="str">
        <f aca="false">IF(B39="","",SUM(E39:AI39)+SUMPRODUCT(COUNTIF(E39:AI39,KH_MA),KH_LUONG))</f>
        <v/>
      </c>
      <c r="AK39" s="25" t="str">
        <f aca="false">IF(B39="","",AJ39/GIO_CONG)</f>
        <v/>
      </c>
      <c r="AL39" s="26" t="str">
        <f aca="false">IF(B39="","",SUMPRODUCT(COUNTIF(E39:AI39,KH_MA),KH_PHEP)/GIO_CONG)</f>
        <v/>
      </c>
      <c r="AM39" s="26" t="str">
        <f aca="false">IF(B39="","",SUMPRODUCT(COUNTIF(E39:AI39,KH_MA),KH_LE)/GIO_CONG)</f>
        <v/>
      </c>
      <c r="AN39" s="26" t="str">
        <f aca="false">IF(B39="","",SUMPRODUCT(COUNTIF(E39:AI39,KH_MA),KH_LEDL))</f>
        <v/>
      </c>
      <c r="AO39" s="26" t="str">
        <f aca="false">IF(B39="","",SUMPRODUCT(COUNTIF(E39:AI39,KH_MA),KH_CD)/GIO_CONG)</f>
        <v/>
      </c>
      <c r="AP39" s="26" t="str">
        <f aca="false">IF(B39="","",SUMPRODUCT(COUNTIF(E39:AI39,KH_MA),KH_CTL)/GIO_CONG)</f>
        <v/>
      </c>
      <c r="AQ39" s="16"/>
      <c r="AR39" s="16"/>
      <c r="AS39" s="16"/>
    </row>
    <row r="40" customFormat="false" ht="15" hidden="false" customHeight="false" outlineLevel="0" collapsed="false">
      <c r="A40" s="18" t="str">
        <f aca="false">IF(B40="","",ROW()-5)</f>
        <v/>
      </c>
      <c r="B40" s="16"/>
      <c r="C40" s="18" t="str">
        <f aca="false">IF(B40="","",IFERROR(INDEX(NV_TEN,MATCH(B40,NV_MA,0)),"MÃ KHÔNG CÓ"))</f>
        <v/>
      </c>
      <c r="D40" s="18" t="str">
        <f aca="false">IF(B40="","",IFERROR(INDEX(NV_PN,MATCH(B40,NV_MA,0)),""))</f>
        <v/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 t="str">
        <f aca="false">IF(B40="","",SUM(E40:AI40)+SUMPRODUCT(COUNTIF(E40:AI40,KH_MA),KH_LUONG))</f>
        <v/>
      </c>
      <c r="AK40" s="25" t="str">
        <f aca="false">IF(B40="","",AJ40/GIO_CONG)</f>
        <v/>
      </c>
      <c r="AL40" s="26" t="str">
        <f aca="false">IF(B40="","",SUMPRODUCT(COUNTIF(E40:AI40,KH_MA),KH_PHEP)/GIO_CONG)</f>
        <v/>
      </c>
      <c r="AM40" s="26" t="str">
        <f aca="false">IF(B40="","",SUMPRODUCT(COUNTIF(E40:AI40,KH_MA),KH_LE)/GIO_CONG)</f>
        <v/>
      </c>
      <c r="AN40" s="26" t="str">
        <f aca="false">IF(B40="","",SUMPRODUCT(COUNTIF(E40:AI40,KH_MA),KH_LEDL))</f>
        <v/>
      </c>
      <c r="AO40" s="26" t="str">
        <f aca="false">IF(B40="","",SUMPRODUCT(COUNTIF(E40:AI40,KH_MA),KH_CD)/GIO_CONG)</f>
        <v/>
      </c>
      <c r="AP40" s="26" t="str">
        <f aca="false">IF(B40="","",SUMPRODUCT(COUNTIF(E40:AI40,KH_MA),KH_CTL)/GIO_CONG)</f>
        <v/>
      </c>
      <c r="AQ40" s="16"/>
      <c r="AR40" s="16"/>
      <c r="AS40" s="16"/>
    </row>
    <row r="41" customFormat="false" ht="15" hidden="false" customHeight="false" outlineLevel="0" collapsed="false">
      <c r="A41" s="18" t="str">
        <f aca="false">IF(B41="","",ROW()-5)</f>
        <v/>
      </c>
      <c r="B41" s="16"/>
      <c r="C41" s="18" t="str">
        <f aca="false">IF(B41="","",IFERROR(INDEX(NV_TEN,MATCH(B41,NV_MA,0)),"MÃ KHÔNG CÓ"))</f>
        <v/>
      </c>
      <c r="D41" s="18" t="str">
        <f aca="false">IF(B41="","",IFERROR(INDEX(NV_PN,MATCH(B41,NV_MA,0)),""))</f>
        <v/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4" t="str">
        <f aca="false">IF(B41="","",SUM(E41:AI41)+SUMPRODUCT(COUNTIF(E41:AI41,KH_MA),KH_LUONG))</f>
        <v/>
      </c>
      <c r="AK41" s="25" t="str">
        <f aca="false">IF(B41="","",AJ41/GIO_CONG)</f>
        <v/>
      </c>
      <c r="AL41" s="26" t="str">
        <f aca="false">IF(B41="","",SUMPRODUCT(COUNTIF(E41:AI41,KH_MA),KH_PHEP)/GIO_CONG)</f>
        <v/>
      </c>
      <c r="AM41" s="26" t="str">
        <f aca="false">IF(B41="","",SUMPRODUCT(COUNTIF(E41:AI41,KH_MA),KH_LE)/GIO_CONG)</f>
        <v/>
      </c>
      <c r="AN41" s="26" t="str">
        <f aca="false">IF(B41="","",SUMPRODUCT(COUNTIF(E41:AI41,KH_MA),KH_LEDL))</f>
        <v/>
      </c>
      <c r="AO41" s="26" t="str">
        <f aca="false">IF(B41="","",SUMPRODUCT(COUNTIF(E41:AI41,KH_MA),KH_CD)/GIO_CONG)</f>
        <v/>
      </c>
      <c r="AP41" s="26" t="str">
        <f aca="false">IF(B41="","",SUMPRODUCT(COUNTIF(E41:AI41,KH_MA),KH_CTL)/GIO_CONG)</f>
        <v/>
      </c>
      <c r="AQ41" s="16"/>
      <c r="AR41" s="16"/>
      <c r="AS41" s="16"/>
    </row>
    <row r="42" customFormat="false" ht="15" hidden="false" customHeight="false" outlineLevel="0" collapsed="false">
      <c r="A42" s="18" t="str">
        <f aca="false">IF(B42="","",ROW()-5)</f>
        <v/>
      </c>
      <c r="B42" s="16"/>
      <c r="C42" s="18" t="str">
        <f aca="false">IF(B42="","",IFERROR(INDEX(NV_TEN,MATCH(B42,NV_MA,0)),"MÃ KHÔNG CÓ"))</f>
        <v/>
      </c>
      <c r="D42" s="18" t="str">
        <f aca="false">IF(B42="","",IFERROR(INDEX(NV_PN,MATCH(B42,NV_MA,0)),""))</f>
        <v/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4" t="str">
        <f aca="false">IF(B42="","",SUM(E42:AI42)+SUMPRODUCT(COUNTIF(E42:AI42,KH_MA),KH_LUONG))</f>
        <v/>
      </c>
      <c r="AK42" s="25" t="str">
        <f aca="false">IF(B42="","",AJ42/GIO_CONG)</f>
        <v/>
      </c>
      <c r="AL42" s="26" t="str">
        <f aca="false">IF(B42="","",SUMPRODUCT(COUNTIF(E42:AI42,KH_MA),KH_PHEP)/GIO_CONG)</f>
        <v/>
      </c>
      <c r="AM42" s="26" t="str">
        <f aca="false">IF(B42="","",SUMPRODUCT(COUNTIF(E42:AI42,KH_MA),KH_LE)/GIO_CONG)</f>
        <v/>
      </c>
      <c r="AN42" s="26" t="str">
        <f aca="false">IF(B42="","",SUMPRODUCT(COUNTIF(E42:AI42,KH_MA),KH_LEDL))</f>
        <v/>
      </c>
      <c r="AO42" s="26" t="str">
        <f aca="false">IF(B42="","",SUMPRODUCT(COUNTIF(E42:AI42,KH_MA),KH_CD)/GIO_CONG)</f>
        <v/>
      </c>
      <c r="AP42" s="26" t="str">
        <f aca="false">IF(B42="","",SUMPRODUCT(COUNTIF(E42:AI42,KH_MA),KH_CTL)/GIO_CONG)</f>
        <v/>
      </c>
      <c r="AQ42" s="16"/>
      <c r="AR42" s="16"/>
      <c r="AS42" s="16"/>
    </row>
    <row r="43" customFormat="false" ht="15" hidden="false" customHeight="false" outlineLevel="0" collapsed="false">
      <c r="A43" s="18" t="str">
        <f aca="false">IF(B43="","",ROW()-5)</f>
        <v/>
      </c>
      <c r="B43" s="16"/>
      <c r="C43" s="18" t="str">
        <f aca="false">IF(B43="","",IFERROR(INDEX(NV_TEN,MATCH(B43,NV_MA,0)),"MÃ KHÔNG CÓ"))</f>
        <v/>
      </c>
      <c r="D43" s="18" t="str">
        <f aca="false">IF(B43="","",IFERROR(INDEX(NV_PN,MATCH(B43,NV_MA,0)),""))</f>
        <v/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 t="str">
        <f aca="false">IF(B43="","",SUM(E43:AI43)+SUMPRODUCT(COUNTIF(E43:AI43,KH_MA),KH_LUONG))</f>
        <v/>
      </c>
      <c r="AK43" s="25" t="str">
        <f aca="false">IF(B43="","",AJ43/GIO_CONG)</f>
        <v/>
      </c>
      <c r="AL43" s="26" t="str">
        <f aca="false">IF(B43="","",SUMPRODUCT(COUNTIF(E43:AI43,KH_MA),KH_PHEP)/GIO_CONG)</f>
        <v/>
      </c>
      <c r="AM43" s="26" t="str">
        <f aca="false">IF(B43="","",SUMPRODUCT(COUNTIF(E43:AI43,KH_MA),KH_LE)/GIO_CONG)</f>
        <v/>
      </c>
      <c r="AN43" s="26" t="str">
        <f aca="false">IF(B43="","",SUMPRODUCT(COUNTIF(E43:AI43,KH_MA),KH_LEDL))</f>
        <v/>
      </c>
      <c r="AO43" s="26" t="str">
        <f aca="false">IF(B43="","",SUMPRODUCT(COUNTIF(E43:AI43,KH_MA),KH_CD)/GIO_CONG)</f>
        <v/>
      </c>
      <c r="AP43" s="26" t="str">
        <f aca="false">IF(B43="","",SUMPRODUCT(COUNTIF(E43:AI43,KH_MA),KH_CTL)/GIO_CONG)</f>
        <v/>
      </c>
      <c r="AQ43" s="16"/>
      <c r="AR43" s="16"/>
      <c r="AS43" s="16"/>
    </row>
    <row r="44" customFormat="false" ht="15" hidden="false" customHeight="false" outlineLevel="0" collapsed="false">
      <c r="A44" s="18" t="str">
        <f aca="false">IF(B44="","",ROW()-5)</f>
        <v/>
      </c>
      <c r="B44" s="16"/>
      <c r="C44" s="18" t="str">
        <f aca="false">IF(B44="","",IFERROR(INDEX(NV_TEN,MATCH(B44,NV_MA,0)),"MÃ KHÔNG CÓ"))</f>
        <v/>
      </c>
      <c r="D44" s="18" t="str">
        <f aca="false">IF(B44="","",IFERROR(INDEX(NV_PN,MATCH(B44,NV_MA,0)),""))</f>
        <v/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4" t="str">
        <f aca="false">IF(B44="","",SUM(E44:AI44)+SUMPRODUCT(COUNTIF(E44:AI44,KH_MA),KH_LUONG))</f>
        <v/>
      </c>
      <c r="AK44" s="25" t="str">
        <f aca="false">IF(B44="","",AJ44/GIO_CONG)</f>
        <v/>
      </c>
      <c r="AL44" s="26" t="str">
        <f aca="false">IF(B44="","",SUMPRODUCT(COUNTIF(E44:AI44,KH_MA),KH_PHEP)/GIO_CONG)</f>
        <v/>
      </c>
      <c r="AM44" s="26" t="str">
        <f aca="false">IF(B44="","",SUMPRODUCT(COUNTIF(E44:AI44,KH_MA),KH_LE)/GIO_CONG)</f>
        <v/>
      </c>
      <c r="AN44" s="26" t="str">
        <f aca="false">IF(B44="","",SUMPRODUCT(COUNTIF(E44:AI44,KH_MA),KH_LEDL))</f>
        <v/>
      </c>
      <c r="AO44" s="26" t="str">
        <f aca="false">IF(B44="","",SUMPRODUCT(COUNTIF(E44:AI44,KH_MA),KH_CD)/GIO_CONG)</f>
        <v/>
      </c>
      <c r="AP44" s="26" t="str">
        <f aca="false">IF(B44="","",SUMPRODUCT(COUNTIF(E44:AI44,KH_MA),KH_CTL)/GIO_CONG)</f>
        <v/>
      </c>
      <c r="AQ44" s="16"/>
      <c r="AR44" s="16"/>
      <c r="AS44" s="16"/>
    </row>
    <row r="45" customFormat="false" ht="15" hidden="false" customHeight="false" outlineLevel="0" collapsed="false">
      <c r="A45" s="18" t="str">
        <f aca="false">IF(B45="","",ROW()-5)</f>
        <v/>
      </c>
      <c r="B45" s="16"/>
      <c r="C45" s="18" t="str">
        <f aca="false">IF(B45="","",IFERROR(INDEX(NV_TEN,MATCH(B45,NV_MA,0)),"MÃ KHÔNG CÓ"))</f>
        <v/>
      </c>
      <c r="D45" s="18" t="str">
        <f aca="false">IF(B45="","",IFERROR(INDEX(NV_PN,MATCH(B45,NV_MA,0)),""))</f>
        <v/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4" t="str">
        <f aca="false">IF(B45="","",SUM(E45:AI45)+SUMPRODUCT(COUNTIF(E45:AI45,KH_MA),KH_LUONG))</f>
        <v/>
      </c>
      <c r="AK45" s="25" t="str">
        <f aca="false">IF(B45="","",AJ45/GIO_CONG)</f>
        <v/>
      </c>
      <c r="AL45" s="26" t="str">
        <f aca="false">IF(B45="","",SUMPRODUCT(COUNTIF(E45:AI45,KH_MA),KH_PHEP)/GIO_CONG)</f>
        <v/>
      </c>
      <c r="AM45" s="26" t="str">
        <f aca="false">IF(B45="","",SUMPRODUCT(COUNTIF(E45:AI45,KH_MA),KH_LE)/GIO_CONG)</f>
        <v/>
      </c>
      <c r="AN45" s="26" t="str">
        <f aca="false">IF(B45="","",SUMPRODUCT(COUNTIF(E45:AI45,KH_MA),KH_LEDL))</f>
        <v/>
      </c>
      <c r="AO45" s="26" t="str">
        <f aca="false">IF(B45="","",SUMPRODUCT(COUNTIF(E45:AI45,KH_MA),KH_CD)/GIO_CONG)</f>
        <v/>
      </c>
      <c r="AP45" s="26" t="str">
        <f aca="false">IF(B45="","",SUMPRODUCT(COUNTIF(E45:AI45,KH_MA),KH_CTL)/GIO_CONG)</f>
        <v/>
      </c>
      <c r="AQ45" s="16"/>
      <c r="AR45" s="16"/>
      <c r="AS45" s="16"/>
    </row>
    <row r="46" customFormat="false" ht="15" hidden="false" customHeight="false" outlineLevel="0" collapsed="false">
      <c r="A46" s="18" t="str">
        <f aca="false">IF(B46="","",ROW()-5)</f>
        <v/>
      </c>
      <c r="B46" s="16"/>
      <c r="C46" s="18" t="str">
        <f aca="false">IF(B46="","",IFERROR(INDEX(NV_TEN,MATCH(B46,NV_MA,0)),"MÃ KHÔNG CÓ"))</f>
        <v/>
      </c>
      <c r="D46" s="18" t="str">
        <f aca="false">IF(B46="","",IFERROR(INDEX(NV_PN,MATCH(B46,NV_MA,0)),""))</f>
        <v/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 t="str">
        <f aca="false">IF(B46="","",SUM(E46:AI46)+SUMPRODUCT(COUNTIF(E46:AI46,KH_MA),KH_LUONG))</f>
        <v/>
      </c>
      <c r="AK46" s="25" t="str">
        <f aca="false">IF(B46="","",AJ46/GIO_CONG)</f>
        <v/>
      </c>
      <c r="AL46" s="26" t="str">
        <f aca="false">IF(B46="","",SUMPRODUCT(COUNTIF(E46:AI46,KH_MA),KH_PHEP)/GIO_CONG)</f>
        <v/>
      </c>
      <c r="AM46" s="26" t="str">
        <f aca="false">IF(B46="","",SUMPRODUCT(COUNTIF(E46:AI46,KH_MA),KH_LE)/GIO_CONG)</f>
        <v/>
      </c>
      <c r="AN46" s="26" t="str">
        <f aca="false">IF(B46="","",SUMPRODUCT(COUNTIF(E46:AI46,KH_MA),KH_LEDL))</f>
        <v/>
      </c>
      <c r="AO46" s="26" t="str">
        <f aca="false">IF(B46="","",SUMPRODUCT(COUNTIF(E46:AI46,KH_MA),KH_CD)/GIO_CONG)</f>
        <v/>
      </c>
      <c r="AP46" s="26" t="str">
        <f aca="false">IF(B46="","",SUMPRODUCT(COUNTIF(E46:AI46,KH_MA),KH_CTL)/GIO_CONG)</f>
        <v/>
      </c>
      <c r="AQ46" s="16"/>
      <c r="AR46" s="16"/>
      <c r="AS46" s="16"/>
    </row>
    <row r="47" customFormat="false" ht="15" hidden="false" customHeight="false" outlineLevel="0" collapsed="false">
      <c r="A47" s="18" t="str">
        <f aca="false">IF(B47="","",ROW()-5)</f>
        <v/>
      </c>
      <c r="B47" s="16"/>
      <c r="C47" s="18" t="str">
        <f aca="false">IF(B47="","",IFERROR(INDEX(NV_TEN,MATCH(B47,NV_MA,0)),"MÃ KHÔNG CÓ"))</f>
        <v/>
      </c>
      <c r="D47" s="18" t="str">
        <f aca="false">IF(B47="","",IFERROR(INDEX(NV_PN,MATCH(B47,NV_MA,0)),""))</f>
        <v/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4" t="str">
        <f aca="false">IF(B47="","",SUM(E47:AI47)+SUMPRODUCT(COUNTIF(E47:AI47,KH_MA),KH_LUONG))</f>
        <v/>
      </c>
      <c r="AK47" s="25" t="str">
        <f aca="false">IF(B47="","",AJ47/GIO_CONG)</f>
        <v/>
      </c>
      <c r="AL47" s="26" t="str">
        <f aca="false">IF(B47="","",SUMPRODUCT(COUNTIF(E47:AI47,KH_MA),KH_PHEP)/GIO_CONG)</f>
        <v/>
      </c>
      <c r="AM47" s="26" t="str">
        <f aca="false">IF(B47="","",SUMPRODUCT(COUNTIF(E47:AI47,KH_MA),KH_LE)/GIO_CONG)</f>
        <v/>
      </c>
      <c r="AN47" s="26" t="str">
        <f aca="false">IF(B47="","",SUMPRODUCT(COUNTIF(E47:AI47,KH_MA),KH_LEDL))</f>
        <v/>
      </c>
      <c r="AO47" s="26" t="str">
        <f aca="false">IF(B47="","",SUMPRODUCT(COUNTIF(E47:AI47,KH_MA),KH_CD)/GIO_CONG)</f>
        <v/>
      </c>
      <c r="AP47" s="26" t="str">
        <f aca="false">IF(B47="","",SUMPRODUCT(COUNTIF(E47:AI47,KH_MA),KH_CTL)/GIO_CONG)</f>
        <v/>
      </c>
      <c r="AQ47" s="16"/>
      <c r="AR47" s="16"/>
      <c r="AS47" s="16"/>
    </row>
    <row r="48" customFormat="false" ht="15" hidden="false" customHeight="false" outlineLevel="0" collapsed="false">
      <c r="A48" s="18" t="str">
        <f aca="false">IF(B48="","",ROW()-5)</f>
        <v/>
      </c>
      <c r="B48" s="16"/>
      <c r="C48" s="18" t="str">
        <f aca="false">IF(B48="","",IFERROR(INDEX(NV_TEN,MATCH(B48,NV_MA,0)),"MÃ KHÔNG CÓ"))</f>
        <v/>
      </c>
      <c r="D48" s="18" t="str">
        <f aca="false">IF(B48="","",IFERROR(INDEX(NV_PN,MATCH(B48,NV_MA,0)),""))</f>
        <v/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4" t="str">
        <f aca="false">IF(B48="","",SUM(E48:AI48)+SUMPRODUCT(COUNTIF(E48:AI48,KH_MA),KH_LUONG))</f>
        <v/>
      </c>
      <c r="AK48" s="25" t="str">
        <f aca="false">IF(B48="","",AJ48/GIO_CONG)</f>
        <v/>
      </c>
      <c r="AL48" s="26" t="str">
        <f aca="false">IF(B48="","",SUMPRODUCT(COUNTIF(E48:AI48,KH_MA),KH_PHEP)/GIO_CONG)</f>
        <v/>
      </c>
      <c r="AM48" s="26" t="str">
        <f aca="false">IF(B48="","",SUMPRODUCT(COUNTIF(E48:AI48,KH_MA),KH_LE)/GIO_CONG)</f>
        <v/>
      </c>
      <c r="AN48" s="26" t="str">
        <f aca="false">IF(B48="","",SUMPRODUCT(COUNTIF(E48:AI48,KH_MA),KH_LEDL))</f>
        <v/>
      </c>
      <c r="AO48" s="26" t="str">
        <f aca="false">IF(B48="","",SUMPRODUCT(COUNTIF(E48:AI48,KH_MA),KH_CD)/GIO_CONG)</f>
        <v/>
      </c>
      <c r="AP48" s="26" t="str">
        <f aca="false">IF(B48="","",SUMPRODUCT(COUNTIF(E48:AI48,KH_MA),KH_CTL)/GIO_CONG)</f>
        <v/>
      </c>
      <c r="AQ48" s="16"/>
      <c r="AR48" s="16"/>
      <c r="AS48" s="16"/>
    </row>
    <row r="49" customFormat="false" ht="15" hidden="false" customHeight="false" outlineLevel="0" collapsed="false">
      <c r="A49" s="18" t="str">
        <f aca="false">IF(B49="","",ROW()-5)</f>
        <v/>
      </c>
      <c r="B49" s="16"/>
      <c r="C49" s="18" t="str">
        <f aca="false">IF(B49="","",IFERROR(INDEX(NV_TEN,MATCH(B49,NV_MA,0)),"MÃ KHÔNG CÓ"))</f>
        <v/>
      </c>
      <c r="D49" s="18" t="str">
        <f aca="false">IF(B49="","",IFERROR(INDEX(NV_PN,MATCH(B49,NV_MA,0)),""))</f>
        <v/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4" t="str">
        <f aca="false">IF(B49="","",SUM(E49:AI49)+SUMPRODUCT(COUNTIF(E49:AI49,KH_MA),KH_LUONG))</f>
        <v/>
      </c>
      <c r="AK49" s="25" t="str">
        <f aca="false">IF(B49="","",AJ49/GIO_CONG)</f>
        <v/>
      </c>
      <c r="AL49" s="26" t="str">
        <f aca="false">IF(B49="","",SUMPRODUCT(COUNTIF(E49:AI49,KH_MA),KH_PHEP)/GIO_CONG)</f>
        <v/>
      </c>
      <c r="AM49" s="26" t="str">
        <f aca="false">IF(B49="","",SUMPRODUCT(COUNTIF(E49:AI49,KH_MA),KH_LE)/GIO_CONG)</f>
        <v/>
      </c>
      <c r="AN49" s="26" t="str">
        <f aca="false">IF(B49="","",SUMPRODUCT(COUNTIF(E49:AI49,KH_MA),KH_LEDL))</f>
        <v/>
      </c>
      <c r="AO49" s="26" t="str">
        <f aca="false">IF(B49="","",SUMPRODUCT(COUNTIF(E49:AI49,KH_MA),KH_CD)/GIO_CONG)</f>
        <v/>
      </c>
      <c r="AP49" s="26" t="str">
        <f aca="false">IF(B49="","",SUMPRODUCT(COUNTIF(E49:AI49,KH_MA),KH_CTL)/GIO_CONG)</f>
        <v/>
      </c>
      <c r="AQ49" s="16"/>
      <c r="AR49" s="16"/>
      <c r="AS49" s="16"/>
    </row>
    <row r="50" customFormat="false" ht="15" hidden="false" customHeight="false" outlineLevel="0" collapsed="false">
      <c r="A50" s="18" t="str">
        <f aca="false">IF(B50="","",ROW()-5)</f>
        <v/>
      </c>
      <c r="B50" s="16"/>
      <c r="C50" s="18" t="str">
        <f aca="false">IF(B50="","",IFERROR(INDEX(NV_TEN,MATCH(B50,NV_MA,0)),"MÃ KHÔNG CÓ"))</f>
        <v/>
      </c>
      <c r="D50" s="18" t="str">
        <f aca="false">IF(B50="","",IFERROR(INDEX(NV_PN,MATCH(B50,NV_MA,0)),""))</f>
        <v/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4" t="str">
        <f aca="false">IF(B50="","",SUM(E50:AI50)+SUMPRODUCT(COUNTIF(E50:AI50,KH_MA),KH_LUONG))</f>
        <v/>
      </c>
      <c r="AK50" s="25" t="str">
        <f aca="false">IF(B50="","",AJ50/GIO_CONG)</f>
        <v/>
      </c>
      <c r="AL50" s="26" t="str">
        <f aca="false">IF(B50="","",SUMPRODUCT(COUNTIF(E50:AI50,KH_MA),KH_PHEP)/GIO_CONG)</f>
        <v/>
      </c>
      <c r="AM50" s="26" t="str">
        <f aca="false">IF(B50="","",SUMPRODUCT(COUNTIF(E50:AI50,KH_MA),KH_LE)/GIO_CONG)</f>
        <v/>
      </c>
      <c r="AN50" s="26" t="str">
        <f aca="false">IF(B50="","",SUMPRODUCT(COUNTIF(E50:AI50,KH_MA),KH_LEDL))</f>
        <v/>
      </c>
      <c r="AO50" s="26" t="str">
        <f aca="false">IF(B50="","",SUMPRODUCT(COUNTIF(E50:AI50,KH_MA),KH_CD)/GIO_CONG)</f>
        <v/>
      </c>
      <c r="AP50" s="26" t="str">
        <f aca="false">IF(B50="","",SUMPRODUCT(COUNTIF(E50:AI50,KH_MA),KH_CTL)/GIO_CONG)</f>
        <v/>
      </c>
      <c r="AQ50" s="16"/>
      <c r="AR50" s="16"/>
      <c r="AS50" s="16"/>
    </row>
    <row r="51" customFormat="false" ht="15" hidden="false" customHeight="false" outlineLevel="0" collapsed="false">
      <c r="A51" s="18" t="str">
        <f aca="false">IF(B51="","",ROW()-5)</f>
        <v/>
      </c>
      <c r="B51" s="16"/>
      <c r="C51" s="18" t="str">
        <f aca="false">IF(B51="","",IFERROR(INDEX(NV_TEN,MATCH(B51,NV_MA,0)),"MÃ KHÔNG CÓ"))</f>
        <v/>
      </c>
      <c r="D51" s="18" t="str">
        <f aca="false">IF(B51="","",IFERROR(INDEX(NV_PN,MATCH(B51,NV_MA,0)),""))</f>
        <v/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4" t="str">
        <f aca="false">IF(B51="","",SUM(E51:AI51)+SUMPRODUCT(COUNTIF(E51:AI51,KH_MA),KH_LUONG))</f>
        <v/>
      </c>
      <c r="AK51" s="25" t="str">
        <f aca="false">IF(B51="","",AJ51/GIO_CONG)</f>
        <v/>
      </c>
      <c r="AL51" s="26" t="str">
        <f aca="false">IF(B51="","",SUMPRODUCT(COUNTIF(E51:AI51,KH_MA),KH_PHEP)/GIO_CONG)</f>
        <v/>
      </c>
      <c r="AM51" s="26" t="str">
        <f aca="false">IF(B51="","",SUMPRODUCT(COUNTIF(E51:AI51,KH_MA),KH_LE)/GIO_CONG)</f>
        <v/>
      </c>
      <c r="AN51" s="26" t="str">
        <f aca="false">IF(B51="","",SUMPRODUCT(COUNTIF(E51:AI51,KH_MA),KH_LEDL))</f>
        <v/>
      </c>
      <c r="AO51" s="26" t="str">
        <f aca="false">IF(B51="","",SUMPRODUCT(COUNTIF(E51:AI51,KH_MA),KH_CD)/GIO_CONG)</f>
        <v/>
      </c>
      <c r="AP51" s="26" t="str">
        <f aca="false">IF(B51="","",SUMPRODUCT(COUNTIF(E51:AI51,KH_MA),KH_CTL)/GIO_CONG)</f>
        <v/>
      </c>
      <c r="AQ51" s="16"/>
      <c r="AR51" s="16"/>
      <c r="AS51" s="16"/>
    </row>
    <row r="52" customFormat="false" ht="15" hidden="false" customHeight="false" outlineLevel="0" collapsed="false">
      <c r="A52" s="18" t="str">
        <f aca="false">IF(B52="","",ROW()-5)</f>
        <v/>
      </c>
      <c r="B52" s="16"/>
      <c r="C52" s="18" t="str">
        <f aca="false">IF(B52="","",IFERROR(INDEX(NV_TEN,MATCH(B52,NV_MA,0)),"MÃ KHÔNG CÓ"))</f>
        <v/>
      </c>
      <c r="D52" s="18" t="str">
        <f aca="false">IF(B52="","",IFERROR(INDEX(NV_PN,MATCH(B52,NV_MA,0)),""))</f>
        <v/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 t="str">
        <f aca="false">IF(B52="","",SUM(E52:AI52)+SUMPRODUCT(COUNTIF(E52:AI52,KH_MA),KH_LUONG))</f>
        <v/>
      </c>
      <c r="AK52" s="25" t="str">
        <f aca="false">IF(B52="","",AJ52/GIO_CONG)</f>
        <v/>
      </c>
      <c r="AL52" s="26" t="str">
        <f aca="false">IF(B52="","",SUMPRODUCT(COUNTIF(E52:AI52,KH_MA),KH_PHEP)/GIO_CONG)</f>
        <v/>
      </c>
      <c r="AM52" s="26" t="str">
        <f aca="false">IF(B52="","",SUMPRODUCT(COUNTIF(E52:AI52,KH_MA),KH_LE)/GIO_CONG)</f>
        <v/>
      </c>
      <c r="AN52" s="26" t="str">
        <f aca="false">IF(B52="","",SUMPRODUCT(COUNTIF(E52:AI52,KH_MA),KH_LEDL))</f>
        <v/>
      </c>
      <c r="AO52" s="26" t="str">
        <f aca="false">IF(B52="","",SUMPRODUCT(COUNTIF(E52:AI52,KH_MA),KH_CD)/GIO_CONG)</f>
        <v/>
      </c>
      <c r="AP52" s="26" t="str">
        <f aca="false">IF(B52="","",SUMPRODUCT(COUNTIF(E52:AI52,KH_MA),KH_CTL)/GIO_CONG)</f>
        <v/>
      </c>
      <c r="AQ52" s="16"/>
      <c r="AR52" s="16"/>
      <c r="AS52" s="16"/>
    </row>
    <row r="53" customFormat="false" ht="15" hidden="false" customHeight="false" outlineLevel="0" collapsed="false">
      <c r="A53" s="18" t="str">
        <f aca="false">IF(B53="","",ROW()-5)</f>
        <v/>
      </c>
      <c r="B53" s="16"/>
      <c r="C53" s="18" t="str">
        <f aca="false">IF(B53="","",IFERROR(INDEX(NV_TEN,MATCH(B53,NV_MA,0)),"MÃ KHÔNG CÓ"))</f>
        <v/>
      </c>
      <c r="D53" s="18" t="str">
        <f aca="false">IF(B53="","",IFERROR(INDEX(NV_PN,MATCH(B53,NV_MA,0)),""))</f>
        <v/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4" t="str">
        <f aca="false">IF(B53="","",SUM(E53:AI53)+SUMPRODUCT(COUNTIF(E53:AI53,KH_MA),KH_LUONG))</f>
        <v/>
      </c>
      <c r="AK53" s="25" t="str">
        <f aca="false">IF(B53="","",AJ53/GIO_CONG)</f>
        <v/>
      </c>
      <c r="AL53" s="26" t="str">
        <f aca="false">IF(B53="","",SUMPRODUCT(COUNTIF(E53:AI53,KH_MA),KH_PHEP)/GIO_CONG)</f>
        <v/>
      </c>
      <c r="AM53" s="26" t="str">
        <f aca="false">IF(B53="","",SUMPRODUCT(COUNTIF(E53:AI53,KH_MA),KH_LE)/GIO_CONG)</f>
        <v/>
      </c>
      <c r="AN53" s="26" t="str">
        <f aca="false">IF(B53="","",SUMPRODUCT(COUNTIF(E53:AI53,KH_MA),KH_LEDL))</f>
        <v/>
      </c>
      <c r="AO53" s="26" t="str">
        <f aca="false">IF(B53="","",SUMPRODUCT(COUNTIF(E53:AI53,KH_MA),KH_CD)/GIO_CONG)</f>
        <v/>
      </c>
      <c r="AP53" s="26" t="str">
        <f aca="false">IF(B53="","",SUMPRODUCT(COUNTIF(E53:AI53,KH_MA),KH_CTL)/GIO_CONG)</f>
        <v/>
      </c>
      <c r="AQ53" s="16"/>
      <c r="AR53" s="16"/>
      <c r="AS53" s="16"/>
    </row>
    <row r="54" customFormat="false" ht="15" hidden="false" customHeight="false" outlineLevel="0" collapsed="false">
      <c r="A54" s="18" t="str">
        <f aca="false">IF(B54="","",ROW()-5)</f>
        <v/>
      </c>
      <c r="B54" s="16"/>
      <c r="C54" s="18" t="str">
        <f aca="false">IF(B54="","",IFERROR(INDEX(NV_TEN,MATCH(B54,NV_MA,0)),"MÃ KHÔNG CÓ"))</f>
        <v/>
      </c>
      <c r="D54" s="18" t="str">
        <f aca="false">IF(B54="","",IFERROR(INDEX(NV_PN,MATCH(B54,NV_MA,0)),""))</f>
        <v/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4" t="str">
        <f aca="false">IF(B54="","",SUM(E54:AI54)+SUMPRODUCT(COUNTIF(E54:AI54,KH_MA),KH_LUONG))</f>
        <v/>
      </c>
      <c r="AK54" s="25" t="str">
        <f aca="false">IF(B54="","",AJ54/GIO_CONG)</f>
        <v/>
      </c>
      <c r="AL54" s="26" t="str">
        <f aca="false">IF(B54="","",SUMPRODUCT(COUNTIF(E54:AI54,KH_MA),KH_PHEP)/GIO_CONG)</f>
        <v/>
      </c>
      <c r="AM54" s="26" t="str">
        <f aca="false">IF(B54="","",SUMPRODUCT(COUNTIF(E54:AI54,KH_MA),KH_LE)/GIO_CONG)</f>
        <v/>
      </c>
      <c r="AN54" s="26" t="str">
        <f aca="false">IF(B54="","",SUMPRODUCT(COUNTIF(E54:AI54,KH_MA),KH_LEDL))</f>
        <v/>
      </c>
      <c r="AO54" s="26" t="str">
        <f aca="false">IF(B54="","",SUMPRODUCT(COUNTIF(E54:AI54,KH_MA),KH_CD)/GIO_CONG)</f>
        <v/>
      </c>
      <c r="AP54" s="26" t="str">
        <f aca="false">IF(B54="","",SUMPRODUCT(COUNTIF(E54:AI54,KH_MA),KH_CTL)/GIO_CONG)</f>
        <v/>
      </c>
      <c r="AQ54" s="16"/>
      <c r="AR54" s="16"/>
      <c r="AS54" s="16"/>
    </row>
    <row r="55" customFormat="false" ht="15" hidden="false" customHeight="false" outlineLevel="0" collapsed="false">
      <c r="A55" s="18" t="str">
        <f aca="false">IF(B55="","",ROW()-5)</f>
        <v/>
      </c>
      <c r="B55" s="16"/>
      <c r="C55" s="18" t="str">
        <f aca="false">IF(B55="","",IFERROR(INDEX(NV_TEN,MATCH(B55,NV_MA,0)),"MÃ KHÔNG CÓ"))</f>
        <v/>
      </c>
      <c r="D55" s="18" t="str">
        <f aca="false">IF(B55="","",IFERROR(INDEX(NV_PN,MATCH(B55,NV_MA,0)),""))</f>
        <v/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4" t="str">
        <f aca="false">IF(B55="","",SUM(E55:AI55)+SUMPRODUCT(COUNTIF(E55:AI55,KH_MA),KH_LUONG))</f>
        <v/>
      </c>
      <c r="AK55" s="25" t="str">
        <f aca="false">IF(B55="","",AJ55/GIO_CONG)</f>
        <v/>
      </c>
      <c r="AL55" s="26" t="str">
        <f aca="false">IF(B55="","",SUMPRODUCT(COUNTIF(E55:AI55,KH_MA),KH_PHEP)/GIO_CONG)</f>
        <v/>
      </c>
      <c r="AM55" s="26" t="str">
        <f aca="false">IF(B55="","",SUMPRODUCT(COUNTIF(E55:AI55,KH_MA),KH_LE)/GIO_CONG)</f>
        <v/>
      </c>
      <c r="AN55" s="26" t="str">
        <f aca="false">IF(B55="","",SUMPRODUCT(COUNTIF(E55:AI55,KH_MA),KH_LEDL))</f>
        <v/>
      </c>
      <c r="AO55" s="26" t="str">
        <f aca="false">IF(B55="","",SUMPRODUCT(COUNTIF(E55:AI55,KH_MA),KH_CD)/GIO_CONG)</f>
        <v/>
      </c>
      <c r="AP55" s="26" t="str">
        <f aca="false">IF(B55="","",SUMPRODUCT(COUNTIF(E55:AI55,KH_MA),KH_CTL)/GIO_CONG)</f>
        <v/>
      </c>
      <c r="AQ55" s="16"/>
      <c r="AR55" s="16"/>
      <c r="AS55" s="16"/>
    </row>
    <row r="56" customFormat="false" ht="15" hidden="false" customHeight="false" outlineLevel="0" collapsed="false">
      <c r="A56" s="18" t="str">
        <f aca="false">IF(B56="","",ROW()-5)</f>
        <v/>
      </c>
      <c r="B56" s="16"/>
      <c r="C56" s="18" t="str">
        <f aca="false">IF(B56="","",IFERROR(INDEX(NV_TEN,MATCH(B56,NV_MA,0)),"MÃ KHÔNG CÓ"))</f>
        <v/>
      </c>
      <c r="D56" s="18" t="str">
        <f aca="false">IF(B56="","",IFERROR(INDEX(NV_PN,MATCH(B56,NV_MA,0)),""))</f>
        <v/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4" t="str">
        <f aca="false">IF(B56="","",SUM(E56:AI56)+SUMPRODUCT(COUNTIF(E56:AI56,KH_MA),KH_LUONG))</f>
        <v/>
      </c>
      <c r="AK56" s="25" t="str">
        <f aca="false">IF(B56="","",AJ56/GIO_CONG)</f>
        <v/>
      </c>
      <c r="AL56" s="26" t="str">
        <f aca="false">IF(B56="","",SUMPRODUCT(COUNTIF(E56:AI56,KH_MA),KH_PHEP)/GIO_CONG)</f>
        <v/>
      </c>
      <c r="AM56" s="26" t="str">
        <f aca="false">IF(B56="","",SUMPRODUCT(COUNTIF(E56:AI56,KH_MA),KH_LE)/GIO_CONG)</f>
        <v/>
      </c>
      <c r="AN56" s="26" t="str">
        <f aca="false">IF(B56="","",SUMPRODUCT(COUNTIF(E56:AI56,KH_MA),KH_LEDL))</f>
        <v/>
      </c>
      <c r="AO56" s="26" t="str">
        <f aca="false">IF(B56="","",SUMPRODUCT(COUNTIF(E56:AI56,KH_MA),KH_CD)/GIO_CONG)</f>
        <v/>
      </c>
      <c r="AP56" s="26" t="str">
        <f aca="false">IF(B56="","",SUMPRODUCT(COUNTIF(E56:AI56,KH_MA),KH_CTL)/GIO_CONG)</f>
        <v/>
      </c>
      <c r="AQ56" s="16"/>
      <c r="AR56" s="16"/>
      <c r="AS56" s="16"/>
    </row>
    <row r="57" customFormat="false" ht="15" hidden="false" customHeight="false" outlineLevel="0" collapsed="false">
      <c r="A57" s="18" t="str">
        <f aca="false">IF(B57="","",ROW()-5)</f>
        <v/>
      </c>
      <c r="B57" s="16"/>
      <c r="C57" s="18" t="str">
        <f aca="false">IF(B57="","",IFERROR(INDEX(NV_TEN,MATCH(B57,NV_MA,0)),"MÃ KHÔNG CÓ"))</f>
        <v/>
      </c>
      <c r="D57" s="18" t="str">
        <f aca="false">IF(B57="","",IFERROR(INDEX(NV_PN,MATCH(B57,NV_MA,0)),""))</f>
        <v/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4" t="str">
        <f aca="false">IF(B57="","",SUM(E57:AI57)+SUMPRODUCT(COUNTIF(E57:AI57,KH_MA),KH_LUONG))</f>
        <v/>
      </c>
      <c r="AK57" s="25" t="str">
        <f aca="false">IF(B57="","",AJ57/GIO_CONG)</f>
        <v/>
      </c>
      <c r="AL57" s="26" t="str">
        <f aca="false">IF(B57="","",SUMPRODUCT(COUNTIF(E57:AI57,KH_MA),KH_PHEP)/GIO_CONG)</f>
        <v/>
      </c>
      <c r="AM57" s="26" t="str">
        <f aca="false">IF(B57="","",SUMPRODUCT(COUNTIF(E57:AI57,KH_MA),KH_LE)/GIO_CONG)</f>
        <v/>
      </c>
      <c r="AN57" s="26" t="str">
        <f aca="false">IF(B57="","",SUMPRODUCT(COUNTIF(E57:AI57,KH_MA),KH_LEDL))</f>
        <v/>
      </c>
      <c r="AO57" s="26" t="str">
        <f aca="false">IF(B57="","",SUMPRODUCT(COUNTIF(E57:AI57,KH_MA),KH_CD)/GIO_CONG)</f>
        <v/>
      </c>
      <c r="AP57" s="26" t="str">
        <f aca="false">IF(B57="","",SUMPRODUCT(COUNTIF(E57:AI57,KH_MA),KH_CTL)/GIO_CONG)</f>
        <v/>
      </c>
      <c r="AQ57" s="16"/>
      <c r="AR57" s="16"/>
      <c r="AS57" s="16"/>
    </row>
    <row r="58" customFormat="false" ht="15" hidden="false" customHeight="false" outlineLevel="0" collapsed="false">
      <c r="A58" s="18" t="str">
        <f aca="false">IF(B58="","",ROW()-5)</f>
        <v/>
      </c>
      <c r="B58" s="16"/>
      <c r="C58" s="18" t="str">
        <f aca="false">IF(B58="","",IFERROR(INDEX(NV_TEN,MATCH(B58,NV_MA,0)),"MÃ KHÔNG CÓ"))</f>
        <v/>
      </c>
      <c r="D58" s="18" t="str">
        <f aca="false">IF(B58="","",IFERROR(INDEX(NV_PN,MATCH(B58,NV_MA,0)),""))</f>
        <v/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 t="str">
        <f aca="false">IF(B58="","",SUM(E58:AI58)+SUMPRODUCT(COUNTIF(E58:AI58,KH_MA),KH_LUONG))</f>
        <v/>
      </c>
      <c r="AK58" s="25" t="str">
        <f aca="false">IF(B58="","",AJ58/GIO_CONG)</f>
        <v/>
      </c>
      <c r="AL58" s="26" t="str">
        <f aca="false">IF(B58="","",SUMPRODUCT(COUNTIF(E58:AI58,KH_MA),KH_PHEP)/GIO_CONG)</f>
        <v/>
      </c>
      <c r="AM58" s="26" t="str">
        <f aca="false">IF(B58="","",SUMPRODUCT(COUNTIF(E58:AI58,KH_MA),KH_LE)/GIO_CONG)</f>
        <v/>
      </c>
      <c r="AN58" s="26" t="str">
        <f aca="false">IF(B58="","",SUMPRODUCT(COUNTIF(E58:AI58,KH_MA),KH_LEDL))</f>
        <v/>
      </c>
      <c r="AO58" s="26" t="str">
        <f aca="false">IF(B58="","",SUMPRODUCT(COUNTIF(E58:AI58,KH_MA),KH_CD)/GIO_CONG)</f>
        <v/>
      </c>
      <c r="AP58" s="26" t="str">
        <f aca="false">IF(B58="","",SUMPRODUCT(COUNTIF(E58:AI58,KH_MA),KH_CTL)/GIO_CONG)</f>
        <v/>
      </c>
      <c r="AQ58" s="16"/>
      <c r="AR58" s="16"/>
      <c r="AS58" s="16"/>
    </row>
    <row r="59" customFormat="false" ht="15" hidden="false" customHeight="false" outlineLevel="0" collapsed="false">
      <c r="A59" s="18" t="str">
        <f aca="false">IF(B59="","",ROW()-5)</f>
        <v/>
      </c>
      <c r="B59" s="16"/>
      <c r="C59" s="18" t="str">
        <f aca="false">IF(B59="","",IFERROR(INDEX(NV_TEN,MATCH(B59,NV_MA,0)),"MÃ KHÔNG CÓ"))</f>
        <v/>
      </c>
      <c r="D59" s="18" t="str">
        <f aca="false">IF(B59="","",IFERROR(INDEX(NV_PN,MATCH(B59,NV_MA,0)),""))</f>
        <v/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4" t="str">
        <f aca="false">IF(B59="","",SUM(E59:AI59)+SUMPRODUCT(COUNTIF(E59:AI59,KH_MA),KH_LUONG))</f>
        <v/>
      </c>
      <c r="AK59" s="25" t="str">
        <f aca="false">IF(B59="","",AJ59/GIO_CONG)</f>
        <v/>
      </c>
      <c r="AL59" s="26" t="str">
        <f aca="false">IF(B59="","",SUMPRODUCT(COUNTIF(E59:AI59,KH_MA),KH_PHEP)/GIO_CONG)</f>
        <v/>
      </c>
      <c r="AM59" s="26" t="str">
        <f aca="false">IF(B59="","",SUMPRODUCT(COUNTIF(E59:AI59,KH_MA),KH_LE)/GIO_CONG)</f>
        <v/>
      </c>
      <c r="AN59" s="26" t="str">
        <f aca="false">IF(B59="","",SUMPRODUCT(COUNTIF(E59:AI59,KH_MA),KH_LEDL))</f>
        <v/>
      </c>
      <c r="AO59" s="26" t="str">
        <f aca="false">IF(B59="","",SUMPRODUCT(COUNTIF(E59:AI59,KH_MA),KH_CD)/GIO_CONG)</f>
        <v/>
      </c>
      <c r="AP59" s="26" t="str">
        <f aca="false">IF(B59="","",SUMPRODUCT(COUNTIF(E59:AI59,KH_MA),KH_CTL)/GIO_CONG)</f>
        <v/>
      </c>
      <c r="AQ59" s="16"/>
      <c r="AR59" s="16"/>
      <c r="AS59" s="16"/>
    </row>
    <row r="60" customFormat="false" ht="15" hidden="false" customHeight="false" outlineLevel="0" collapsed="false">
      <c r="A60" s="18" t="str">
        <f aca="false">IF(B60="","",ROW()-5)</f>
        <v/>
      </c>
      <c r="B60" s="16"/>
      <c r="C60" s="18" t="str">
        <f aca="false">IF(B60="","",IFERROR(INDEX(NV_TEN,MATCH(B60,NV_MA,0)),"MÃ KHÔNG CÓ"))</f>
        <v/>
      </c>
      <c r="D60" s="18" t="str">
        <f aca="false">IF(B60="","",IFERROR(INDEX(NV_PN,MATCH(B60,NV_MA,0)),""))</f>
        <v/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4" t="str">
        <f aca="false">IF(B60="","",SUM(E60:AI60)+SUMPRODUCT(COUNTIF(E60:AI60,KH_MA),KH_LUONG))</f>
        <v/>
      </c>
      <c r="AK60" s="25" t="str">
        <f aca="false">IF(B60="","",AJ60/GIO_CONG)</f>
        <v/>
      </c>
      <c r="AL60" s="26" t="str">
        <f aca="false">IF(B60="","",SUMPRODUCT(COUNTIF(E60:AI60,KH_MA),KH_PHEP)/GIO_CONG)</f>
        <v/>
      </c>
      <c r="AM60" s="26" t="str">
        <f aca="false">IF(B60="","",SUMPRODUCT(COUNTIF(E60:AI60,KH_MA),KH_LE)/GIO_CONG)</f>
        <v/>
      </c>
      <c r="AN60" s="26" t="str">
        <f aca="false">IF(B60="","",SUMPRODUCT(COUNTIF(E60:AI60,KH_MA),KH_LEDL))</f>
        <v/>
      </c>
      <c r="AO60" s="26" t="str">
        <f aca="false">IF(B60="","",SUMPRODUCT(COUNTIF(E60:AI60,KH_MA),KH_CD)/GIO_CONG)</f>
        <v/>
      </c>
      <c r="AP60" s="26" t="str">
        <f aca="false">IF(B60="","",SUMPRODUCT(COUNTIF(E60:AI60,KH_MA),KH_CTL)/GIO_CONG)</f>
        <v/>
      </c>
      <c r="AQ60" s="16"/>
      <c r="AR60" s="16"/>
      <c r="AS60" s="16"/>
    </row>
    <row r="61" customFormat="false" ht="15" hidden="false" customHeight="false" outlineLevel="0" collapsed="false">
      <c r="A61" s="18" t="str">
        <f aca="false">IF(B61="","",ROW()-5)</f>
        <v/>
      </c>
      <c r="B61" s="16"/>
      <c r="C61" s="18" t="str">
        <f aca="false">IF(B61="","",IFERROR(INDEX(NV_TEN,MATCH(B61,NV_MA,0)),"MÃ KHÔNG CÓ"))</f>
        <v/>
      </c>
      <c r="D61" s="18" t="str">
        <f aca="false">IF(B61="","",IFERROR(INDEX(NV_PN,MATCH(B61,NV_MA,0)),""))</f>
        <v/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4" t="str">
        <f aca="false">IF(B61="","",SUM(E61:AI61)+SUMPRODUCT(COUNTIF(E61:AI61,KH_MA),KH_LUONG))</f>
        <v/>
      </c>
      <c r="AK61" s="25" t="str">
        <f aca="false">IF(B61="","",AJ61/GIO_CONG)</f>
        <v/>
      </c>
      <c r="AL61" s="26" t="str">
        <f aca="false">IF(B61="","",SUMPRODUCT(COUNTIF(E61:AI61,KH_MA),KH_PHEP)/GIO_CONG)</f>
        <v/>
      </c>
      <c r="AM61" s="26" t="str">
        <f aca="false">IF(B61="","",SUMPRODUCT(COUNTIF(E61:AI61,KH_MA),KH_LE)/GIO_CONG)</f>
        <v/>
      </c>
      <c r="AN61" s="26" t="str">
        <f aca="false">IF(B61="","",SUMPRODUCT(COUNTIF(E61:AI61,KH_MA),KH_LEDL))</f>
        <v/>
      </c>
      <c r="AO61" s="26" t="str">
        <f aca="false">IF(B61="","",SUMPRODUCT(COUNTIF(E61:AI61,KH_MA),KH_CD)/GIO_CONG)</f>
        <v/>
      </c>
      <c r="AP61" s="26" t="str">
        <f aca="false">IF(B61="","",SUMPRODUCT(COUNTIF(E61:AI61,KH_MA),KH_CTL)/GIO_CONG)</f>
        <v/>
      </c>
      <c r="AQ61" s="16"/>
      <c r="AR61" s="16"/>
      <c r="AS61" s="16"/>
    </row>
    <row r="62" customFormat="false" ht="15" hidden="false" customHeight="false" outlineLevel="0" collapsed="false">
      <c r="A62" s="18" t="str">
        <f aca="false">IF(B62="","",ROW()-5)</f>
        <v/>
      </c>
      <c r="B62" s="16"/>
      <c r="C62" s="18" t="str">
        <f aca="false">IF(B62="","",IFERROR(INDEX(NV_TEN,MATCH(B62,NV_MA,0)),"MÃ KHÔNG CÓ"))</f>
        <v/>
      </c>
      <c r="D62" s="18" t="str">
        <f aca="false">IF(B62="","",IFERROR(INDEX(NV_PN,MATCH(B62,NV_MA,0)),""))</f>
        <v/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4" t="str">
        <f aca="false">IF(B62="","",SUM(E62:AI62)+SUMPRODUCT(COUNTIF(E62:AI62,KH_MA),KH_LUONG))</f>
        <v/>
      </c>
      <c r="AK62" s="25" t="str">
        <f aca="false">IF(B62="","",AJ62/GIO_CONG)</f>
        <v/>
      </c>
      <c r="AL62" s="26" t="str">
        <f aca="false">IF(B62="","",SUMPRODUCT(COUNTIF(E62:AI62,KH_MA),KH_PHEP)/GIO_CONG)</f>
        <v/>
      </c>
      <c r="AM62" s="26" t="str">
        <f aca="false">IF(B62="","",SUMPRODUCT(COUNTIF(E62:AI62,KH_MA),KH_LE)/GIO_CONG)</f>
        <v/>
      </c>
      <c r="AN62" s="26" t="str">
        <f aca="false">IF(B62="","",SUMPRODUCT(COUNTIF(E62:AI62,KH_MA),KH_LEDL))</f>
        <v/>
      </c>
      <c r="AO62" s="26" t="str">
        <f aca="false">IF(B62="","",SUMPRODUCT(COUNTIF(E62:AI62,KH_MA),KH_CD)/GIO_CONG)</f>
        <v/>
      </c>
      <c r="AP62" s="26" t="str">
        <f aca="false">IF(B62="","",SUMPRODUCT(COUNTIF(E62:AI62,KH_MA),KH_CTL)/GIO_CONG)</f>
        <v/>
      </c>
      <c r="AQ62" s="16"/>
      <c r="AR62" s="16"/>
      <c r="AS62" s="16"/>
    </row>
    <row r="63" customFormat="false" ht="15" hidden="false" customHeight="false" outlineLevel="0" collapsed="false">
      <c r="A63" s="18" t="str">
        <f aca="false">IF(B63="","",ROW()-5)</f>
        <v/>
      </c>
      <c r="B63" s="16"/>
      <c r="C63" s="18" t="str">
        <f aca="false">IF(B63="","",IFERROR(INDEX(NV_TEN,MATCH(B63,NV_MA,0)),"MÃ KHÔNG CÓ"))</f>
        <v/>
      </c>
      <c r="D63" s="18" t="str">
        <f aca="false">IF(B63="","",IFERROR(INDEX(NV_PN,MATCH(B63,NV_MA,0)),""))</f>
        <v/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4" t="str">
        <f aca="false">IF(B63="","",SUM(E63:AI63)+SUMPRODUCT(COUNTIF(E63:AI63,KH_MA),KH_LUONG))</f>
        <v/>
      </c>
      <c r="AK63" s="25" t="str">
        <f aca="false">IF(B63="","",AJ63/GIO_CONG)</f>
        <v/>
      </c>
      <c r="AL63" s="26" t="str">
        <f aca="false">IF(B63="","",SUMPRODUCT(COUNTIF(E63:AI63,KH_MA),KH_PHEP)/GIO_CONG)</f>
        <v/>
      </c>
      <c r="AM63" s="26" t="str">
        <f aca="false">IF(B63="","",SUMPRODUCT(COUNTIF(E63:AI63,KH_MA),KH_LE)/GIO_CONG)</f>
        <v/>
      </c>
      <c r="AN63" s="26" t="str">
        <f aca="false">IF(B63="","",SUMPRODUCT(COUNTIF(E63:AI63,KH_MA),KH_LEDL))</f>
        <v/>
      </c>
      <c r="AO63" s="26" t="str">
        <f aca="false">IF(B63="","",SUMPRODUCT(COUNTIF(E63:AI63,KH_MA),KH_CD)/GIO_CONG)</f>
        <v/>
      </c>
      <c r="AP63" s="26" t="str">
        <f aca="false">IF(B63="","",SUMPRODUCT(COUNTIF(E63:AI63,KH_MA),KH_CTL)/GIO_CONG)</f>
        <v/>
      </c>
      <c r="AQ63" s="16"/>
      <c r="AR63" s="16"/>
      <c r="AS63" s="16"/>
    </row>
    <row r="64" customFormat="false" ht="15" hidden="false" customHeight="false" outlineLevel="0" collapsed="false">
      <c r="A64" s="18" t="str">
        <f aca="false">IF(B64="","",ROW()-5)</f>
        <v/>
      </c>
      <c r="B64" s="16"/>
      <c r="C64" s="18" t="str">
        <f aca="false">IF(B64="","",IFERROR(INDEX(NV_TEN,MATCH(B64,NV_MA,0)),"MÃ KHÔNG CÓ"))</f>
        <v/>
      </c>
      <c r="D64" s="18" t="str">
        <f aca="false">IF(B64="","",IFERROR(INDEX(NV_PN,MATCH(B64,NV_MA,0)),""))</f>
        <v/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4" t="str">
        <f aca="false">IF(B64="","",SUM(E64:AI64)+SUMPRODUCT(COUNTIF(E64:AI64,KH_MA),KH_LUONG))</f>
        <v/>
      </c>
      <c r="AK64" s="25" t="str">
        <f aca="false">IF(B64="","",AJ64/GIO_CONG)</f>
        <v/>
      </c>
      <c r="AL64" s="26" t="str">
        <f aca="false">IF(B64="","",SUMPRODUCT(COUNTIF(E64:AI64,KH_MA),KH_PHEP)/GIO_CONG)</f>
        <v/>
      </c>
      <c r="AM64" s="26" t="str">
        <f aca="false">IF(B64="","",SUMPRODUCT(COUNTIF(E64:AI64,KH_MA),KH_LE)/GIO_CONG)</f>
        <v/>
      </c>
      <c r="AN64" s="26" t="str">
        <f aca="false">IF(B64="","",SUMPRODUCT(COUNTIF(E64:AI64,KH_MA),KH_LEDL))</f>
        <v/>
      </c>
      <c r="AO64" s="26" t="str">
        <f aca="false">IF(B64="","",SUMPRODUCT(COUNTIF(E64:AI64,KH_MA),KH_CD)/GIO_CONG)</f>
        <v/>
      </c>
      <c r="AP64" s="26" t="str">
        <f aca="false">IF(B64="","",SUMPRODUCT(COUNTIF(E64:AI64,KH_MA),KH_CTL)/GIO_CONG)</f>
        <v/>
      </c>
      <c r="AQ64" s="16"/>
      <c r="AR64" s="16"/>
      <c r="AS64" s="16"/>
    </row>
    <row r="65" customFormat="false" ht="15" hidden="false" customHeight="false" outlineLevel="0" collapsed="false">
      <c r="A65" s="18" t="str">
        <f aca="false">IF(B65="","",ROW()-5)</f>
        <v/>
      </c>
      <c r="B65" s="16"/>
      <c r="C65" s="18" t="str">
        <f aca="false">IF(B65="","",IFERROR(INDEX(NV_TEN,MATCH(B65,NV_MA,0)),"MÃ KHÔNG CÓ"))</f>
        <v/>
      </c>
      <c r="D65" s="18" t="str">
        <f aca="false">IF(B65="","",IFERROR(INDEX(NV_PN,MATCH(B65,NV_MA,0)),""))</f>
        <v/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4" t="str">
        <f aca="false">IF(B65="","",SUM(E65:AI65)+SUMPRODUCT(COUNTIF(E65:AI65,KH_MA),KH_LUONG))</f>
        <v/>
      </c>
      <c r="AK65" s="25" t="str">
        <f aca="false">IF(B65="","",AJ65/GIO_CONG)</f>
        <v/>
      </c>
      <c r="AL65" s="26" t="str">
        <f aca="false">IF(B65="","",SUMPRODUCT(COUNTIF(E65:AI65,KH_MA),KH_PHEP)/GIO_CONG)</f>
        <v/>
      </c>
      <c r="AM65" s="26" t="str">
        <f aca="false">IF(B65="","",SUMPRODUCT(COUNTIF(E65:AI65,KH_MA),KH_LE)/GIO_CONG)</f>
        <v/>
      </c>
      <c r="AN65" s="26" t="str">
        <f aca="false">IF(B65="","",SUMPRODUCT(COUNTIF(E65:AI65,KH_MA),KH_LEDL))</f>
        <v/>
      </c>
      <c r="AO65" s="26" t="str">
        <f aca="false">IF(B65="","",SUMPRODUCT(COUNTIF(E65:AI65,KH_MA),KH_CD)/GIO_CONG)</f>
        <v/>
      </c>
      <c r="AP65" s="26" t="str">
        <f aca="false">IF(B65="","",SUMPRODUCT(COUNTIF(E65:AI65,KH_MA),KH_CTL)/GIO_CONG)</f>
        <v/>
      </c>
      <c r="AQ65" s="16"/>
      <c r="AR65" s="16"/>
      <c r="AS65" s="16"/>
    </row>
    <row r="66" customFormat="false" ht="15" hidden="false" customHeight="false" outlineLevel="0" collapsed="false">
      <c r="A66" s="18" t="str">
        <f aca="false">IF(B66="","",ROW()-5)</f>
        <v/>
      </c>
      <c r="B66" s="16"/>
      <c r="C66" s="18" t="str">
        <f aca="false">IF(B66="","",IFERROR(INDEX(NV_TEN,MATCH(B66,NV_MA,0)),"MÃ KHÔNG CÓ"))</f>
        <v/>
      </c>
      <c r="D66" s="18" t="str">
        <f aca="false">IF(B66="","",IFERROR(INDEX(NV_PN,MATCH(B66,NV_MA,0)),""))</f>
        <v/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 t="str">
        <f aca="false">IF(B66="","",SUM(E66:AI66)+SUMPRODUCT(COUNTIF(E66:AI66,KH_MA),KH_LUONG))</f>
        <v/>
      </c>
      <c r="AK66" s="25" t="str">
        <f aca="false">IF(B66="","",AJ66/GIO_CONG)</f>
        <v/>
      </c>
      <c r="AL66" s="26" t="str">
        <f aca="false">IF(B66="","",SUMPRODUCT(COUNTIF(E66:AI66,KH_MA),KH_PHEP)/GIO_CONG)</f>
        <v/>
      </c>
      <c r="AM66" s="26" t="str">
        <f aca="false">IF(B66="","",SUMPRODUCT(COUNTIF(E66:AI66,KH_MA),KH_LE)/GIO_CONG)</f>
        <v/>
      </c>
      <c r="AN66" s="26" t="str">
        <f aca="false">IF(B66="","",SUMPRODUCT(COUNTIF(E66:AI66,KH_MA),KH_LEDL))</f>
        <v/>
      </c>
      <c r="AO66" s="26" t="str">
        <f aca="false">IF(B66="","",SUMPRODUCT(COUNTIF(E66:AI66,KH_MA),KH_CD)/GIO_CONG)</f>
        <v/>
      </c>
      <c r="AP66" s="26" t="str">
        <f aca="false">IF(B66="","",SUMPRODUCT(COUNTIF(E66:AI66,KH_MA),KH_CTL)/GIO_CONG)</f>
        <v/>
      </c>
      <c r="AQ66" s="16"/>
      <c r="AR66" s="16"/>
      <c r="AS66" s="16"/>
    </row>
    <row r="67" customFormat="false" ht="15" hidden="false" customHeight="false" outlineLevel="0" collapsed="false">
      <c r="A67" s="18" t="str">
        <f aca="false">IF(B67="","",ROW()-5)</f>
        <v/>
      </c>
      <c r="B67" s="16"/>
      <c r="C67" s="18" t="str">
        <f aca="false">IF(B67="","",IFERROR(INDEX(NV_TEN,MATCH(B67,NV_MA,0)),"MÃ KHÔNG CÓ"))</f>
        <v/>
      </c>
      <c r="D67" s="18" t="str">
        <f aca="false">IF(B67="","",IFERROR(INDEX(NV_PN,MATCH(B67,NV_MA,0)),""))</f>
        <v/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4" t="str">
        <f aca="false">IF(B67="","",SUM(E67:AI67)+SUMPRODUCT(COUNTIF(E67:AI67,KH_MA),KH_LUONG))</f>
        <v/>
      </c>
      <c r="AK67" s="25" t="str">
        <f aca="false">IF(B67="","",AJ67/GIO_CONG)</f>
        <v/>
      </c>
      <c r="AL67" s="26" t="str">
        <f aca="false">IF(B67="","",SUMPRODUCT(COUNTIF(E67:AI67,KH_MA),KH_PHEP)/GIO_CONG)</f>
        <v/>
      </c>
      <c r="AM67" s="26" t="str">
        <f aca="false">IF(B67="","",SUMPRODUCT(COUNTIF(E67:AI67,KH_MA),KH_LE)/GIO_CONG)</f>
        <v/>
      </c>
      <c r="AN67" s="26" t="str">
        <f aca="false">IF(B67="","",SUMPRODUCT(COUNTIF(E67:AI67,KH_MA),KH_LEDL))</f>
        <v/>
      </c>
      <c r="AO67" s="26" t="str">
        <f aca="false">IF(B67="","",SUMPRODUCT(COUNTIF(E67:AI67,KH_MA),KH_CD)/GIO_CONG)</f>
        <v/>
      </c>
      <c r="AP67" s="26" t="str">
        <f aca="false">IF(B67="","",SUMPRODUCT(COUNTIF(E67:AI67,KH_MA),KH_CTL)/GIO_CONG)</f>
        <v/>
      </c>
      <c r="AQ67" s="16"/>
      <c r="AR67" s="16"/>
      <c r="AS67" s="16"/>
    </row>
    <row r="68" customFormat="false" ht="15" hidden="false" customHeight="false" outlineLevel="0" collapsed="false">
      <c r="A68" s="18" t="str">
        <f aca="false">IF(B68="","",ROW()-5)</f>
        <v/>
      </c>
      <c r="B68" s="16"/>
      <c r="C68" s="18" t="str">
        <f aca="false">IF(B68="","",IFERROR(INDEX(NV_TEN,MATCH(B68,NV_MA,0)),"MÃ KHÔNG CÓ"))</f>
        <v/>
      </c>
      <c r="D68" s="18" t="str">
        <f aca="false">IF(B68="","",IFERROR(INDEX(NV_PN,MATCH(B68,NV_MA,0)),""))</f>
        <v/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4" t="str">
        <f aca="false">IF(B68="","",SUM(E68:AI68)+SUMPRODUCT(COUNTIF(E68:AI68,KH_MA),KH_LUONG))</f>
        <v/>
      </c>
      <c r="AK68" s="25" t="str">
        <f aca="false">IF(B68="","",AJ68/GIO_CONG)</f>
        <v/>
      </c>
      <c r="AL68" s="26" t="str">
        <f aca="false">IF(B68="","",SUMPRODUCT(COUNTIF(E68:AI68,KH_MA),KH_PHEP)/GIO_CONG)</f>
        <v/>
      </c>
      <c r="AM68" s="26" t="str">
        <f aca="false">IF(B68="","",SUMPRODUCT(COUNTIF(E68:AI68,KH_MA),KH_LE)/GIO_CONG)</f>
        <v/>
      </c>
      <c r="AN68" s="26" t="str">
        <f aca="false">IF(B68="","",SUMPRODUCT(COUNTIF(E68:AI68,KH_MA),KH_LEDL))</f>
        <v/>
      </c>
      <c r="AO68" s="26" t="str">
        <f aca="false">IF(B68="","",SUMPRODUCT(COUNTIF(E68:AI68,KH_MA),KH_CD)/GIO_CONG)</f>
        <v/>
      </c>
      <c r="AP68" s="26" t="str">
        <f aca="false">IF(B68="","",SUMPRODUCT(COUNTIF(E68:AI68,KH_MA),KH_CTL)/GIO_CONG)</f>
        <v/>
      </c>
      <c r="AQ68" s="16"/>
      <c r="AR68" s="16"/>
      <c r="AS68" s="16"/>
    </row>
    <row r="69" customFormat="false" ht="15" hidden="false" customHeight="false" outlineLevel="0" collapsed="false">
      <c r="A69" s="18" t="str">
        <f aca="false">IF(B69="","",ROW()-5)</f>
        <v/>
      </c>
      <c r="B69" s="16"/>
      <c r="C69" s="18" t="str">
        <f aca="false">IF(B69="","",IFERROR(INDEX(NV_TEN,MATCH(B69,NV_MA,0)),"MÃ KHÔNG CÓ"))</f>
        <v/>
      </c>
      <c r="D69" s="18" t="str">
        <f aca="false">IF(B69="","",IFERROR(INDEX(NV_PN,MATCH(B69,NV_MA,0)),""))</f>
        <v/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4" t="str">
        <f aca="false">IF(B69="","",SUM(E69:AI69)+SUMPRODUCT(COUNTIF(E69:AI69,KH_MA),KH_LUONG))</f>
        <v/>
      </c>
      <c r="AK69" s="25" t="str">
        <f aca="false">IF(B69="","",AJ69/GIO_CONG)</f>
        <v/>
      </c>
      <c r="AL69" s="26" t="str">
        <f aca="false">IF(B69="","",SUMPRODUCT(COUNTIF(E69:AI69,KH_MA),KH_PHEP)/GIO_CONG)</f>
        <v/>
      </c>
      <c r="AM69" s="26" t="str">
        <f aca="false">IF(B69="","",SUMPRODUCT(COUNTIF(E69:AI69,KH_MA),KH_LE)/GIO_CONG)</f>
        <v/>
      </c>
      <c r="AN69" s="26" t="str">
        <f aca="false">IF(B69="","",SUMPRODUCT(COUNTIF(E69:AI69,KH_MA),KH_LEDL))</f>
        <v/>
      </c>
      <c r="AO69" s="26" t="str">
        <f aca="false">IF(B69="","",SUMPRODUCT(COUNTIF(E69:AI69,KH_MA),KH_CD)/GIO_CONG)</f>
        <v/>
      </c>
      <c r="AP69" s="26" t="str">
        <f aca="false">IF(B69="","",SUMPRODUCT(COUNTIF(E69:AI69,KH_MA),KH_CTL)/GIO_CONG)</f>
        <v/>
      </c>
      <c r="AQ69" s="16"/>
      <c r="AR69" s="16"/>
      <c r="AS69" s="16"/>
    </row>
    <row r="70" customFormat="false" ht="15" hidden="false" customHeight="false" outlineLevel="0" collapsed="false">
      <c r="A70" s="18" t="str">
        <f aca="false">IF(B70="","",ROW()-5)</f>
        <v/>
      </c>
      <c r="B70" s="16"/>
      <c r="C70" s="18" t="str">
        <f aca="false">IF(B70="","",IFERROR(INDEX(NV_TEN,MATCH(B70,NV_MA,0)),"MÃ KHÔNG CÓ"))</f>
        <v/>
      </c>
      <c r="D70" s="18" t="str">
        <f aca="false">IF(B70="","",IFERROR(INDEX(NV_PN,MATCH(B70,NV_MA,0)),""))</f>
        <v/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4" t="str">
        <f aca="false">IF(B70="","",SUM(E70:AI70)+SUMPRODUCT(COUNTIF(E70:AI70,KH_MA),KH_LUONG))</f>
        <v/>
      </c>
      <c r="AK70" s="25" t="str">
        <f aca="false">IF(B70="","",AJ70/GIO_CONG)</f>
        <v/>
      </c>
      <c r="AL70" s="26" t="str">
        <f aca="false">IF(B70="","",SUMPRODUCT(COUNTIF(E70:AI70,KH_MA),KH_PHEP)/GIO_CONG)</f>
        <v/>
      </c>
      <c r="AM70" s="26" t="str">
        <f aca="false">IF(B70="","",SUMPRODUCT(COUNTIF(E70:AI70,KH_MA),KH_LE)/GIO_CONG)</f>
        <v/>
      </c>
      <c r="AN70" s="26" t="str">
        <f aca="false">IF(B70="","",SUMPRODUCT(COUNTIF(E70:AI70,KH_MA),KH_LEDL))</f>
        <v/>
      </c>
      <c r="AO70" s="26" t="str">
        <f aca="false">IF(B70="","",SUMPRODUCT(COUNTIF(E70:AI70,KH_MA),KH_CD)/GIO_CONG)</f>
        <v/>
      </c>
      <c r="AP70" s="26" t="str">
        <f aca="false">IF(B70="","",SUMPRODUCT(COUNTIF(E70:AI70,KH_MA),KH_CTL)/GIO_CONG)</f>
        <v/>
      </c>
      <c r="AQ70" s="16"/>
      <c r="AR70" s="16"/>
      <c r="AS70" s="16"/>
    </row>
    <row r="71" customFormat="false" ht="15" hidden="false" customHeight="false" outlineLevel="0" collapsed="false">
      <c r="A71" s="18" t="str">
        <f aca="false">IF(B71="","",ROW()-5)</f>
        <v/>
      </c>
      <c r="B71" s="16"/>
      <c r="C71" s="18" t="str">
        <f aca="false">IF(B71="","",IFERROR(INDEX(NV_TEN,MATCH(B71,NV_MA,0)),"MÃ KHÔNG CÓ"))</f>
        <v/>
      </c>
      <c r="D71" s="18" t="str">
        <f aca="false">IF(B71="","",IFERROR(INDEX(NV_PN,MATCH(B71,NV_MA,0)),""))</f>
        <v/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4" t="str">
        <f aca="false">IF(B71="","",SUM(E71:AI71)+SUMPRODUCT(COUNTIF(E71:AI71,KH_MA),KH_LUONG))</f>
        <v/>
      </c>
      <c r="AK71" s="25" t="str">
        <f aca="false">IF(B71="","",AJ71/GIO_CONG)</f>
        <v/>
      </c>
      <c r="AL71" s="26" t="str">
        <f aca="false">IF(B71="","",SUMPRODUCT(COUNTIF(E71:AI71,KH_MA),KH_PHEP)/GIO_CONG)</f>
        <v/>
      </c>
      <c r="AM71" s="26" t="str">
        <f aca="false">IF(B71="","",SUMPRODUCT(COUNTIF(E71:AI71,KH_MA),KH_LE)/GIO_CONG)</f>
        <v/>
      </c>
      <c r="AN71" s="26" t="str">
        <f aca="false">IF(B71="","",SUMPRODUCT(COUNTIF(E71:AI71,KH_MA),KH_LEDL))</f>
        <v/>
      </c>
      <c r="AO71" s="26" t="str">
        <f aca="false">IF(B71="","",SUMPRODUCT(COUNTIF(E71:AI71,KH_MA),KH_CD)/GIO_CONG)</f>
        <v/>
      </c>
      <c r="AP71" s="26" t="str">
        <f aca="false">IF(B71="","",SUMPRODUCT(COUNTIF(E71:AI71,KH_MA),KH_CTL)/GIO_CONG)</f>
        <v/>
      </c>
      <c r="AQ71" s="16"/>
      <c r="AR71" s="16"/>
      <c r="AS71" s="16"/>
    </row>
    <row r="72" customFormat="false" ht="15" hidden="false" customHeight="false" outlineLevel="0" collapsed="false">
      <c r="A72" s="18" t="str">
        <f aca="false">IF(B72="","",ROW()-5)</f>
        <v/>
      </c>
      <c r="B72" s="16"/>
      <c r="C72" s="18" t="str">
        <f aca="false">IF(B72="","",IFERROR(INDEX(NV_TEN,MATCH(B72,NV_MA,0)),"MÃ KHÔNG CÓ"))</f>
        <v/>
      </c>
      <c r="D72" s="18" t="str">
        <f aca="false">IF(B72="","",IFERROR(INDEX(NV_PN,MATCH(B72,NV_MA,0)),""))</f>
        <v/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 t="str">
        <f aca="false">IF(B72="","",SUM(E72:AI72)+SUMPRODUCT(COUNTIF(E72:AI72,KH_MA),KH_LUONG))</f>
        <v/>
      </c>
      <c r="AK72" s="25" t="str">
        <f aca="false">IF(B72="","",AJ72/GIO_CONG)</f>
        <v/>
      </c>
      <c r="AL72" s="26" t="str">
        <f aca="false">IF(B72="","",SUMPRODUCT(COUNTIF(E72:AI72,KH_MA),KH_PHEP)/GIO_CONG)</f>
        <v/>
      </c>
      <c r="AM72" s="26" t="str">
        <f aca="false">IF(B72="","",SUMPRODUCT(COUNTIF(E72:AI72,KH_MA),KH_LE)/GIO_CONG)</f>
        <v/>
      </c>
      <c r="AN72" s="26" t="str">
        <f aca="false">IF(B72="","",SUMPRODUCT(COUNTIF(E72:AI72,KH_MA),KH_LEDL))</f>
        <v/>
      </c>
      <c r="AO72" s="26" t="str">
        <f aca="false">IF(B72="","",SUMPRODUCT(COUNTIF(E72:AI72,KH_MA),KH_CD)/GIO_CONG)</f>
        <v/>
      </c>
      <c r="AP72" s="26" t="str">
        <f aca="false">IF(B72="","",SUMPRODUCT(COUNTIF(E72:AI72,KH_MA),KH_CTL)/GIO_CONG)</f>
        <v/>
      </c>
      <c r="AQ72" s="16"/>
      <c r="AR72" s="16"/>
      <c r="AS72" s="16"/>
    </row>
    <row r="73" customFormat="false" ht="15" hidden="false" customHeight="false" outlineLevel="0" collapsed="false">
      <c r="A73" s="18" t="str">
        <f aca="false">IF(B73="","",ROW()-5)</f>
        <v/>
      </c>
      <c r="B73" s="16"/>
      <c r="C73" s="18" t="str">
        <f aca="false">IF(B73="","",IFERROR(INDEX(NV_TEN,MATCH(B73,NV_MA,0)),"MÃ KHÔNG CÓ"))</f>
        <v/>
      </c>
      <c r="D73" s="18" t="str">
        <f aca="false">IF(B73="","",IFERROR(INDEX(NV_PN,MATCH(B73,NV_MA,0)),""))</f>
        <v/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4" t="str">
        <f aca="false">IF(B73="","",SUM(E73:AI73)+SUMPRODUCT(COUNTIF(E73:AI73,KH_MA),KH_LUONG))</f>
        <v/>
      </c>
      <c r="AK73" s="25" t="str">
        <f aca="false">IF(B73="","",AJ73/GIO_CONG)</f>
        <v/>
      </c>
      <c r="AL73" s="26" t="str">
        <f aca="false">IF(B73="","",SUMPRODUCT(COUNTIF(E73:AI73,KH_MA),KH_PHEP)/GIO_CONG)</f>
        <v/>
      </c>
      <c r="AM73" s="26" t="str">
        <f aca="false">IF(B73="","",SUMPRODUCT(COUNTIF(E73:AI73,KH_MA),KH_LE)/GIO_CONG)</f>
        <v/>
      </c>
      <c r="AN73" s="26" t="str">
        <f aca="false">IF(B73="","",SUMPRODUCT(COUNTIF(E73:AI73,KH_MA),KH_LEDL))</f>
        <v/>
      </c>
      <c r="AO73" s="26" t="str">
        <f aca="false">IF(B73="","",SUMPRODUCT(COUNTIF(E73:AI73,KH_MA),KH_CD)/GIO_CONG)</f>
        <v/>
      </c>
      <c r="AP73" s="26" t="str">
        <f aca="false">IF(B73="","",SUMPRODUCT(COUNTIF(E73:AI73,KH_MA),KH_CTL)/GIO_CONG)</f>
        <v/>
      </c>
      <c r="AQ73" s="16"/>
      <c r="AR73" s="16"/>
      <c r="AS73" s="16"/>
    </row>
    <row r="74" customFormat="false" ht="15" hidden="false" customHeight="false" outlineLevel="0" collapsed="false">
      <c r="A74" s="18" t="str">
        <f aca="false">IF(B74="","",ROW()-5)</f>
        <v/>
      </c>
      <c r="B74" s="16"/>
      <c r="C74" s="18" t="str">
        <f aca="false">IF(B74="","",IFERROR(INDEX(NV_TEN,MATCH(B74,NV_MA,0)),"MÃ KHÔNG CÓ"))</f>
        <v/>
      </c>
      <c r="D74" s="18" t="str">
        <f aca="false">IF(B74="","",IFERROR(INDEX(NV_PN,MATCH(B74,NV_MA,0)),""))</f>
        <v/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4" t="str">
        <f aca="false">IF(B74="","",SUM(E74:AI74)+SUMPRODUCT(COUNTIF(E74:AI74,KH_MA),KH_LUONG))</f>
        <v/>
      </c>
      <c r="AK74" s="25" t="str">
        <f aca="false">IF(B74="","",AJ74/GIO_CONG)</f>
        <v/>
      </c>
      <c r="AL74" s="26" t="str">
        <f aca="false">IF(B74="","",SUMPRODUCT(COUNTIF(E74:AI74,KH_MA),KH_PHEP)/GIO_CONG)</f>
        <v/>
      </c>
      <c r="AM74" s="26" t="str">
        <f aca="false">IF(B74="","",SUMPRODUCT(COUNTIF(E74:AI74,KH_MA),KH_LE)/GIO_CONG)</f>
        <v/>
      </c>
      <c r="AN74" s="26" t="str">
        <f aca="false">IF(B74="","",SUMPRODUCT(COUNTIF(E74:AI74,KH_MA),KH_LEDL))</f>
        <v/>
      </c>
      <c r="AO74" s="26" t="str">
        <f aca="false">IF(B74="","",SUMPRODUCT(COUNTIF(E74:AI74,KH_MA),KH_CD)/GIO_CONG)</f>
        <v/>
      </c>
      <c r="AP74" s="26" t="str">
        <f aca="false">IF(B74="","",SUMPRODUCT(COUNTIF(E74:AI74,KH_MA),KH_CTL)/GIO_CONG)</f>
        <v/>
      </c>
      <c r="AQ74" s="16"/>
      <c r="AR74" s="16"/>
      <c r="AS74" s="16"/>
    </row>
    <row r="75" customFormat="false" ht="15" hidden="false" customHeight="false" outlineLevel="0" collapsed="false">
      <c r="A75" s="18" t="str">
        <f aca="false">IF(B75="","",ROW()-5)</f>
        <v/>
      </c>
      <c r="B75" s="16"/>
      <c r="C75" s="18" t="str">
        <f aca="false">IF(B75="","",IFERROR(INDEX(NV_TEN,MATCH(B75,NV_MA,0)),"MÃ KHÔNG CÓ"))</f>
        <v/>
      </c>
      <c r="D75" s="18" t="str">
        <f aca="false">IF(B75="","",IFERROR(INDEX(NV_PN,MATCH(B75,NV_MA,0)),""))</f>
        <v/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 t="str">
        <f aca="false">IF(B75="","",SUM(E75:AI75)+SUMPRODUCT(COUNTIF(E75:AI75,KH_MA),KH_LUONG))</f>
        <v/>
      </c>
      <c r="AK75" s="25" t="str">
        <f aca="false">IF(B75="","",AJ75/GIO_CONG)</f>
        <v/>
      </c>
      <c r="AL75" s="26" t="str">
        <f aca="false">IF(B75="","",SUMPRODUCT(COUNTIF(E75:AI75,KH_MA),KH_PHEP)/GIO_CONG)</f>
        <v/>
      </c>
      <c r="AM75" s="26" t="str">
        <f aca="false">IF(B75="","",SUMPRODUCT(COUNTIF(E75:AI75,KH_MA),KH_LE)/GIO_CONG)</f>
        <v/>
      </c>
      <c r="AN75" s="26" t="str">
        <f aca="false">IF(B75="","",SUMPRODUCT(COUNTIF(E75:AI75,KH_MA),KH_LEDL))</f>
        <v/>
      </c>
      <c r="AO75" s="26" t="str">
        <f aca="false">IF(B75="","",SUMPRODUCT(COUNTIF(E75:AI75,KH_MA),KH_CD)/GIO_CONG)</f>
        <v/>
      </c>
      <c r="AP75" s="26" t="str">
        <f aca="false">IF(B75="","",SUMPRODUCT(COUNTIF(E75:AI75,KH_MA),KH_CTL)/GIO_CONG)</f>
        <v/>
      </c>
      <c r="AQ75" s="16"/>
      <c r="AR75" s="16"/>
      <c r="AS75" s="16"/>
    </row>
    <row r="76" customFormat="false" ht="15" hidden="false" customHeight="false" outlineLevel="0" collapsed="false">
      <c r="A76" s="18" t="str">
        <f aca="false">IF(B76="","",ROW()-5)</f>
        <v/>
      </c>
      <c r="B76" s="16"/>
      <c r="C76" s="18" t="str">
        <f aca="false">IF(B76="","",IFERROR(INDEX(NV_TEN,MATCH(B76,NV_MA,0)),"MÃ KHÔNG CÓ"))</f>
        <v/>
      </c>
      <c r="D76" s="18" t="str">
        <f aca="false">IF(B76="","",IFERROR(INDEX(NV_PN,MATCH(B76,NV_MA,0)),""))</f>
        <v/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4" t="str">
        <f aca="false">IF(B76="","",SUM(E76:AI76)+SUMPRODUCT(COUNTIF(E76:AI76,KH_MA),KH_LUONG))</f>
        <v/>
      </c>
      <c r="AK76" s="25" t="str">
        <f aca="false">IF(B76="","",AJ76/GIO_CONG)</f>
        <v/>
      </c>
      <c r="AL76" s="26" t="str">
        <f aca="false">IF(B76="","",SUMPRODUCT(COUNTIF(E76:AI76,KH_MA),KH_PHEP)/GIO_CONG)</f>
        <v/>
      </c>
      <c r="AM76" s="26" t="str">
        <f aca="false">IF(B76="","",SUMPRODUCT(COUNTIF(E76:AI76,KH_MA),KH_LE)/GIO_CONG)</f>
        <v/>
      </c>
      <c r="AN76" s="26" t="str">
        <f aca="false">IF(B76="","",SUMPRODUCT(COUNTIF(E76:AI76,KH_MA),KH_LEDL))</f>
        <v/>
      </c>
      <c r="AO76" s="26" t="str">
        <f aca="false">IF(B76="","",SUMPRODUCT(COUNTIF(E76:AI76,KH_MA),KH_CD)/GIO_CONG)</f>
        <v/>
      </c>
      <c r="AP76" s="26" t="str">
        <f aca="false">IF(B76="","",SUMPRODUCT(COUNTIF(E76:AI76,KH_MA),KH_CTL)/GIO_CONG)</f>
        <v/>
      </c>
      <c r="AQ76" s="16"/>
      <c r="AR76" s="16"/>
      <c r="AS76" s="16"/>
    </row>
    <row r="77" customFormat="false" ht="15" hidden="false" customHeight="false" outlineLevel="0" collapsed="false">
      <c r="A77" s="18" t="str">
        <f aca="false">IF(B77="","",ROW()-5)</f>
        <v/>
      </c>
      <c r="B77" s="16"/>
      <c r="C77" s="18" t="str">
        <f aca="false">IF(B77="","",IFERROR(INDEX(NV_TEN,MATCH(B77,NV_MA,0)),"MÃ KHÔNG CÓ"))</f>
        <v/>
      </c>
      <c r="D77" s="18" t="str">
        <f aca="false">IF(B77="","",IFERROR(INDEX(NV_PN,MATCH(B77,NV_MA,0)),""))</f>
        <v/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4" t="str">
        <f aca="false">IF(B77="","",SUM(E77:AI77)+SUMPRODUCT(COUNTIF(E77:AI77,KH_MA),KH_LUONG))</f>
        <v/>
      </c>
      <c r="AK77" s="25" t="str">
        <f aca="false">IF(B77="","",AJ77/GIO_CONG)</f>
        <v/>
      </c>
      <c r="AL77" s="26" t="str">
        <f aca="false">IF(B77="","",SUMPRODUCT(COUNTIF(E77:AI77,KH_MA),KH_PHEP)/GIO_CONG)</f>
        <v/>
      </c>
      <c r="AM77" s="26" t="str">
        <f aca="false">IF(B77="","",SUMPRODUCT(COUNTIF(E77:AI77,KH_MA),KH_LE)/GIO_CONG)</f>
        <v/>
      </c>
      <c r="AN77" s="26" t="str">
        <f aca="false">IF(B77="","",SUMPRODUCT(COUNTIF(E77:AI77,KH_MA),KH_LEDL))</f>
        <v/>
      </c>
      <c r="AO77" s="26" t="str">
        <f aca="false">IF(B77="","",SUMPRODUCT(COUNTIF(E77:AI77,KH_MA),KH_CD)/GIO_CONG)</f>
        <v/>
      </c>
      <c r="AP77" s="26" t="str">
        <f aca="false">IF(B77="","",SUMPRODUCT(COUNTIF(E77:AI77,KH_MA),KH_CTL)/GIO_CONG)</f>
        <v/>
      </c>
      <c r="AQ77" s="16"/>
      <c r="AR77" s="16"/>
      <c r="AS77" s="16"/>
    </row>
    <row r="78" customFormat="false" ht="15" hidden="false" customHeight="false" outlineLevel="0" collapsed="false">
      <c r="A78" s="18" t="str">
        <f aca="false">IF(B78="","",ROW()-5)</f>
        <v/>
      </c>
      <c r="B78" s="16"/>
      <c r="C78" s="18" t="str">
        <f aca="false">IF(B78="","",IFERROR(INDEX(NV_TEN,MATCH(B78,NV_MA,0)),"MÃ KHÔNG CÓ"))</f>
        <v/>
      </c>
      <c r="D78" s="18" t="str">
        <f aca="false">IF(B78="","",IFERROR(INDEX(NV_PN,MATCH(B78,NV_MA,0)),""))</f>
        <v/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4" t="str">
        <f aca="false">IF(B78="","",SUM(E78:AI78)+SUMPRODUCT(COUNTIF(E78:AI78,KH_MA),KH_LUONG))</f>
        <v/>
      </c>
      <c r="AK78" s="25" t="str">
        <f aca="false">IF(B78="","",AJ78/GIO_CONG)</f>
        <v/>
      </c>
      <c r="AL78" s="26" t="str">
        <f aca="false">IF(B78="","",SUMPRODUCT(COUNTIF(E78:AI78,KH_MA),KH_PHEP)/GIO_CONG)</f>
        <v/>
      </c>
      <c r="AM78" s="26" t="str">
        <f aca="false">IF(B78="","",SUMPRODUCT(COUNTIF(E78:AI78,KH_MA),KH_LE)/GIO_CONG)</f>
        <v/>
      </c>
      <c r="AN78" s="26" t="str">
        <f aca="false">IF(B78="","",SUMPRODUCT(COUNTIF(E78:AI78,KH_MA),KH_LEDL))</f>
        <v/>
      </c>
      <c r="AO78" s="26" t="str">
        <f aca="false">IF(B78="","",SUMPRODUCT(COUNTIF(E78:AI78,KH_MA),KH_CD)/GIO_CONG)</f>
        <v/>
      </c>
      <c r="AP78" s="26" t="str">
        <f aca="false">IF(B78="","",SUMPRODUCT(COUNTIF(E78:AI78,KH_MA),KH_CTL)/GIO_CONG)</f>
        <v/>
      </c>
      <c r="AQ78" s="16"/>
      <c r="AR78" s="16"/>
      <c r="AS78" s="16"/>
    </row>
    <row r="79" customFormat="false" ht="15" hidden="false" customHeight="false" outlineLevel="0" collapsed="false">
      <c r="A79" s="18" t="str">
        <f aca="false">IF(B79="","",ROW()-5)</f>
        <v/>
      </c>
      <c r="B79" s="16"/>
      <c r="C79" s="18" t="str">
        <f aca="false">IF(B79="","",IFERROR(INDEX(NV_TEN,MATCH(B79,NV_MA,0)),"MÃ KHÔNG CÓ"))</f>
        <v/>
      </c>
      <c r="D79" s="18" t="str">
        <f aca="false">IF(B79="","",IFERROR(INDEX(NV_PN,MATCH(B79,NV_MA,0)),""))</f>
        <v/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4" t="str">
        <f aca="false">IF(B79="","",SUM(E79:AI79)+SUMPRODUCT(COUNTIF(E79:AI79,KH_MA),KH_LUONG))</f>
        <v/>
      </c>
      <c r="AK79" s="25" t="str">
        <f aca="false">IF(B79="","",AJ79/GIO_CONG)</f>
        <v/>
      </c>
      <c r="AL79" s="26" t="str">
        <f aca="false">IF(B79="","",SUMPRODUCT(COUNTIF(E79:AI79,KH_MA),KH_PHEP)/GIO_CONG)</f>
        <v/>
      </c>
      <c r="AM79" s="26" t="str">
        <f aca="false">IF(B79="","",SUMPRODUCT(COUNTIF(E79:AI79,KH_MA),KH_LE)/GIO_CONG)</f>
        <v/>
      </c>
      <c r="AN79" s="26" t="str">
        <f aca="false">IF(B79="","",SUMPRODUCT(COUNTIF(E79:AI79,KH_MA),KH_LEDL))</f>
        <v/>
      </c>
      <c r="AO79" s="26" t="str">
        <f aca="false">IF(B79="","",SUMPRODUCT(COUNTIF(E79:AI79,KH_MA),KH_CD)/GIO_CONG)</f>
        <v/>
      </c>
      <c r="AP79" s="26" t="str">
        <f aca="false">IF(B79="","",SUMPRODUCT(COUNTIF(E79:AI79,KH_MA),KH_CTL)/GIO_CONG)</f>
        <v/>
      </c>
      <c r="AQ79" s="16"/>
      <c r="AR79" s="16"/>
      <c r="AS79" s="16"/>
    </row>
    <row r="80" customFormat="false" ht="15" hidden="false" customHeight="false" outlineLevel="0" collapsed="false">
      <c r="A80" s="18" t="str">
        <f aca="false">IF(B80="","",ROW()-5)</f>
        <v/>
      </c>
      <c r="B80" s="16"/>
      <c r="C80" s="18" t="str">
        <f aca="false">IF(B80="","",IFERROR(INDEX(NV_TEN,MATCH(B80,NV_MA,0)),"MÃ KHÔNG CÓ"))</f>
        <v/>
      </c>
      <c r="D80" s="18" t="str">
        <f aca="false">IF(B80="","",IFERROR(INDEX(NV_PN,MATCH(B80,NV_MA,0)),""))</f>
        <v/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4" t="str">
        <f aca="false">IF(B80="","",SUM(E80:AI80)+SUMPRODUCT(COUNTIF(E80:AI80,KH_MA),KH_LUONG))</f>
        <v/>
      </c>
      <c r="AK80" s="25" t="str">
        <f aca="false">IF(B80="","",AJ80/GIO_CONG)</f>
        <v/>
      </c>
      <c r="AL80" s="26" t="str">
        <f aca="false">IF(B80="","",SUMPRODUCT(COUNTIF(E80:AI80,KH_MA),KH_PHEP)/GIO_CONG)</f>
        <v/>
      </c>
      <c r="AM80" s="26" t="str">
        <f aca="false">IF(B80="","",SUMPRODUCT(COUNTIF(E80:AI80,KH_MA),KH_LE)/GIO_CONG)</f>
        <v/>
      </c>
      <c r="AN80" s="26" t="str">
        <f aca="false">IF(B80="","",SUMPRODUCT(COUNTIF(E80:AI80,KH_MA),KH_LEDL))</f>
        <v/>
      </c>
      <c r="AO80" s="26" t="str">
        <f aca="false">IF(B80="","",SUMPRODUCT(COUNTIF(E80:AI80,KH_MA),KH_CD)/GIO_CONG)</f>
        <v/>
      </c>
      <c r="AP80" s="26" t="str">
        <f aca="false">IF(B80="","",SUMPRODUCT(COUNTIF(E80:AI80,KH_MA),KH_CTL)/GIO_CONG)</f>
        <v/>
      </c>
      <c r="AQ80" s="16"/>
      <c r="AR80" s="16"/>
      <c r="AS80" s="16"/>
    </row>
    <row r="81" customFormat="false" ht="15" hidden="false" customHeight="false" outlineLevel="0" collapsed="false">
      <c r="A81" s="18" t="str">
        <f aca="false">IF(B81="","",ROW()-5)</f>
        <v/>
      </c>
      <c r="B81" s="16"/>
      <c r="C81" s="18" t="str">
        <f aca="false">IF(B81="","",IFERROR(INDEX(NV_TEN,MATCH(B81,NV_MA,0)),"MÃ KHÔNG CÓ"))</f>
        <v/>
      </c>
      <c r="D81" s="18" t="str">
        <f aca="false">IF(B81="","",IFERROR(INDEX(NV_PN,MATCH(B81,NV_MA,0)),""))</f>
        <v/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4" t="str">
        <f aca="false">IF(B81="","",SUM(E81:AI81)+SUMPRODUCT(COUNTIF(E81:AI81,KH_MA),KH_LUONG))</f>
        <v/>
      </c>
      <c r="AK81" s="25" t="str">
        <f aca="false">IF(B81="","",AJ81/GIO_CONG)</f>
        <v/>
      </c>
      <c r="AL81" s="26" t="str">
        <f aca="false">IF(B81="","",SUMPRODUCT(COUNTIF(E81:AI81,KH_MA),KH_PHEP)/GIO_CONG)</f>
        <v/>
      </c>
      <c r="AM81" s="26" t="str">
        <f aca="false">IF(B81="","",SUMPRODUCT(COUNTIF(E81:AI81,KH_MA),KH_LE)/GIO_CONG)</f>
        <v/>
      </c>
      <c r="AN81" s="26" t="str">
        <f aca="false">IF(B81="","",SUMPRODUCT(COUNTIF(E81:AI81,KH_MA),KH_LEDL))</f>
        <v/>
      </c>
      <c r="AO81" s="26" t="str">
        <f aca="false">IF(B81="","",SUMPRODUCT(COUNTIF(E81:AI81,KH_MA),KH_CD)/GIO_CONG)</f>
        <v/>
      </c>
      <c r="AP81" s="26" t="str">
        <f aca="false">IF(B81="","",SUMPRODUCT(COUNTIF(E81:AI81,KH_MA),KH_CTL)/GIO_CONG)</f>
        <v/>
      </c>
      <c r="AQ81" s="16"/>
      <c r="AR81" s="16"/>
      <c r="AS81" s="16"/>
    </row>
    <row r="82" customFormat="false" ht="15" hidden="false" customHeight="false" outlineLevel="0" collapsed="false">
      <c r="A82" s="18" t="str">
        <f aca="false">IF(B82="","",ROW()-5)</f>
        <v/>
      </c>
      <c r="B82" s="16"/>
      <c r="C82" s="18" t="str">
        <f aca="false">IF(B82="","",IFERROR(INDEX(NV_TEN,MATCH(B82,NV_MA,0)),"MÃ KHÔNG CÓ"))</f>
        <v/>
      </c>
      <c r="D82" s="18" t="str">
        <f aca="false">IF(B82="","",IFERROR(INDEX(NV_PN,MATCH(B82,NV_MA,0)),""))</f>
        <v/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4" t="str">
        <f aca="false">IF(B82="","",SUM(E82:AI82)+SUMPRODUCT(COUNTIF(E82:AI82,KH_MA),KH_LUONG))</f>
        <v/>
      </c>
      <c r="AK82" s="25" t="str">
        <f aca="false">IF(B82="","",AJ82/GIO_CONG)</f>
        <v/>
      </c>
      <c r="AL82" s="26" t="str">
        <f aca="false">IF(B82="","",SUMPRODUCT(COUNTIF(E82:AI82,KH_MA),KH_PHEP)/GIO_CONG)</f>
        <v/>
      </c>
      <c r="AM82" s="26" t="str">
        <f aca="false">IF(B82="","",SUMPRODUCT(COUNTIF(E82:AI82,KH_MA),KH_LE)/GIO_CONG)</f>
        <v/>
      </c>
      <c r="AN82" s="26" t="str">
        <f aca="false">IF(B82="","",SUMPRODUCT(COUNTIF(E82:AI82,KH_MA),KH_LEDL))</f>
        <v/>
      </c>
      <c r="AO82" s="26" t="str">
        <f aca="false">IF(B82="","",SUMPRODUCT(COUNTIF(E82:AI82,KH_MA),KH_CD)/GIO_CONG)</f>
        <v/>
      </c>
      <c r="AP82" s="26" t="str">
        <f aca="false">IF(B82="","",SUMPRODUCT(COUNTIF(E82:AI82,KH_MA),KH_CTL)/GIO_CONG)</f>
        <v/>
      </c>
      <c r="AQ82" s="16"/>
      <c r="AR82" s="16"/>
      <c r="AS82" s="16"/>
    </row>
    <row r="83" customFormat="false" ht="15" hidden="false" customHeight="false" outlineLevel="0" collapsed="false">
      <c r="A83" s="18" t="str">
        <f aca="false">IF(B83="","",ROW()-5)</f>
        <v/>
      </c>
      <c r="B83" s="16"/>
      <c r="C83" s="18" t="str">
        <f aca="false">IF(B83="","",IFERROR(INDEX(NV_TEN,MATCH(B83,NV_MA,0)),"MÃ KHÔNG CÓ"))</f>
        <v/>
      </c>
      <c r="D83" s="18" t="str">
        <f aca="false">IF(B83="","",IFERROR(INDEX(NV_PN,MATCH(B83,NV_MA,0)),""))</f>
        <v/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4" t="str">
        <f aca="false">IF(B83="","",SUM(E83:AI83)+SUMPRODUCT(COUNTIF(E83:AI83,KH_MA),KH_LUONG))</f>
        <v/>
      </c>
      <c r="AK83" s="25" t="str">
        <f aca="false">IF(B83="","",AJ83/GIO_CONG)</f>
        <v/>
      </c>
      <c r="AL83" s="26" t="str">
        <f aca="false">IF(B83="","",SUMPRODUCT(COUNTIF(E83:AI83,KH_MA),KH_PHEP)/GIO_CONG)</f>
        <v/>
      </c>
      <c r="AM83" s="26" t="str">
        <f aca="false">IF(B83="","",SUMPRODUCT(COUNTIF(E83:AI83,KH_MA),KH_LE)/GIO_CONG)</f>
        <v/>
      </c>
      <c r="AN83" s="26" t="str">
        <f aca="false">IF(B83="","",SUMPRODUCT(COUNTIF(E83:AI83,KH_MA),KH_LEDL))</f>
        <v/>
      </c>
      <c r="AO83" s="26" t="str">
        <f aca="false">IF(B83="","",SUMPRODUCT(COUNTIF(E83:AI83,KH_MA),KH_CD)/GIO_CONG)</f>
        <v/>
      </c>
      <c r="AP83" s="26" t="str">
        <f aca="false">IF(B83="","",SUMPRODUCT(COUNTIF(E83:AI83,KH_MA),KH_CTL)/GIO_CONG)</f>
        <v/>
      </c>
      <c r="AQ83" s="16"/>
      <c r="AR83" s="16"/>
      <c r="AS83" s="16"/>
    </row>
    <row r="84" customFormat="false" ht="15" hidden="false" customHeight="false" outlineLevel="0" collapsed="false">
      <c r="A84" s="18" t="str">
        <f aca="false">IF(B84="","",ROW()-5)</f>
        <v/>
      </c>
      <c r="B84" s="16"/>
      <c r="C84" s="18" t="str">
        <f aca="false">IF(B84="","",IFERROR(INDEX(NV_TEN,MATCH(B84,NV_MA,0)),"MÃ KHÔNG CÓ"))</f>
        <v/>
      </c>
      <c r="D84" s="18" t="str">
        <f aca="false">IF(B84="","",IFERROR(INDEX(NV_PN,MATCH(B84,NV_MA,0)),""))</f>
        <v/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4" t="str">
        <f aca="false">IF(B84="","",SUM(E84:AI84)+SUMPRODUCT(COUNTIF(E84:AI84,KH_MA),KH_LUONG))</f>
        <v/>
      </c>
      <c r="AK84" s="25" t="str">
        <f aca="false">IF(B84="","",AJ84/GIO_CONG)</f>
        <v/>
      </c>
      <c r="AL84" s="26" t="str">
        <f aca="false">IF(B84="","",SUMPRODUCT(COUNTIF(E84:AI84,KH_MA),KH_PHEP)/GIO_CONG)</f>
        <v/>
      </c>
      <c r="AM84" s="26" t="str">
        <f aca="false">IF(B84="","",SUMPRODUCT(COUNTIF(E84:AI84,KH_MA),KH_LE)/GIO_CONG)</f>
        <v/>
      </c>
      <c r="AN84" s="26" t="str">
        <f aca="false">IF(B84="","",SUMPRODUCT(COUNTIF(E84:AI84,KH_MA),KH_LEDL))</f>
        <v/>
      </c>
      <c r="AO84" s="26" t="str">
        <f aca="false">IF(B84="","",SUMPRODUCT(COUNTIF(E84:AI84,KH_MA),KH_CD)/GIO_CONG)</f>
        <v/>
      </c>
      <c r="AP84" s="26" t="str">
        <f aca="false">IF(B84="","",SUMPRODUCT(COUNTIF(E84:AI84,KH_MA),KH_CTL)/GIO_CONG)</f>
        <v/>
      </c>
      <c r="AQ84" s="16"/>
      <c r="AR84" s="16"/>
      <c r="AS84" s="16"/>
    </row>
    <row r="85" customFormat="false" ht="15" hidden="false" customHeight="false" outlineLevel="0" collapsed="false">
      <c r="A85" s="18" t="str">
        <f aca="false">IF(B85="","",ROW()-5)</f>
        <v/>
      </c>
      <c r="B85" s="16"/>
      <c r="C85" s="18" t="str">
        <f aca="false">IF(B85="","",IFERROR(INDEX(NV_TEN,MATCH(B85,NV_MA,0)),"MÃ KHÔNG CÓ"))</f>
        <v/>
      </c>
      <c r="D85" s="18" t="str">
        <f aca="false">IF(B85="","",IFERROR(INDEX(NV_PN,MATCH(B85,NV_MA,0)),""))</f>
        <v/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4" t="str">
        <f aca="false">IF(B85="","",SUM(E85:AI85)+SUMPRODUCT(COUNTIF(E85:AI85,KH_MA),KH_LUONG))</f>
        <v/>
      </c>
      <c r="AK85" s="25" t="str">
        <f aca="false">IF(B85="","",AJ85/GIO_CONG)</f>
        <v/>
      </c>
      <c r="AL85" s="26" t="str">
        <f aca="false">IF(B85="","",SUMPRODUCT(COUNTIF(E85:AI85,KH_MA),KH_PHEP)/GIO_CONG)</f>
        <v/>
      </c>
      <c r="AM85" s="26" t="str">
        <f aca="false">IF(B85="","",SUMPRODUCT(COUNTIF(E85:AI85,KH_MA),KH_LE)/GIO_CONG)</f>
        <v/>
      </c>
      <c r="AN85" s="26" t="str">
        <f aca="false">IF(B85="","",SUMPRODUCT(COUNTIF(E85:AI85,KH_MA),KH_LEDL))</f>
        <v/>
      </c>
      <c r="AO85" s="26" t="str">
        <f aca="false">IF(B85="","",SUMPRODUCT(COUNTIF(E85:AI85,KH_MA),KH_CD)/GIO_CONG)</f>
        <v/>
      </c>
      <c r="AP85" s="26" t="str">
        <f aca="false">IF(B85="","",SUMPRODUCT(COUNTIF(E85:AI85,KH_MA),KH_CTL)/GIO_CONG)</f>
        <v/>
      </c>
      <c r="AQ85" s="16"/>
      <c r="AR85" s="16"/>
      <c r="AS85" s="16"/>
    </row>
    <row r="86" customFormat="false" ht="15" hidden="false" customHeight="false" outlineLevel="0" collapsed="false">
      <c r="A86" s="18" t="str">
        <f aca="false">IF(B86="","",ROW()-5)</f>
        <v/>
      </c>
      <c r="B86" s="16"/>
      <c r="C86" s="18" t="str">
        <f aca="false">IF(B86="","",IFERROR(INDEX(NV_TEN,MATCH(B86,NV_MA,0)),"MÃ KHÔNG CÓ"))</f>
        <v/>
      </c>
      <c r="D86" s="18" t="str">
        <f aca="false">IF(B86="","",IFERROR(INDEX(NV_PN,MATCH(B86,NV_MA,0)),""))</f>
        <v/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4" t="str">
        <f aca="false">IF(B86="","",SUM(E86:AI86)+SUMPRODUCT(COUNTIF(E86:AI86,KH_MA),KH_LUONG))</f>
        <v/>
      </c>
      <c r="AK86" s="25" t="str">
        <f aca="false">IF(B86="","",AJ86/GIO_CONG)</f>
        <v/>
      </c>
      <c r="AL86" s="26" t="str">
        <f aca="false">IF(B86="","",SUMPRODUCT(COUNTIF(E86:AI86,KH_MA),KH_PHEP)/GIO_CONG)</f>
        <v/>
      </c>
      <c r="AM86" s="26" t="str">
        <f aca="false">IF(B86="","",SUMPRODUCT(COUNTIF(E86:AI86,KH_MA),KH_LE)/GIO_CONG)</f>
        <v/>
      </c>
      <c r="AN86" s="26" t="str">
        <f aca="false">IF(B86="","",SUMPRODUCT(COUNTIF(E86:AI86,KH_MA),KH_LEDL))</f>
        <v/>
      </c>
      <c r="AO86" s="26" t="str">
        <f aca="false">IF(B86="","",SUMPRODUCT(COUNTIF(E86:AI86,KH_MA),KH_CD)/GIO_CONG)</f>
        <v/>
      </c>
      <c r="AP86" s="26" t="str">
        <f aca="false">IF(B86="","",SUMPRODUCT(COUNTIF(E86:AI86,KH_MA),KH_CTL)/GIO_CONG)</f>
        <v/>
      </c>
      <c r="AQ86" s="16"/>
      <c r="AR86" s="16"/>
      <c r="AS86" s="16"/>
    </row>
    <row r="87" customFormat="false" ht="15" hidden="false" customHeight="false" outlineLevel="0" collapsed="false">
      <c r="A87" s="18" t="str">
        <f aca="false">IF(B87="","",ROW()-5)</f>
        <v/>
      </c>
      <c r="B87" s="16"/>
      <c r="C87" s="18" t="str">
        <f aca="false">IF(B87="","",IFERROR(INDEX(NV_TEN,MATCH(B87,NV_MA,0)),"MÃ KHÔNG CÓ"))</f>
        <v/>
      </c>
      <c r="D87" s="18" t="str">
        <f aca="false">IF(B87="","",IFERROR(INDEX(NV_PN,MATCH(B87,NV_MA,0)),""))</f>
        <v/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4" t="str">
        <f aca="false">IF(B87="","",SUM(E87:AI87)+SUMPRODUCT(COUNTIF(E87:AI87,KH_MA),KH_LUONG))</f>
        <v/>
      </c>
      <c r="AK87" s="25" t="str">
        <f aca="false">IF(B87="","",AJ87/GIO_CONG)</f>
        <v/>
      </c>
      <c r="AL87" s="26" t="str">
        <f aca="false">IF(B87="","",SUMPRODUCT(COUNTIF(E87:AI87,KH_MA),KH_PHEP)/GIO_CONG)</f>
        <v/>
      </c>
      <c r="AM87" s="26" t="str">
        <f aca="false">IF(B87="","",SUMPRODUCT(COUNTIF(E87:AI87,KH_MA),KH_LE)/GIO_CONG)</f>
        <v/>
      </c>
      <c r="AN87" s="26" t="str">
        <f aca="false">IF(B87="","",SUMPRODUCT(COUNTIF(E87:AI87,KH_MA),KH_LEDL))</f>
        <v/>
      </c>
      <c r="AO87" s="26" t="str">
        <f aca="false">IF(B87="","",SUMPRODUCT(COUNTIF(E87:AI87,KH_MA),KH_CD)/GIO_CONG)</f>
        <v/>
      </c>
      <c r="AP87" s="26" t="str">
        <f aca="false">IF(B87="","",SUMPRODUCT(COUNTIF(E87:AI87,KH_MA),KH_CTL)/GIO_CONG)</f>
        <v/>
      </c>
      <c r="AQ87" s="16"/>
      <c r="AR87" s="16"/>
      <c r="AS87" s="16"/>
    </row>
    <row r="88" customFormat="false" ht="15" hidden="false" customHeight="false" outlineLevel="0" collapsed="false">
      <c r="A88" s="18" t="str">
        <f aca="false">IF(B88="","",ROW()-5)</f>
        <v/>
      </c>
      <c r="B88" s="16"/>
      <c r="C88" s="18" t="str">
        <f aca="false">IF(B88="","",IFERROR(INDEX(NV_TEN,MATCH(B88,NV_MA,0)),"MÃ KHÔNG CÓ"))</f>
        <v/>
      </c>
      <c r="D88" s="18" t="str">
        <f aca="false">IF(B88="","",IFERROR(INDEX(NV_PN,MATCH(B88,NV_MA,0)),""))</f>
        <v/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4" t="str">
        <f aca="false">IF(B88="","",SUM(E88:AI88)+SUMPRODUCT(COUNTIF(E88:AI88,KH_MA),KH_LUONG))</f>
        <v/>
      </c>
      <c r="AK88" s="25" t="str">
        <f aca="false">IF(B88="","",AJ88/GIO_CONG)</f>
        <v/>
      </c>
      <c r="AL88" s="26" t="str">
        <f aca="false">IF(B88="","",SUMPRODUCT(COUNTIF(E88:AI88,KH_MA),KH_PHEP)/GIO_CONG)</f>
        <v/>
      </c>
      <c r="AM88" s="26" t="str">
        <f aca="false">IF(B88="","",SUMPRODUCT(COUNTIF(E88:AI88,KH_MA),KH_LE)/GIO_CONG)</f>
        <v/>
      </c>
      <c r="AN88" s="26" t="str">
        <f aca="false">IF(B88="","",SUMPRODUCT(COUNTIF(E88:AI88,KH_MA),KH_LEDL))</f>
        <v/>
      </c>
      <c r="AO88" s="26" t="str">
        <f aca="false">IF(B88="","",SUMPRODUCT(COUNTIF(E88:AI88,KH_MA),KH_CD)/GIO_CONG)</f>
        <v/>
      </c>
      <c r="AP88" s="26" t="str">
        <f aca="false">IF(B88="","",SUMPRODUCT(COUNTIF(E88:AI88,KH_MA),KH_CTL)/GIO_CONG)</f>
        <v/>
      </c>
      <c r="AQ88" s="16"/>
      <c r="AR88" s="16"/>
      <c r="AS88" s="16"/>
    </row>
    <row r="89" customFormat="false" ht="15" hidden="false" customHeight="false" outlineLevel="0" collapsed="false">
      <c r="A89" s="18" t="str">
        <f aca="false">IF(B89="","",ROW()-5)</f>
        <v/>
      </c>
      <c r="B89" s="16"/>
      <c r="C89" s="18" t="str">
        <f aca="false">IF(B89="","",IFERROR(INDEX(NV_TEN,MATCH(B89,NV_MA,0)),"MÃ KHÔNG CÓ"))</f>
        <v/>
      </c>
      <c r="D89" s="18" t="str">
        <f aca="false">IF(B89="","",IFERROR(INDEX(NV_PN,MATCH(B89,NV_MA,0)),""))</f>
        <v/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4" t="str">
        <f aca="false">IF(B89="","",SUM(E89:AI89)+SUMPRODUCT(COUNTIF(E89:AI89,KH_MA),KH_LUONG))</f>
        <v/>
      </c>
      <c r="AK89" s="25" t="str">
        <f aca="false">IF(B89="","",AJ89/GIO_CONG)</f>
        <v/>
      </c>
      <c r="AL89" s="26" t="str">
        <f aca="false">IF(B89="","",SUMPRODUCT(COUNTIF(E89:AI89,KH_MA),KH_PHEP)/GIO_CONG)</f>
        <v/>
      </c>
      <c r="AM89" s="26" t="str">
        <f aca="false">IF(B89="","",SUMPRODUCT(COUNTIF(E89:AI89,KH_MA),KH_LE)/GIO_CONG)</f>
        <v/>
      </c>
      <c r="AN89" s="26" t="str">
        <f aca="false">IF(B89="","",SUMPRODUCT(COUNTIF(E89:AI89,KH_MA),KH_LEDL))</f>
        <v/>
      </c>
      <c r="AO89" s="26" t="str">
        <f aca="false">IF(B89="","",SUMPRODUCT(COUNTIF(E89:AI89,KH_MA),KH_CD)/GIO_CONG)</f>
        <v/>
      </c>
      <c r="AP89" s="26" t="str">
        <f aca="false">IF(B89="","",SUMPRODUCT(COUNTIF(E89:AI89,KH_MA),KH_CTL)/GIO_CONG)</f>
        <v/>
      </c>
      <c r="AQ89" s="16"/>
      <c r="AR89" s="16"/>
      <c r="AS89" s="16"/>
    </row>
    <row r="90" customFormat="false" ht="15" hidden="false" customHeight="false" outlineLevel="0" collapsed="false">
      <c r="A90" s="18" t="str">
        <f aca="false">IF(B90="","",ROW()-5)</f>
        <v/>
      </c>
      <c r="B90" s="16"/>
      <c r="C90" s="18" t="str">
        <f aca="false">IF(B90="","",IFERROR(INDEX(NV_TEN,MATCH(B90,NV_MA,0)),"MÃ KHÔNG CÓ"))</f>
        <v/>
      </c>
      <c r="D90" s="18" t="str">
        <f aca="false">IF(B90="","",IFERROR(INDEX(NV_PN,MATCH(B90,NV_MA,0)),""))</f>
        <v/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4" t="str">
        <f aca="false">IF(B90="","",SUM(E90:AI90)+SUMPRODUCT(COUNTIF(E90:AI90,KH_MA),KH_LUONG))</f>
        <v/>
      </c>
      <c r="AK90" s="25" t="str">
        <f aca="false">IF(B90="","",AJ90/GIO_CONG)</f>
        <v/>
      </c>
      <c r="AL90" s="26" t="str">
        <f aca="false">IF(B90="","",SUMPRODUCT(COUNTIF(E90:AI90,KH_MA),KH_PHEP)/GIO_CONG)</f>
        <v/>
      </c>
      <c r="AM90" s="26" t="str">
        <f aca="false">IF(B90="","",SUMPRODUCT(COUNTIF(E90:AI90,KH_MA),KH_LE)/GIO_CONG)</f>
        <v/>
      </c>
      <c r="AN90" s="26" t="str">
        <f aca="false">IF(B90="","",SUMPRODUCT(COUNTIF(E90:AI90,KH_MA),KH_LEDL))</f>
        <v/>
      </c>
      <c r="AO90" s="26" t="str">
        <f aca="false">IF(B90="","",SUMPRODUCT(COUNTIF(E90:AI90,KH_MA),KH_CD)/GIO_CONG)</f>
        <v/>
      </c>
      <c r="AP90" s="26" t="str">
        <f aca="false">IF(B90="","",SUMPRODUCT(COUNTIF(E90:AI90,KH_MA),KH_CTL)/GIO_CONG)</f>
        <v/>
      </c>
      <c r="AQ90" s="16"/>
      <c r="AR90" s="16"/>
      <c r="AS90" s="16"/>
    </row>
    <row r="91" customFormat="false" ht="15" hidden="false" customHeight="false" outlineLevel="0" collapsed="false">
      <c r="A91" s="18" t="str">
        <f aca="false">IF(B91="","",ROW()-5)</f>
        <v/>
      </c>
      <c r="B91" s="16"/>
      <c r="C91" s="18" t="str">
        <f aca="false">IF(B91="","",IFERROR(INDEX(NV_TEN,MATCH(B91,NV_MA,0)),"MÃ KHÔNG CÓ"))</f>
        <v/>
      </c>
      <c r="D91" s="18" t="str">
        <f aca="false">IF(B91="","",IFERROR(INDEX(NV_PN,MATCH(B91,NV_MA,0)),""))</f>
        <v/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4" t="str">
        <f aca="false">IF(B91="","",SUM(E91:AI91)+SUMPRODUCT(COUNTIF(E91:AI91,KH_MA),KH_LUONG))</f>
        <v/>
      </c>
      <c r="AK91" s="25" t="str">
        <f aca="false">IF(B91="","",AJ91/GIO_CONG)</f>
        <v/>
      </c>
      <c r="AL91" s="26" t="str">
        <f aca="false">IF(B91="","",SUMPRODUCT(COUNTIF(E91:AI91,KH_MA),KH_PHEP)/GIO_CONG)</f>
        <v/>
      </c>
      <c r="AM91" s="26" t="str">
        <f aca="false">IF(B91="","",SUMPRODUCT(COUNTIF(E91:AI91,KH_MA),KH_LE)/GIO_CONG)</f>
        <v/>
      </c>
      <c r="AN91" s="26" t="str">
        <f aca="false">IF(B91="","",SUMPRODUCT(COUNTIF(E91:AI91,KH_MA),KH_LEDL))</f>
        <v/>
      </c>
      <c r="AO91" s="26" t="str">
        <f aca="false">IF(B91="","",SUMPRODUCT(COUNTIF(E91:AI91,KH_MA),KH_CD)/GIO_CONG)</f>
        <v/>
      </c>
      <c r="AP91" s="26" t="str">
        <f aca="false">IF(B91="","",SUMPRODUCT(COUNTIF(E91:AI91,KH_MA),KH_CTL)/GIO_CONG)</f>
        <v/>
      </c>
      <c r="AQ91" s="16"/>
      <c r="AR91" s="16"/>
      <c r="AS91" s="16"/>
    </row>
    <row r="92" customFormat="false" ht="15" hidden="false" customHeight="false" outlineLevel="0" collapsed="false">
      <c r="A92" s="18" t="str">
        <f aca="false">IF(B92="","",ROW()-5)</f>
        <v/>
      </c>
      <c r="B92" s="16"/>
      <c r="C92" s="18" t="str">
        <f aca="false">IF(B92="","",IFERROR(INDEX(NV_TEN,MATCH(B92,NV_MA,0)),"MÃ KHÔNG CÓ"))</f>
        <v/>
      </c>
      <c r="D92" s="18" t="str">
        <f aca="false">IF(B92="","",IFERROR(INDEX(NV_PN,MATCH(B92,NV_MA,0)),""))</f>
        <v/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4" t="str">
        <f aca="false">IF(B92="","",SUM(E92:AI92)+SUMPRODUCT(COUNTIF(E92:AI92,KH_MA),KH_LUONG))</f>
        <v/>
      </c>
      <c r="AK92" s="25" t="str">
        <f aca="false">IF(B92="","",AJ92/GIO_CONG)</f>
        <v/>
      </c>
      <c r="AL92" s="26" t="str">
        <f aca="false">IF(B92="","",SUMPRODUCT(COUNTIF(E92:AI92,KH_MA),KH_PHEP)/GIO_CONG)</f>
        <v/>
      </c>
      <c r="AM92" s="26" t="str">
        <f aca="false">IF(B92="","",SUMPRODUCT(COUNTIF(E92:AI92,KH_MA),KH_LE)/GIO_CONG)</f>
        <v/>
      </c>
      <c r="AN92" s="26" t="str">
        <f aca="false">IF(B92="","",SUMPRODUCT(COUNTIF(E92:AI92,KH_MA),KH_LEDL))</f>
        <v/>
      </c>
      <c r="AO92" s="26" t="str">
        <f aca="false">IF(B92="","",SUMPRODUCT(COUNTIF(E92:AI92,KH_MA),KH_CD)/GIO_CONG)</f>
        <v/>
      </c>
      <c r="AP92" s="26" t="str">
        <f aca="false">IF(B92="","",SUMPRODUCT(COUNTIF(E92:AI92,KH_MA),KH_CTL)/GIO_CONG)</f>
        <v/>
      </c>
      <c r="AQ92" s="16"/>
      <c r="AR92" s="16"/>
      <c r="AS92" s="16"/>
    </row>
    <row r="93" customFormat="false" ht="15" hidden="false" customHeight="false" outlineLevel="0" collapsed="false">
      <c r="A93" s="18" t="str">
        <f aca="false">IF(B93="","",ROW()-5)</f>
        <v/>
      </c>
      <c r="B93" s="16"/>
      <c r="C93" s="18" t="str">
        <f aca="false">IF(B93="","",IFERROR(INDEX(NV_TEN,MATCH(B93,NV_MA,0)),"MÃ KHÔNG CÓ"))</f>
        <v/>
      </c>
      <c r="D93" s="18" t="str">
        <f aca="false">IF(B93="","",IFERROR(INDEX(NV_PN,MATCH(B93,NV_MA,0)),""))</f>
        <v/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4" t="str">
        <f aca="false">IF(B93="","",SUM(E93:AI93)+SUMPRODUCT(COUNTIF(E93:AI93,KH_MA),KH_LUONG))</f>
        <v/>
      </c>
      <c r="AK93" s="25" t="str">
        <f aca="false">IF(B93="","",AJ93/GIO_CONG)</f>
        <v/>
      </c>
      <c r="AL93" s="26" t="str">
        <f aca="false">IF(B93="","",SUMPRODUCT(COUNTIF(E93:AI93,KH_MA),KH_PHEP)/GIO_CONG)</f>
        <v/>
      </c>
      <c r="AM93" s="26" t="str">
        <f aca="false">IF(B93="","",SUMPRODUCT(COUNTIF(E93:AI93,KH_MA),KH_LE)/GIO_CONG)</f>
        <v/>
      </c>
      <c r="AN93" s="26" t="str">
        <f aca="false">IF(B93="","",SUMPRODUCT(COUNTIF(E93:AI93,KH_MA),KH_LEDL))</f>
        <v/>
      </c>
      <c r="AO93" s="26" t="str">
        <f aca="false">IF(B93="","",SUMPRODUCT(COUNTIF(E93:AI93,KH_MA),KH_CD)/GIO_CONG)</f>
        <v/>
      </c>
      <c r="AP93" s="26" t="str">
        <f aca="false">IF(B93="","",SUMPRODUCT(COUNTIF(E93:AI93,KH_MA),KH_CTL)/GIO_CONG)</f>
        <v/>
      </c>
      <c r="AQ93" s="16"/>
      <c r="AR93" s="16"/>
      <c r="AS93" s="16"/>
    </row>
    <row r="94" customFormat="false" ht="15" hidden="false" customHeight="false" outlineLevel="0" collapsed="false">
      <c r="A94" s="18" t="str">
        <f aca="false">IF(B94="","",ROW()-5)</f>
        <v/>
      </c>
      <c r="B94" s="16"/>
      <c r="C94" s="18" t="str">
        <f aca="false">IF(B94="","",IFERROR(INDEX(NV_TEN,MATCH(B94,NV_MA,0)),"MÃ KHÔNG CÓ"))</f>
        <v/>
      </c>
      <c r="D94" s="18" t="str">
        <f aca="false">IF(B94="","",IFERROR(INDEX(NV_PN,MATCH(B94,NV_MA,0)),""))</f>
        <v/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4" t="str">
        <f aca="false">IF(B94="","",SUM(E94:AI94)+SUMPRODUCT(COUNTIF(E94:AI94,KH_MA),KH_LUONG))</f>
        <v/>
      </c>
      <c r="AK94" s="25" t="str">
        <f aca="false">IF(B94="","",AJ94/GIO_CONG)</f>
        <v/>
      </c>
      <c r="AL94" s="26" t="str">
        <f aca="false">IF(B94="","",SUMPRODUCT(COUNTIF(E94:AI94,KH_MA),KH_PHEP)/GIO_CONG)</f>
        <v/>
      </c>
      <c r="AM94" s="26" t="str">
        <f aca="false">IF(B94="","",SUMPRODUCT(COUNTIF(E94:AI94,KH_MA),KH_LE)/GIO_CONG)</f>
        <v/>
      </c>
      <c r="AN94" s="26" t="str">
        <f aca="false">IF(B94="","",SUMPRODUCT(COUNTIF(E94:AI94,KH_MA),KH_LEDL))</f>
        <v/>
      </c>
      <c r="AO94" s="26" t="str">
        <f aca="false">IF(B94="","",SUMPRODUCT(COUNTIF(E94:AI94,KH_MA),KH_CD)/GIO_CONG)</f>
        <v/>
      </c>
      <c r="AP94" s="26" t="str">
        <f aca="false">IF(B94="","",SUMPRODUCT(COUNTIF(E94:AI94,KH_MA),KH_CTL)/GIO_CONG)</f>
        <v/>
      </c>
      <c r="AQ94" s="16"/>
      <c r="AR94" s="16"/>
      <c r="AS94" s="16"/>
    </row>
    <row r="95" customFormat="false" ht="15" hidden="false" customHeight="false" outlineLevel="0" collapsed="false">
      <c r="A95" s="18" t="str">
        <f aca="false">IF(B95="","",ROW()-5)</f>
        <v/>
      </c>
      <c r="B95" s="16"/>
      <c r="C95" s="18" t="str">
        <f aca="false">IF(B95="","",IFERROR(INDEX(NV_TEN,MATCH(B95,NV_MA,0)),"MÃ KHÔNG CÓ"))</f>
        <v/>
      </c>
      <c r="D95" s="18" t="str">
        <f aca="false">IF(B95="","",IFERROR(INDEX(NV_PN,MATCH(B95,NV_MA,0)),""))</f>
        <v/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4" t="str">
        <f aca="false">IF(B95="","",SUM(E95:AI95)+SUMPRODUCT(COUNTIF(E95:AI95,KH_MA),KH_LUONG))</f>
        <v/>
      </c>
      <c r="AK95" s="25" t="str">
        <f aca="false">IF(B95="","",AJ95/GIO_CONG)</f>
        <v/>
      </c>
      <c r="AL95" s="26" t="str">
        <f aca="false">IF(B95="","",SUMPRODUCT(COUNTIF(E95:AI95,KH_MA),KH_PHEP)/GIO_CONG)</f>
        <v/>
      </c>
      <c r="AM95" s="26" t="str">
        <f aca="false">IF(B95="","",SUMPRODUCT(COUNTIF(E95:AI95,KH_MA),KH_LE)/GIO_CONG)</f>
        <v/>
      </c>
      <c r="AN95" s="26" t="str">
        <f aca="false">IF(B95="","",SUMPRODUCT(COUNTIF(E95:AI95,KH_MA),KH_LEDL))</f>
        <v/>
      </c>
      <c r="AO95" s="26" t="str">
        <f aca="false">IF(B95="","",SUMPRODUCT(COUNTIF(E95:AI95,KH_MA),KH_CD)/GIO_CONG)</f>
        <v/>
      </c>
      <c r="AP95" s="26" t="str">
        <f aca="false">IF(B95="","",SUMPRODUCT(COUNTIF(E95:AI95,KH_MA),KH_CTL)/GIO_CONG)</f>
        <v/>
      </c>
      <c r="AQ95" s="16"/>
      <c r="AR95" s="16"/>
      <c r="AS95" s="16"/>
    </row>
    <row r="96" customFormat="false" ht="15" hidden="false" customHeight="false" outlineLevel="0" collapsed="false">
      <c r="A96" s="18" t="str">
        <f aca="false">IF(B96="","",ROW()-5)</f>
        <v/>
      </c>
      <c r="B96" s="16"/>
      <c r="C96" s="18" t="str">
        <f aca="false">IF(B96="","",IFERROR(INDEX(NV_TEN,MATCH(B96,NV_MA,0)),"MÃ KHÔNG CÓ"))</f>
        <v/>
      </c>
      <c r="D96" s="18" t="str">
        <f aca="false">IF(B96="","",IFERROR(INDEX(NV_PN,MATCH(B96,NV_MA,0)),""))</f>
        <v/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4" t="str">
        <f aca="false">IF(B96="","",SUM(E96:AI96)+SUMPRODUCT(COUNTIF(E96:AI96,KH_MA),KH_LUONG))</f>
        <v/>
      </c>
      <c r="AK96" s="25" t="str">
        <f aca="false">IF(B96="","",AJ96/GIO_CONG)</f>
        <v/>
      </c>
      <c r="AL96" s="26" t="str">
        <f aca="false">IF(B96="","",SUMPRODUCT(COUNTIF(E96:AI96,KH_MA),KH_PHEP)/GIO_CONG)</f>
        <v/>
      </c>
      <c r="AM96" s="26" t="str">
        <f aca="false">IF(B96="","",SUMPRODUCT(COUNTIF(E96:AI96,KH_MA),KH_LE)/GIO_CONG)</f>
        <v/>
      </c>
      <c r="AN96" s="26" t="str">
        <f aca="false">IF(B96="","",SUMPRODUCT(COUNTIF(E96:AI96,KH_MA),KH_LEDL))</f>
        <v/>
      </c>
      <c r="AO96" s="26" t="str">
        <f aca="false">IF(B96="","",SUMPRODUCT(COUNTIF(E96:AI96,KH_MA),KH_CD)/GIO_CONG)</f>
        <v/>
      </c>
      <c r="AP96" s="26" t="str">
        <f aca="false">IF(B96="","",SUMPRODUCT(COUNTIF(E96:AI96,KH_MA),KH_CTL)/GIO_CONG)</f>
        <v/>
      </c>
      <c r="AQ96" s="16"/>
      <c r="AR96" s="16"/>
      <c r="AS96" s="16"/>
    </row>
    <row r="97" customFormat="false" ht="15" hidden="false" customHeight="false" outlineLevel="0" collapsed="false">
      <c r="A97" s="18" t="str">
        <f aca="false">IF(B97="","",ROW()-5)</f>
        <v/>
      </c>
      <c r="B97" s="16"/>
      <c r="C97" s="18" t="str">
        <f aca="false">IF(B97="","",IFERROR(INDEX(NV_TEN,MATCH(B97,NV_MA,0)),"MÃ KHÔNG CÓ"))</f>
        <v/>
      </c>
      <c r="D97" s="18" t="str">
        <f aca="false">IF(B97="","",IFERROR(INDEX(NV_PN,MATCH(B97,NV_MA,0)),""))</f>
        <v/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4" t="str">
        <f aca="false">IF(B97="","",SUM(E97:AI97)+SUMPRODUCT(COUNTIF(E97:AI97,KH_MA),KH_LUONG))</f>
        <v/>
      </c>
      <c r="AK97" s="25" t="str">
        <f aca="false">IF(B97="","",AJ97/GIO_CONG)</f>
        <v/>
      </c>
      <c r="AL97" s="26" t="str">
        <f aca="false">IF(B97="","",SUMPRODUCT(COUNTIF(E97:AI97,KH_MA),KH_PHEP)/GIO_CONG)</f>
        <v/>
      </c>
      <c r="AM97" s="26" t="str">
        <f aca="false">IF(B97="","",SUMPRODUCT(COUNTIF(E97:AI97,KH_MA),KH_LE)/GIO_CONG)</f>
        <v/>
      </c>
      <c r="AN97" s="26" t="str">
        <f aca="false">IF(B97="","",SUMPRODUCT(COUNTIF(E97:AI97,KH_MA),KH_LEDL))</f>
        <v/>
      </c>
      <c r="AO97" s="26" t="str">
        <f aca="false">IF(B97="","",SUMPRODUCT(COUNTIF(E97:AI97,KH_MA),KH_CD)/GIO_CONG)</f>
        <v/>
      </c>
      <c r="AP97" s="26" t="str">
        <f aca="false">IF(B97="","",SUMPRODUCT(COUNTIF(E97:AI97,KH_MA),KH_CTL)/GIO_CONG)</f>
        <v/>
      </c>
      <c r="AQ97" s="16"/>
      <c r="AR97" s="16"/>
      <c r="AS97" s="16"/>
    </row>
    <row r="98" customFormat="false" ht="15" hidden="false" customHeight="false" outlineLevel="0" collapsed="false">
      <c r="A98" s="18" t="str">
        <f aca="false">IF(B98="","",ROW()-5)</f>
        <v/>
      </c>
      <c r="B98" s="16"/>
      <c r="C98" s="18" t="str">
        <f aca="false">IF(B98="","",IFERROR(INDEX(NV_TEN,MATCH(B98,NV_MA,0)),"MÃ KHÔNG CÓ"))</f>
        <v/>
      </c>
      <c r="D98" s="18" t="str">
        <f aca="false">IF(B98="","",IFERROR(INDEX(NV_PN,MATCH(B98,NV_MA,0)),""))</f>
        <v/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4" t="str">
        <f aca="false">IF(B98="","",SUM(E98:AI98)+SUMPRODUCT(COUNTIF(E98:AI98,KH_MA),KH_LUONG))</f>
        <v/>
      </c>
      <c r="AK98" s="25" t="str">
        <f aca="false">IF(B98="","",AJ98/GIO_CONG)</f>
        <v/>
      </c>
      <c r="AL98" s="26" t="str">
        <f aca="false">IF(B98="","",SUMPRODUCT(COUNTIF(E98:AI98,KH_MA),KH_PHEP)/GIO_CONG)</f>
        <v/>
      </c>
      <c r="AM98" s="26" t="str">
        <f aca="false">IF(B98="","",SUMPRODUCT(COUNTIF(E98:AI98,KH_MA),KH_LE)/GIO_CONG)</f>
        <v/>
      </c>
      <c r="AN98" s="26" t="str">
        <f aca="false">IF(B98="","",SUMPRODUCT(COUNTIF(E98:AI98,KH_MA),KH_LEDL))</f>
        <v/>
      </c>
      <c r="AO98" s="26" t="str">
        <f aca="false">IF(B98="","",SUMPRODUCT(COUNTIF(E98:AI98,KH_MA),KH_CD)/GIO_CONG)</f>
        <v/>
      </c>
      <c r="AP98" s="26" t="str">
        <f aca="false">IF(B98="","",SUMPRODUCT(COUNTIF(E98:AI98,KH_MA),KH_CTL)/GIO_CONG)</f>
        <v/>
      </c>
      <c r="AQ98" s="16"/>
      <c r="AR98" s="16"/>
      <c r="AS98" s="16"/>
    </row>
    <row r="99" customFormat="false" ht="15" hidden="false" customHeight="false" outlineLevel="0" collapsed="false">
      <c r="A99" s="18" t="str">
        <f aca="false">IF(B99="","",ROW()-5)</f>
        <v/>
      </c>
      <c r="B99" s="16"/>
      <c r="C99" s="18" t="str">
        <f aca="false">IF(B99="","",IFERROR(INDEX(NV_TEN,MATCH(B99,NV_MA,0)),"MÃ KHÔNG CÓ"))</f>
        <v/>
      </c>
      <c r="D99" s="18" t="str">
        <f aca="false">IF(B99="","",IFERROR(INDEX(NV_PN,MATCH(B99,NV_MA,0)),""))</f>
        <v/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4" t="str">
        <f aca="false">IF(B99="","",SUM(E99:AI99)+SUMPRODUCT(COUNTIF(E99:AI99,KH_MA),KH_LUONG))</f>
        <v/>
      </c>
      <c r="AK99" s="25" t="str">
        <f aca="false">IF(B99="","",AJ99/GIO_CONG)</f>
        <v/>
      </c>
      <c r="AL99" s="26" t="str">
        <f aca="false">IF(B99="","",SUMPRODUCT(COUNTIF(E99:AI99,KH_MA),KH_PHEP)/GIO_CONG)</f>
        <v/>
      </c>
      <c r="AM99" s="26" t="str">
        <f aca="false">IF(B99="","",SUMPRODUCT(COUNTIF(E99:AI99,KH_MA),KH_LE)/GIO_CONG)</f>
        <v/>
      </c>
      <c r="AN99" s="26" t="str">
        <f aca="false">IF(B99="","",SUMPRODUCT(COUNTIF(E99:AI99,KH_MA),KH_LEDL))</f>
        <v/>
      </c>
      <c r="AO99" s="26" t="str">
        <f aca="false">IF(B99="","",SUMPRODUCT(COUNTIF(E99:AI99,KH_MA),KH_CD)/GIO_CONG)</f>
        <v/>
      </c>
      <c r="AP99" s="26" t="str">
        <f aca="false">IF(B99="","",SUMPRODUCT(COUNTIF(E99:AI99,KH_MA),KH_CTL)/GIO_CONG)</f>
        <v/>
      </c>
      <c r="AQ99" s="16"/>
      <c r="AR99" s="16"/>
      <c r="AS99" s="16"/>
    </row>
    <row r="100" customFormat="false" ht="15" hidden="false" customHeight="false" outlineLevel="0" collapsed="false">
      <c r="A100" s="18" t="str">
        <f aca="false">IF(B100="","",ROW()-5)</f>
        <v/>
      </c>
      <c r="B100" s="16"/>
      <c r="C100" s="18" t="str">
        <f aca="false">IF(B100="","",IFERROR(INDEX(NV_TEN,MATCH(B100,NV_MA,0)),"MÃ KHÔNG CÓ"))</f>
        <v/>
      </c>
      <c r="D100" s="18" t="str">
        <f aca="false">IF(B100="","",IFERROR(INDEX(NV_PN,MATCH(B100,NV_MA,0)),""))</f>
        <v/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4" t="str">
        <f aca="false">IF(B100="","",SUM(E100:AI100)+SUMPRODUCT(COUNTIF(E100:AI100,KH_MA),KH_LUONG))</f>
        <v/>
      </c>
      <c r="AK100" s="25" t="str">
        <f aca="false">IF(B100="","",AJ100/GIO_CONG)</f>
        <v/>
      </c>
      <c r="AL100" s="26" t="str">
        <f aca="false">IF(B100="","",SUMPRODUCT(COUNTIF(E100:AI100,KH_MA),KH_PHEP)/GIO_CONG)</f>
        <v/>
      </c>
      <c r="AM100" s="26" t="str">
        <f aca="false">IF(B100="","",SUMPRODUCT(COUNTIF(E100:AI100,KH_MA),KH_LE)/GIO_CONG)</f>
        <v/>
      </c>
      <c r="AN100" s="26" t="str">
        <f aca="false">IF(B100="","",SUMPRODUCT(COUNTIF(E100:AI100,KH_MA),KH_LEDL))</f>
        <v/>
      </c>
      <c r="AO100" s="26" t="str">
        <f aca="false">IF(B100="","",SUMPRODUCT(COUNTIF(E100:AI100,KH_MA),KH_CD)/GIO_CONG)</f>
        <v/>
      </c>
      <c r="AP100" s="26" t="str">
        <f aca="false">IF(B100="","",SUMPRODUCT(COUNTIF(E100:AI100,KH_MA),KH_CTL)/GIO_CONG)</f>
        <v/>
      </c>
      <c r="AQ100" s="16"/>
      <c r="AR100" s="16"/>
      <c r="AS100" s="16"/>
    </row>
    <row r="101" customFormat="false" ht="15" hidden="false" customHeight="false" outlineLevel="0" collapsed="false">
      <c r="A101" s="18" t="str">
        <f aca="false">IF(B101="","",ROW()-5)</f>
        <v/>
      </c>
      <c r="B101" s="16"/>
      <c r="C101" s="18" t="str">
        <f aca="false">IF(B101="","",IFERROR(INDEX(NV_TEN,MATCH(B101,NV_MA,0)),"MÃ KHÔNG CÓ"))</f>
        <v/>
      </c>
      <c r="D101" s="18" t="str">
        <f aca="false">IF(B101="","",IFERROR(INDEX(NV_PN,MATCH(B101,NV_MA,0)),""))</f>
        <v/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4" t="str">
        <f aca="false">IF(B101="","",SUM(E101:AI101)+SUMPRODUCT(COUNTIF(E101:AI101,KH_MA),KH_LUONG))</f>
        <v/>
      </c>
      <c r="AK101" s="25" t="str">
        <f aca="false">IF(B101="","",AJ101/GIO_CONG)</f>
        <v/>
      </c>
      <c r="AL101" s="26" t="str">
        <f aca="false">IF(B101="","",SUMPRODUCT(COUNTIF(E101:AI101,KH_MA),KH_PHEP)/GIO_CONG)</f>
        <v/>
      </c>
      <c r="AM101" s="26" t="str">
        <f aca="false">IF(B101="","",SUMPRODUCT(COUNTIF(E101:AI101,KH_MA),KH_LE)/GIO_CONG)</f>
        <v/>
      </c>
      <c r="AN101" s="26" t="str">
        <f aca="false">IF(B101="","",SUMPRODUCT(COUNTIF(E101:AI101,KH_MA),KH_LEDL))</f>
        <v/>
      </c>
      <c r="AO101" s="26" t="str">
        <f aca="false">IF(B101="","",SUMPRODUCT(COUNTIF(E101:AI101,KH_MA),KH_CD)/GIO_CONG)</f>
        <v/>
      </c>
      <c r="AP101" s="26" t="str">
        <f aca="false">IF(B101="","",SUMPRODUCT(COUNTIF(E101:AI101,KH_MA),KH_CTL)/GIO_CONG)</f>
        <v/>
      </c>
      <c r="AQ101" s="16"/>
      <c r="AR101" s="16"/>
      <c r="AS101" s="16"/>
    </row>
    <row r="102" customFormat="false" ht="15" hidden="false" customHeight="false" outlineLevel="0" collapsed="false">
      <c r="A102" s="18" t="str">
        <f aca="false">IF(B102="","",ROW()-5)</f>
        <v/>
      </c>
      <c r="B102" s="16"/>
      <c r="C102" s="18" t="str">
        <f aca="false">IF(B102="","",IFERROR(INDEX(NV_TEN,MATCH(B102,NV_MA,0)),"MÃ KHÔNG CÓ"))</f>
        <v/>
      </c>
      <c r="D102" s="18" t="str">
        <f aca="false">IF(B102="","",IFERROR(INDEX(NV_PN,MATCH(B102,NV_MA,0)),""))</f>
        <v/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4" t="str">
        <f aca="false">IF(B102="","",SUM(E102:AI102)+SUMPRODUCT(COUNTIF(E102:AI102,KH_MA),KH_LUONG))</f>
        <v/>
      </c>
      <c r="AK102" s="25" t="str">
        <f aca="false">IF(B102="","",AJ102/GIO_CONG)</f>
        <v/>
      </c>
      <c r="AL102" s="26" t="str">
        <f aca="false">IF(B102="","",SUMPRODUCT(COUNTIF(E102:AI102,KH_MA),KH_PHEP)/GIO_CONG)</f>
        <v/>
      </c>
      <c r="AM102" s="26" t="str">
        <f aca="false">IF(B102="","",SUMPRODUCT(COUNTIF(E102:AI102,KH_MA),KH_LE)/GIO_CONG)</f>
        <v/>
      </c>
      <c r="AN102" s="26" t="str">
        <f aca="false">IF(B102="","",SUMPRODUCT(COUNTIF(E102:AI102,KH_MA),KH_LEDL))</f>
        <v/>
      </c>
      <c r="AO102" s="26" t="str">
        <f aca="false">IF(B102="","",SUMPRODUCT(COUNTIF(E102:AI102,KH_MA),KH_CD)/GIO_CONG)</f>
        <v/>
      </c>
      <c r="AP102" s="26" t="str">
        <f aca="false">IF(B102="","",SUMPRODUCT(COUNTIF(E102:AI102,KH_MA),KH_CTL)/GIO_CONG)</f>
        <v/>
      </c>
      <c r="AQ102" s="16"/>
      <c r="AR102" s="16"/>
      <c r="AS102" s="16"/>
    </row>
    <row r="103" customFormat="false" ht="15" hidden="false" customHeight="false" outlineLevel="0" collapsed="false">
      <c r="A103" s="18" t="str">
        <f aca="false">IF(B103="","",ROW()-5)</f>
        <v/>
      </c>
      <c r="B103" s="16"/>
      <c r="C103" s="18" t="str">
        <f aca="false">IF(B103="","",IFERROR(INDEX(NV_TEN,MATCH(B103,NV_MA,0)),"MÃ KHÔNG CÓ"))</f>
        <v/>
      </c>
      <c r="D103" s="18" t="str">
        <f aca="false">IF(B103="","",IFERROR(INDEX(NV_PN,MATCH(B103,NV_MA,0)),""))</f>
        <v/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4" t="str">
        <f aca="false">IF(B103="","",SUM(E103:AI103)+SUMPRODUCT(COUNTIF(E103:AI103,KH_MA),KH_LUONG))</f>
        <v/>
      </c>
      <c r="AK103" s="25" t="str">
        <f aca="false">IF(B103="","",AJ103/GIO_CONG)</f>
        <v/>
      </c>
      <c r="AL103" s="26" t="str">
        <f aca="false">IF(B103="","",SUMPRODUCT(COUNTIF(E103:AI103,KH_MA),KH_PHEP)/GIO_CONG)</f>
        <v/>
      </c>
      <c r="AM103" s="26" t="str">
        <f aca="false">IF(B103="","",SUMPRODUCT(COUNTIF(E103:AI103,KH_MA),KH_LE)/GIO_CONG)</f>
        <v/>
      </c>
      <c r="AN103" s="26" t="str">
        <f aca="false">IF(B103="","",SUMPRODUCT(COUNTIF(E103:AI103,KH_MA),KH_LEDL))</f>
        <v/>
      </c>
      <c r="AO103" s="26" t="str">
        <f aca="false">IF(B103="","",SUMPRODUCT(COUNTIF(E103:AI103,KH_MA),KH_CD)/GIO_CONG)</f>
        <v/>
      </c>
      <c r="AP103" s="26" t="str">
        <f aca="false">IF(B103="","",SUMPRODUCT(COUNTIF(E103:AI103,KH_MA),KH_CTL)/GIO_CONG)</f>
        <v/>
      </c>
      <c r="AQ103" s="16"/>
      <c r="AR103" s="16"/>
      <c r="AS103" s="16"/>
    </row>
    <row r="104" customFormat="false" ht="15" hidden="false" customHeight="false" outlineLevel="0" collapsed="false">
      <c r="A104" s="18" t="str">
        <f aca="false">IF(B104="","",ROW()-5)</f>
        <v/>
      </c>
      <c r="B104" s="16"/>
      <c r="C104" s="18" t="str">
        <f aca="false">IF(B104="","",IFERROR(INDEX(NV_TEN,MATCH(B104,NV_MA,0)),"MÃ KHÔNG CÓ"))</f>
        <v/>
      </c>
      <c r="D104" s="18" t="str">
        <f aca="false">IF(B104="","",IFERROR(INDEX(NV_PN,MATCH(B104,NV_MA,0)),""))</f>
        <v/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4" t="str">
        <f aca="false">IF(B104="","",SUM(E104:AI104)+SUMPRODUCT(COUNTIF(E104:AI104,KH_MA),KH_LUONG))</f>
        <v/>
      </c>
      <c r="AK104" s="25" t="str">
        <f aca="false">IF(B104="","",AJ104/GIO_CONG)</f>
        <v/>
      </c>
      <c r="AL104" s="26" t="str">
        <f aca="false">IF(B104="","",SUMPRODUCT(COUNTIF(E104:AI104,KH_MA),KH_PHEP)/GIO_CONG)</f>
        <v/>
      </c>
      <c r="AM104" s="26" t="str">
        <f aca="false">IF(B104="","",SUMPRODUCT(COUNTIF(E104:AI104,KH_MA),KH_LE)/GIO_CONG)</f>
        <v/>
      </c>
      <c r="AN104" s="26" t="str">
        <f aca="false">IF(B104="","",SUMPRODUCT(COUNTIF(E104:AI104,KH_MA),KH_LEDL))</f>
        <v/>
      </c>
      <c r="AO104" s="26" t="str">
        <f aca="false">IF(B104="","",SUMPRODUCT(COUNTIF(E104:AI104,KH_MA),KH_CD)/GIO_CONG)</f>
        <v/>
      </c>
      <c r="AP104" s="26" t="str">
        <f aca="false">IF(B104="","",SUMPRODUCT(COUNTIF(E104:AI104,KH_MA),KH_CTL)/GIO_CONG)</f>
        <v/>
      </c>
      <c r="AQ104" s="16"/>
      <c r="AR104" s="16"/>
      <c r="AS104" s="16"/>
    </row>
    <row r="105" customFormat="false" ht="15" hidden="false" customHeight="false" outlineLevel="0" collapsed="false">
      <c r="A105" s="18" t="str">
        <f aca="false">IF(B105="","",ROW()-5)</f>
        <v/>
      </c>
      <c r="B105" s="16"/>
      <c r="C105" s="18" t="str">
        <f aca="false">IF(B105="","",IFERROR(INDEX(NV_TEN,MATCH(B105,NV_MA,0)),"MÃ KHÔNG CÓ"))</f>
        <v/>
      </c>
      <c r="D105" s="18" t="str">
        <f aca="false">IF(B105="","",IFERROR(INDEX(NV_PN,MATCH(B105,NV_MA,0)),""))</f>
        <v/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4" t="str">
        <f aca="false">IF(B105="","",SUM(E105:AI105)+SUMPRODUCT(COUNTIF(E105:AI105,KH_MA),KH_LUONG))</f>
        <v/>
      </c>
      <c r="AK105" s="25" t="str">
        <f aca="false">IF(B105="","",AJ105/GIO_CONG)</f>
        <v/>
      </c>
      <c r="AL105" s="26" t="str">
        <f aca="false">IF(B105="","",SUMPRODUCT(COUNTIF(E105:AI105,KH_MA),KH_PHEP)/GIO_CONG)</f>
        <v/>
      </c>
      <c r="AM105" s="26" t="str">
        <f aca="false">IF(B105="","",SUMPRODUCT(COUNTIF(E105:AI105,KH_MA),KH_LE)/GIO_CONG)</f>
        <v/>
      </c>
      <c r="AN105" s="26" t="str">
        <f aca="false">IF(B105="","",SUMPRODUCT(COUNTIF(E105:AI105,KH_MA),KH_LEDL))</f>
        <v/>
      </c>
      <c r="AO105" s="26" t="str">
        <f aca="false">IF(B105="","",SUMPRODUCT(COUNTIF(E105:AI105,KH_MA),KH_CD)/GIO_CONG)</f>
        <v/>
      </c>
      <c r="AP105" s="26" t="str">
        <f aca="false">IF(B105="","",SUMPRODUCT(COUNTIF(E105:AI105,KH_MA),KH_CTL)/GIO_CONG)</f>
        <v/>
      </c>
      <c r="AQ105" s="16"/>
      <c r="AR105" s="16"/>
      <c r="AS105" s="16"/>
    </row>
    <row r="106" customFormat="false" ht="15" hidden="false" customHeight="false" outlineLevel="0" collapsed="false">
      <c r="A106" s="18" t="str">
        <f aca="false">IF(B106="","",ROW()-5)</f>
        <v/>
      </c>
      <c r="B106" s="16"/>
      <c r="C106" s="18" t="str">
        <f aca="false">IF(B106="","",IFERROR(INDEX(NV_TEN,MATCH(B106,NV_MA,0)),"MÃ KHÔNG CÓ"))</f>
        <v/>
      </c>
      <c r="D106" s="18" t="str">
        <f aca="false">IF(B106="","",IFERROR(INDEX(NV_PN,MATCH(B106,NV_MA,0)),""))</f>
        <v/>
      </c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4" t="str">
        <f aca="false">IF(B106="","",SUM(E106:AI106)+SUMPRODUCT(COUNTIF(E106:AI106,KH_MA),KH_LUONG))</f>
        <v/>
      </c>
      <c r="AK106" s="25" t="str">
        <f aca="false">IF(B106="","",AJ106/GIO_CONG)</f>
        <v/>
      </c>
      <c r="AL106" s="26" t="str">
        <f aca="false">IF(B106="","",SUMPRODUCT(COUNTIF(E106:AI106,KH_MA),KH_PHEP)/GIO_CONG)</f>
        <v/>
      </c>
      <c r="AM106" s="26" t="str">
        <f aca="false">IF(B106="","",SUMPRODUCT(COUNTIF(E106:AI106,KH_MA),KH_LE)/GIO_CONG)</f>
        <v/>
      </c>
      <c r="AN106" s="26" t="str">
        <f aca="false">IF(B106="","",SUMPRODUCT(COUNTIF(E106:AI106,KH_MA),KH_LEDL))</f>
        <v/>
      </c>
      <c r="AO106" s="26" t="str">
        <f aca="false">IF(B106="","",SUMPRODUCT(COUNTIF(E106:AI106,KH_MA),KH_CD)/GIO_CONG)</f>
        <v/>
      </c>
      <c r="AP106" s="26" t="str">
        <f aca="false">IF(B106="","",SUMPRODUCT(COUNTIF(E106:AI106,KH_MA),KH_CTL)/GIO_CONG)</f>
        <v/>
      </c>
      <c r="AQ106" s="16"/>
      <c r="AR106" s="16"/>
      <c r="AS106" s="16"/>
    </row>
    <row r="107" customFormat="false" ht="15" hidden="false" customHeight="false" outlineLevel="0" collapsed="false">
      <c r="A107" s="18" t="str">
        <f aca="false">IF(B107="","",ROW()-5)</f>
        <v/>
      </c>
      <c r="B107" s="16"/>
      <c r="C107" s="18" t="str">
        <f aca="false">IF(B107="","",IFERROR(INDEX(NV_TEN,MATCH(B107,NV_MA,0)),"MÃ KHÔNG CÓ"))</f>
        <v/>
      </c>
      <c r="D107" s="18" t="str">
        <f aca="false">IF(B107="","",IFERROR(INDEX(NV_PN,MATCH(B107,NV_MA,0)),""))</f>
        <v/>
      </c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4" t="str">
        <f aca="false">IF(B107="","",SUM(E107:AI107)+SUMPRODUCT(COUNTIF(E107:AI107,KH_MA),KH_LUONG))</f>
        <v/>
      </c>
      <c r="AK107" s="25" t="str">
        <f aca="false">IF(B107="","",AJ107/GIO_CONG)</f>
        <v/>
      </c>
      <c r="AL107" s="26" t="str">
        <f aca="false">IF(B107="","",SUMPRODUCT(COUNTIF(E107:AI107,KH_MA),KH_PHEP)/GIO_CONG)</f>
        <v/>
      </c>
      <c r="AM107" s="26" t="str">
        <f aca="false">IF(B107="","",SUMPRODUCT(COUNTIF(E107:AI107,KH_MA),KH_LE)/GIO_CONG)</f>
        <v/>
      </c>
      <c r="AN107" s="26" t="str">
        <f aca="false">IF(B107="","",SUMPRODUCT(COUNTIF(E107:AI107,KH_MA),KH_LEDL))</f>
        <v/>
      </c>
      <c r="AO107" s="26" t="str">
        <f aca="false">IF(B107="","",SUMPRODUCT(COUNTIF(E107:AI107,KH_MA),KH_CD)/GIO_CONG)</f>
        <v/>
      </c>
      <c r="AP107" s="26" t="str">
        <f aca="false">IF(B107="","",SUMPRODUCT(COUNTIF(E107:AI107,KH_MA),KH_CTL)/GIO_CONG)</f>
        <v/>
      </c>
      <c r="AQ107" s="16"/>
      <c r="AR107" s="16"/>
      <c r="AS107" s="16"/>
    </row>
    <row r="108" customFormat="false" ht="15" hidden="false" customHeight="false" outlineLevel="0" collapsed="false">
      <c r="A108" s="18" t="str">
        <f aca="false">IF(B108="","",ROW()-5)</f>
        <v/>
      </c>
      <c r="B108" s="16"/>
      <c r="C108" s="18" t="str">
        <f aca="false">IF(B108="","",IFERROR(INDEX(NV_TEN,MATCH(B108,NV_MA,0)),"MÃ KHÔNG CÓ"))</f>
        <v/>
      </c>
      <c r="D108" s="18" t="str">
        <f aca="false">IF(B108="","",IFERROR(INDEX(NV_PN,MATCH(B108,NV_MA,0)),""))</f>
        <v/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4" t="str">
        <f aca="false">IF(B108="","",SUM(E108:AI108)+SUMPRODUCT(COUNTIF(E108:AI108,KH_MA),KH_LUONG))</f>
        <v/>
      </c>
      <c r="AK108" s="25" t="str">
        <f aca="false">IF(B108="","",AJ108/GIO_CONG)</f>
        <v/>
      </c>
      <c r="AL108" s="26" t="str">
        <f aca="false">IF(B108="","",SUMPRODUCT(COUNTIF(E108:AI108,KH_MA),KH_PHEP)/GIO_CONG)</f>
        <v/>
      </c>
      <c r="AM108" s="26" t="str">
        <f aca="false">IF(B108="","",SUMPRODUCT(COUNTIF(E108:AI108,KH_MA),KH_LE)/GIO_CONG)</f>
        <v/>
      </c>
      <c r="AN108" s="26" t="str">
        <f aca="false">IF(B108="","",SUMPRODUCT(COUNTIF(E108:AI108,KH_MA),KH_LEDL))</f>
        <v/>
      </c>
      <c r="AO108" s="26" t="str">
        <f aca="false">IF(B108="","",SUMPRODUCT(COUNTIF(E108:AI108,KH_MA),KH_CD)/GIO_CONG)</f>
        <v/>
      </c>
      <c r="AP108" s="26" t="str">
        <f aca="false">IF(B108="","",SUMPRODUCT(COUNTIF(E108:AI108,KH_MA),KH_CTL)/GIO_CONG)</f>
        <v/>
      </c>
      <c r="AQ108" s="16"/>
      <c r="AR108" s="16"/>
      <c r="AS108" s="16"/>
    </row>
    <row r="109" customFormat="false" ht="15" hidden="false" customHeight="false" outlineLevel="0" collapsed="false">
      <c r="A109" s="18" t="str">
        <f aca="false">IF(B109="","",ROW()-5)</f>
        <v/>
      </c>
      <c r="B109" s="16"/>
      <c r="C109" s="18" t="str">
        <f aca="false">IF(B109="","",IFERROR(INDEX(NV_TEN,MATCH(B109,NV_MA,0)),"MÃ KHÔNG CÓ"))</f>
        <v/>
      </c>
      <c r="D109" s="18" t="str">
        <f aca="false">IF(B109="","",IFERROR(INDEX(NV_PN,MATCH(B109,NV_MA,0)),""))</f>
        <v/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4" t="str">
        <f aca="false">IF(B109="","",SUM(E109:AI109)+SUMPRODUCT(COUNTIF(E109:AI109,KH_MA),KH_LUONG))</f>
        <v/>
      </c>
      <c r="AK109" s="25" t="str">
        <f aca="false">IF(B109="","",AJ109/GIO_CONG)</f>
        <v/>
      </c>
      <c r="AL109" s="26" t="str">
        <f aca="false">IF(B109="","",SUMPRODUCT(COUNTIF(E109:AI109,KH_MA),KH_PHEP)/GIO_CONG)</f>
        <v/>
      </c>
      <c r="AM109" s="26" t="str">
        <f aca="false">IF(B109="","",SUMPRODUCT(COUNTIF(E109:AI109,KH_MA),KH_LE)/GIO_CONG)</f>
        <v/>
      </c>
      <c r="AN109" s="26" t="str">
        <f aca="false">IF(B109="","",SUMPRODUCT(COUNTIF(E109:AI109,KH_MA),KH_LEDL))</f>
        <v/>
      </c>
      <c r="AO109" s="26" t="str">
        <f aca="false">IF(B109="","",SUMPRODUCT(COUNTIF(E109:AI109,KH_MA),KH_CD)/GIO_CONG)</f>
        <v/>
      </c>
      <c r="AP109" s="26" t="str">
        <f aca="false">IF(B109="","",SUMPRODUCT(COUNTIF(E109:AI109,KH_MA),KH_CTL)/GIO_CONG)</f>
        <v/>
      </c>
      <c r="AQ109" s="16"/>
      <c r="AR109" s="16"/>
      <c r="AS109" s="16"/>
    </row>
    <row r="110" customFormat="false" ht="15" hidden="false" customHeight="false" outlineLevel="0" collapsed="false">
      <c r="A110" s="18" t="str">
        <f aca="false">IF(B110="","",ROW()-5)</f>
        <v/>
      </c>
      <c r="B110" s="16"/>
      <c r="C110" s="18" t="str">
        <f aca="false">IF(B110="","",IFERROR(INDEX(NV_TEN,MATCH(B110,NV_MA,0)),"MÃ KHÔNG CÓ"))</f>
        <v/>
      </c>
      <c r="D110" s="18" t="str">
        <f aca="false">IF(B110="","",IFERROR(INDEX(NV_PN,MATCH(B110,NV_MA,0)),""))</f>
        <v/>
      </c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4" t="str">
        <f aca="false">IF(B110="","",SUM(E110:AI110)+SUMPRODUCT(COUNTIF(E110:AI110,KH_MA),KH_LUONG))</f>
        <v/>
      </c>
      <c r="AK110" s="25" t="str">
        <f aca="false">IF(B110="","",AJ110/GIO_CONG)</f>
        <v/>
      </c>
      <c r="AL110" s="26" t="str">
        <f aca="false">IF(B110="","",SUMPRODUCT(COUNTIF(E110:AI110,KH_MA),KH_PHEP)/GIO_CONG)</f>
        <v/>
      </c>
      <c r="AM110" s="26" t="str">
        <f aca="false">IF(B110="","",SUMPRODUCT(COUNTIF(E110:AI110,KH_MA),KH_LE)/GIO_CONG)</f>
        <v/>
      </c>
      <c r="AN110" s="26" t="str">
        <f aca="false">IF(B110="","",SUMPRODUCT(COUNTIF(E110:AI110,KH_MA),KH_LEDL))</f>
        <v/>
      </c>
      <c r="AO110" s="26" t="str">
        <f aca="false">IF(B110="","",SUMPRODUCT(COUNTIF(E110:AI110,KH_MA),KH_CD)/GIO_CONG)</f>
        <v/>
      </c>
      <c r="AP110" s="26" t="str">
        <f aca="false">IF(B110="","",SUMPRODUCT(COUNTIF(E110:AI110,KH_MA),KH_CTL)/GIO_CONG)</f>
        <v/>
      </c>
      <c r="AQ110" s="16"/>
      <c r="AR110" s="16"/>
      <c r="AS110" s="16"/>
    </row>
    <row r="111" customFormat="false" ht="15" hidden="false" customHeight="false" outlineLevel="0" collapsed="false">
      <c r="A111" s="18" t="str">
        <f aca="false">IF(B111="","",ROW()-5)</f>
        <v/>
      </c>
      <c r="B111" s="16"/>
      <c r="C111" s="18" t="str">
        <f aca="false">IF(B111="","",IFERROR(INDEX(NV_TEN,MATCH(B111,NV_MA,0)),"MÃ KHÔNG CÓ"))</f>
        <v/>
      </c>
      <c r="D111" s="18" t="str">
        <f aca="false">IF(B111="","",IFERROR(INDEX(NV_PN,MATCH(B111,NV_MA,0)),""))</f>
        <v/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4" t="str">
        <f aca="false">IF(B111="","",SUM(E111:AI111)+SUMPRODUCT(COUNTIF(E111:AI111,KH_MA),KH_LUONG))</f>
        <v/>
      </c>
      <c r="AK111" s="25" t="str">
        <f aca="false">IF(B111="","",AJ111/GIO_CONG)</f>
        <v/>
      </c>
      <c r="AL111" s="26" t="str">
        <f aca="false">IF(B111="","",SUMPRODUCT(COUNTIF(E111:AI111,KH_MA),KH_PHEP)/GIO_CONG)</f>
        <v/>
      </c>
      <c r="AM111" s="26" t="str">
        <f aca="false">IF(B111="","",SUMPRODUCT(COUNTIF(E111:AI111,KH_MA),KH_LE)/GIO_CONG)</f>
        <v/>
      </c>
      <c r="AN111" s="26" t="str">
        <f aca="false">IF(B111="","",SUMPRODUCT(COUNTIF(E111:AI111,KH_MA),KH_LEDL))</f>
        <v/>
      </c>
      <c r="AO111" s="26" t="str">
        <f aca="false">IF(B111="","",SUMPRODUCT(COUNTIF(E111:AI111,KH_MA),KH_CD)/GIO_CONG)</f>
        <v/>
      </c>
      <c r="AP111" s="26" t="str">
        <f aca="false">IF(B111="","",SUMPRODUCT(COUNTIF(E111:AI111,KH_MA),KH_CTL)/GIO_CONG)</f>
        <v/>
      </c>
      <c r="AQ111" s="16"/>
      <c r="AR111" s="16"/>
      <c r="AS111" s="16"/>
    </row>
    <row r="112" customFormat="false" ht="15" hidden="false" customHeight="false" outlineLevel="0" collapsed="false">
      <c r="A112" s="18" t="str">
        <f aca="false">IF(B112="","",ROW()-5)</f>
        <v/>
      </c>
      <c r="B112" s="16"/>
      <c r="C112" s="18" t="str">
        <f aca="false">IF(B112="","",IFERROR(INDEX(NV_TEN,MATCH(B112,NV_MA,0)),"MÃ KHÔNG CÓ"))</f>
        <v/>
      </c>
      <c r="D112" s="18" t="str">
        <f aca="false">IF(B112="","",IFERROR(INDEX(NV_PN,MATCH(B112,NV_MA,0)),""))</f>
        <v/>
      </c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4" t="str">
        <f aca="false">IF(B112="","",SUM(E112:AI112)+SUMPRODUCT(COUNTIF(E112:AI112,KH_MA),KH_LUONG))</f>
        <v/>
      </c>
      <c r="AK112" s="25" t="str">
        <f aca="false">IF(B112="","",AJ112/GIO_CONG)</f>
        <v/>
      </c>
      <c r="AL112" s="26" t="str">
        <f aca="false">IF(B112="","",SUMPRODUCT(COUNTIF(E112:AI112,KH_MA),KH_PHEP)/GIO_CONG)</f>
        <v/>
      </c>
      <c r="AM112" s="26" t="str">
        <f aca="false">IF(B112="","",SUMPRODUCT(COUNTIF(E112:AI112,KH_MA),KH_LE)/GIO_CONG)</f>
        <v/>
      </c>
      <c r="AN112" s="26" t="str">
        <f aca="false">IF(B112="","",SUMPRODUCT(COUNTIF(E112:AI112,KH_MA),KH_LEDL))</f>
        <v/>
      </c>
      <c r="AO112" s="26" t="str">
        <f aca="false">IF(B112="","",SUMPRODUCT(COUNTIF(E112:AI112,KH_MA),KH_CD)/GIO_CONG)</f>
        <v/>
      </c>
      <c r="AP112" s="26" t="str">
        <f aca="false">IF(B112="","",SUMPRODUCT(COUNTIF(E112:AI112,KH_MA),KH_CTL)/GIO_CONG)</f>
        <v/>
      </c>
      <c r="AQ112" s="16"/>
      <c r="AR112" s="16"/>
      <c r="AS112" s="16"/>
    </row>
    <row r="113" customFormat="false" ht="15" hidden="false" customHeight="false" outlineLevel="0" collapsed="false">
      <c r="A113" s="18" t="str">
        <f aca="false">IF(B113="","",ROW()-5)</f>
        <v/>
      </c>
      <c r="B113" s="16"/>
      <c r="C113" s="18" t="str">
        <f aca="false">IF(B113="","",IFERROR(INDEX(NV_TEN,MATCH(B113,NV_MA,0)),"MÃ KHÔNG CÓ"))</f>
        <v/>
      </c>
      <c r="D113" s="18" t="str">
        <f aca="false">IF(B113="","",IFERROR(INDEX(NV_PN,MATCH(B113,NV_MA,0)),""))</f>
        <v/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4" t="str">
        <f aca="false">IF(B113="","",SUM(E113:AI113)+SUMPRODUCT(COUNTIF(E113:AI113,KH_MA),KH_LUONG))</f>
        <v/>
      </c>
      <c r="AK113" s="25" t="str">
        <f aca="false">IF(B113="","",AJ113/GIO_CONG)</f>
        <v/>
      </c>
      <c r="AL113" s="26" t="str">
        <f aca="false">IF(B113="","",SUMPRODUCT(COUNTIF(E113:AI113,KH_MA),KH_PHEP)/GIO_CONG)</f>
        <v/>
      </c>
      <c r="AM113" s="26" t="str">
        <f aca="false">IF(B113="","",SUMPRODUCT(COUNTIF(E113:AI113,KH_MA),KH_LE)/GIO_CONG)</f>
        <v/>
      </c>
      <c r="AN113" s="26" t="str">
        <f aca="false">IF(B113="","",SUMPRODUCT(COUNTIF(E113:AI113,KH_MA),KH_LEDL))</f>
        <v/>
      </c>
      <c r="AO113" s="26" t="str">
        <f aca="false">IF(B113="","",SUMPRODUCT(COUNTIF(E113:AI113,KH_MA),KH_CD)/GIO_CONG)</f>
        <v/>
      </c>
      <c r="AP113" s="26" t="str">
        <f aca="false">IF(B113="","",SUMPRODUCT(COUNTIF(E113:AI113,KH_MA),KH_CTL)/GIO_CONG)</f>
        <v/>
      </c>
      <c r="AQ113" s="16"/>
      <c r="AR113" s="16"/>
      <c r="AS113" s="16"/>
    </row>
    <row r="114" customFormat="false" ht="15" hidden="false" customHeight="false" outlineLevel="0" collapsed="false">
      <c r="A114" s="18" t="str">
        <f aca="false">IF(B114="","",ROW()-5)</f>
        <v/>
      </c>
      <c r="B114" s="16"/>
      <c r="C114" s="18" t="str">
        <f aca="false">IF(B114="","",IFERROR(INDEX(NV_TEN,MATCH(B114,NV_MA,0)),"MÃ KHÔNG CÓ"))</f>
        <v/>
      </c>
      <c r="D114" s="18" t="str">
        <f aca="false">IF(B114="","",IFERROR(INDEX(NV_PN,MATCH(B114,NV_MA,0)),""))</f>
        <v/>
      </c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4" t="str">
        <f aca="false">IF(B114="","",SUM(E114:AI114)+SUMPRODUCT(COUNTIF(E114:AI114,KH_MA),KH_LUONG))</f>
        <v/>
      </c>
      <c r="AK114" s="25" t="str">
        <f aca="false">IF(B114="","",AJ114/GIO_CONG)</f>
        <v/>
      </c>
      <c r="AL114" s="26" t="str">
        <f aca="false">IF(B114="","",SUMPRODUCT(COUNTIF(E114:AI114,KH_MA),KH_PHEP)/GIO_CONG)</f>
        <v/>
      </c>
      <c r="AM114" s="26" t="str">
        <f aca="false">IF(B114="","",SUMPRODUCT(COUNTIF(E114:AI114,KH_MA),KH_LE)/GIO_CONG)</f>
        <v/>
      </c>
      <c r="AN114" s="26" t="str">
        <f aca="false">IF(B114="","",SUMPRODUCT(COUNTIF(E114:AI114,KH_MA),KH_LEDL))</f>
        <v/>
      </c>
      <c r="AO114" s="26" t="str">
        <f aca="false">IF(B114="","",SUMPRODUCT(COUNTIF(E114:AI114,KH_MA),KH_CD)/GIO_CONG)</f>
        <v/>
      </c>
      <c r="AP114" s="26" t="str">
        <f aca="false">IF(B114="","",SUMPRODUCT(COUNTIF(E114:AI114,KH_MA),KH_CTL)/GIO_CONG)</f>
        <v/>
      </c>
      <c r="AQ114" s="16"/>
      <c r="AR114" s="16"/>
      <c r="AS114" s="16"/>
    </row>
    <row r="115" customFormat="false" ht="15" hidden="false" customHeight="false" outlineLevel="0" collapsed="false">
      <c r="A115" s="18" t="str">
        <f aca="false">IF(B115="","",ROW()-5)</f>
        <v/>
      </c>
      <c r="B115" s="16"/>
      <c r="C115" s="18" t="str">
        <f aca="false">IF(B115="","",IFERROR(INDEX(NV_TEN,MATCH(B115,NV_MA,0)),"MÃ KHÔNG CÓ"))</f>
        <v/>
      </c>
      <c r="D115" s="18" t="str">
        <f aca="false">IF(B115="","",IFERROR(INDEX(NV_PN,MATCH(B115,NV_MA,0)),""))</f>
        <v/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4" t="str">
        <f aca="false">IF(B115="","",SUM(E115:AI115)+SUMPRODUCT(COUNTIF(E115:AI115,KH_MA),KH_LUONG))</f>
        <v/>
      </c>
      <c r="AK115" s="25" t="str">
        <f aca="false">IF(B115="","",AJ115/GIO_CONG)</f>
        <v/>
      </c>
      <c r="AL115" s="26" t="str">
        <f aca="false">IF(B115="","",SUMPRODUCT(COUNTIF(E115:AI115,KH_MA),KH_PHEP)/GIO_CONG)</f>
        <v/>
      </c>
      <c r="AM115" s="26" t="str">
        <f aca="false">IF(B115="","",SUMPRODUCT(COUNTIF(E115:AI115,KH_MA),KH_LE)/GIO_CONG)</f>
        <v/>
      </c>
      <c r="AN115" s="26" t="str">
        <f aca="false">IF(B115="","",SUMPRODUCT(COUNTIF(E115:AI115,KH_MA),KH_LEDL))</f>
        <v/>
      </c>
      <c r="AO115" s="26" t="str">
        <f aca="false">IF(B115="","",SUMPRODUCT(COUNTIF(E115:AI115,KH_MA),KH_CD)/GIO_CONG)</f>
        <v/>
      </c>
      <c r="AP115" s="26" t="str">
        <f aca="false">IF(B115="","",SUMPRODUCT(COUNTIF(E115:AI115,KH_MA),KH_CTL)/GIO_CONG)</f>
        <v/>
      </c>
      <c r="AQ115" s="16"/>
      <c r="AR115" s="16"/>
      <c r="AS115" s="16"/>
    </row>
    <row r="116" customFormat="false" ht="15" hidden="false" customHeight="false" outlineLevel="0" collapsed="false">
      <c r="A116" s="18" t="str">
        <f aca="false">IF(B116="","",ROW()-5)</f>
        <v/>
      </c>
      <c r="B116" s="16"/>
      <c r="C116" s="18" t="str">
        <f aca="false">IF(B116="","",IFERROR(INDEX(NV_TEN,MATCH(B116,NV_MA,0)),"MÃ KHÔNG CÓ"))</f>
        <v/>
      </c>
      <c r="D116" s="18" t="str">
        <f aca="false">IF(B116="","",IFERROR(INDEX(NV_PN,MATCH(B116,NV_MA,0)),""))</f>
        <v/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4" t="str">
        <f aca="false">IF(B116="","",SUM(E116:AI116)+SUMPRODUCT(COUNTIF(E116:AI116,KH_MA),KH_LUONG))</f>
        <v/>
      </c>
      <c r="AK116" s="25" t="str">
        <f aca="false">IF(B116="","",AJ116/GIO_CONG)</f>
        <v/>
      </c>
      <c r="AL116" s="26" t="str">
        <f aca="false">IF(B116="","",SUMPRODUCT(COUNTIF(E116:AI116,KH_MA),KH_PHEP)/GIO_CONG)</f>
        <v/>
      </c>
      <c r="AM116" s="26" t="str">
        <f aca="false">IF(B116="","",SUMPRODUCT(COUNTIF(E116:AI116,KH_MA),KH_LE)/GIO_CONG)</f>
        <v/>
      </c>
      <c r="AN116" s="26" t="str">
        <f aca="false">IF(B116="","",SUMPRODUCT(COUNTIF(E116:AI116,KH_MA),KH_LEDL))</f>
        <v/>
      </c>
      <c r="AO116" s="26" t="str">
        <f aca="false">IF(B116="","",SUMPRODUCT(COUNTIF(E116:AI116,KH_MA),KH_CD)/GIO_CONG)</f>
        <v/>
      </c>
      <c r="AP116" s="26" t="str">
        <f aca="false">IF(B116="","",SUMPRODUCT(COUNTIF(E116:AI116,KH_MA),KH_CTL)/GIO_CONG)</f>
        <v/>
      </c>
      <c r="AQ116" s="16"/>
      <c r="AR116" s="16"/>
      <c r="AS116" s="16"/>
    </row>
    <row r="117" customFormat="false" ht="15" hidden="false" customHeight="false" outlineLevel="0" collapsed="false">
      <c r="A117" s="18" t="str">
        <f aca="false">IF(B117="","",ROW()-5)</f>
        <v/>
      </c>
      <c r="B117" s="16"/>
      <c r="C117" s="18" t="str">
        <f aca="false">IF(B117="","",IFERROR(INDEX(NV_TEN,MATCH(B117,NV_MA,0)),"MÃ KHÔNG CÓ"))</f>
        <v/>
      </c>
      <c r="D117" s="18" t="str">
        <f aca="false">IF(B117="","",IFERROR(INDEX(NV_PN,MATCH(B117,NV_MA,0)),""))</f>
        <v/>
      </c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4" t="str">
        <f aca="false">IF(B117="","",SUM(E117:AI117)+SUMPRODUCT(COUNTIF(E117:AI117,KH_MA),KH_LUONG))</f>
        <v/>
      </c>
      <c r="AK117" s="25" t="str">
        <f aca="false">IF(B117="","",AJ117/GIO_CONG)</f>
        <v/>
      </c>
      <c r="AL117" s="26" t="str">
        <f aca="false">IF(B117="","",SUMPRODUCT(COUNTIF(E117:AI117,KH_MA),KH_PHEP)/GIO_CONG)</f>
        <v/>
      </c>
      <c r="AM117" s="26" t="str">
        <f aca="false">IF(B117="","",SUMPRODUCT(COUNTIF(E117:AI117,KH_MA),KH_LE)/GIO_CONG)</f>
        <v/>
      </c>
      <c r="AN117" s="26" t="str">
        <f aca="false">IF(B117="","",SUMPRODUCT(COUNTIF(E117:AI117,KH_MA),KH_LEDL))</f>
        <v/>
      </c>
      <c r="AO117" s="26" t="str">
        <f aca="false">IF(B117="","",SUMPRODUCT(COUNTIF(E117:AI117,KH_MA),KH_CD)/GIO_CONG)</f>
        <v/>
      </c>
      <c r="AP117" s="26" t="str">
        <f aca="false">IF(B117="","",SUMPRODUCT(COUNTIF(E117:AI117,KH_MA),KH_CTL)/GIO_CONG)</f>
        <v/>
      </c>
      <c r="AQ117" s="16"/>
      <c r="AR117" s="16"/>
      <c r="AS117" s="16"/>
    </row>
    <row r="118" customFormat="false" ht="15" hidden="false" customHeight="false" outlineLevel="0" collapsed="false">
      <c r="A118" s="18" t="str">
        <f aca="false">IF(B118="","",ROW()-5)</f>
        <v/>
      </c>
      <c r="B118" s="16"/>
      <c r="C118" s="18" t="str">
        <f aca="false">IF(B118="","",IFERROR(INDEX(NV_TEN,MATCH(B118,NV_MA,0)),"MÃ KHÔNG CÓ"))</f>
        <v/>
      </c>
      <c r="D118" s="18" t="str">
        <f aca="false">IF(B118="","",IFERROR(INDEX(NV_PN,MATCH(B118,NV_MA,0)),""))</f>
        <v/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4" t="str">
        <f aca="false">IF(B118="","",SUM(E118:AI118)+SUMPRODUCT(COUNTIF(E118:AI118,KH_MA),KH_LUONG))</f>
        <v/>
      </c>
      <c r="AK118" s="25" t="str">
        <f aca="false">IF(B118="","",AJ118/GIO_CONG)</f>
        <v/>
      </c>
      <c r="AL118" s="26" t="str">
        <f aca="false">IF(B118="","",SUMPRODUCT(COUNTIF(E118:AI118,KH_MA),KH_PHEP)/GIO_CONG)</f>
        <v/>
      </c>
      <c r="AM118" s="26" t="str">
        <f aca="false">IF(B118="","",SUMPRODUCT(COUNTIF(E118:AI118,KH_MA),KH_LE)/GIO_CONG)</f>
        <v/>
      </c>
      <c r="AN118" s="26" t="str">
        <f aca="false">IF(B118="","",SUMPRODUCT(COUNTIF(E118:AI118,KH_MA),KH_LEDL))</f>
        <v/>
      </c>
      <c r="AO118" s="26" t="str">
        <f aca="false">IF(B118="","",SUMPRODUCT(COUNTIF(E118:AI118,KH_MA),KH_CD)/GIO_CONG)</f>
        <v/>
      </c>
      <c r="AP118" s="26" t="str">
        <f aca="false">IF(B118="","",SUMPRODUCT(COUNTIF(E118:AI118,KH_MA),KH_CTL)/GIO_CONG)</f>
        <v/>
      </c>
      <c r="AQ118" s="16"/>
      <c r="AR118" s="16"/>
      <c r="AS118" s="16"/>
    </row>
    <row r="119" customFormat="false" ht="15" hidden="false" customHeight="false" outlineLevel="0" collapsed="false">
      <c r="A119" s="18" t="str">
        <f aca="false">IF(B119="","",ROW()-5)</f>
        <v/>
      </c>
      <c r="B119" s="16"/>
      <c r="C119" s="18" t="str">
        <f aca="false">IF(B119="","",IFERROR(INDEX(NV_TEN,MATCH(B119,NV_MA,0)),"MÃ KHÔNG CÓ"))</f>
        <v/>
      </c>
      <c r="D119" s="18" t="str">
        <f aca="false">IF(B119="","",IFERROR(INDEX(NV_PN,MATCH(B119,NV_MA,0)),""))</f>
        <v/>
      </c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4" t="str">
        <f aca="false">IF(B119="","",SUM(E119:AI119)+SUMPRODUCT(COUNTIF(E119:AI119,KH_MA),KH_LUONG))</f>
        <v/>
      </c>
      <c r="AK119" s="25" t="str">
        <f aca="false">IF(B119="","",AJ119/GIO_CONG)</f>
        <v/>
      </c>
      <c r="AL119" s="26" t="str">
        <f aca="false">IF(B119="","",SUMPRODUCT(COUNTIF(E119:AI119,KH_MA),KH_PHEP)/GIO_CONG)</f>
        <v/>
      </c>
      <c r="AM119" s="26" t="str">
        <f aca="false">IF(B119="","",SUMPRODUCT(COUNTIF(E119:AI119,KH_MA),KH_LE)/GIO_CONG)</f>
        <v/>
      </c>
      <c r="AN119" s="26" t="str">
        <f aca="false">IF(B119="","",SUMPRODUCT(COUNTIF(E119:AI119,KH_MA),KH_LEDL))</f>
        <v/>
      </c>
      <c r="AO119" s="26" t="str">
        <f aca="false">IF(B119="","",SUMPRODUCT(COUNTIF(E119:AI119,KH_MA),KH_CD)/GIO_CONG)</f>
        <v/>
      </c>
      <c r="AP119" s="26" t="str">
        <f aca="false">IF(B119="","",SUMPRODUCT(COUNTIF(E119:AI119,KH_MA),KH_CTL)/GIO_CONG)</f>
        <v/>
      </c>
      <c r="AQ119" s="16"/>
      <c r="AR119" s="16"/>
      <c r="AS119" s="16"/>
    </row>
    <row r="120" customFormat="false" ht="15" hidden="false" customHeight="false" outlineLevel="0" collapsed="false">
      <c r="A120" s="18" t="str">
        <f aca="false">IF(B120="","",ROW()-5)</f>
        <v/>
      </c>
      <c r="B120" s="16"/>
      <c r="C120" s="18" t="str">
        <f aca="false">IF(B120="","",IFERROR(INDEX(NV_TEN,MATCH(B120,NV_MA,0)),"MÃ KHÔNG CÓ"))</f>
        <v/>
      </c>
      <c r="D120" s="18" t="str">
        <f aca="false">IF(B120="","",IFERROR(INDEX(NV_PN,MATCH(B120,NV_MA,0)),""))</f>
        <v/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4" t="str">
        <f aca="false">IF(B120="","",SUM(E120:AI120)+SUMPRODUCT(COUNTIF(E120:AI120,KH_MA),KH_LUONG))</f>
        <v/>
      </c>
      <c r="AK120" s="25" t="str">
        <f aca="false">IF(B120="","",AJ120/GIO_CONG)</f>
        <v/>
      </c>
      <c r="AL120" s="26" t="str">
        <f aca="false">IF(B120="","",SUMPRODUCT(COUNTIF(E120:AI120,KH_MA),KH_PHEP)/GIO_CONG)</f>
        <v/>
      </c>
      <c r="AM120" s="26" t="str">
        <f aca="false">IF(B120="","",SUMPRODUCT(COUNTIF(E120:AI120,KH_MA),KH_LE)/GIO_CONG)</f>
        <v/>
      </c>
      <c r="AN120" s="26" t="str">
        <f aca="false">IF(B120="","",SUMPRODUCT(COUNTIF(E120:AI120,KH_MA),KH_LEDL))</f>
        <v/>
      </c>
      <c r="AO120" s="26" t="str">
        <f aca="false">IF(B120="","",SUMPRODUCT(COUNTIF(E120:AI120,KH_MA),KH_CD)/GIO_CONG)</f>
        <v/>
      </c>
      <c r="AP120" s="26" t="str">
        <f aca="false">IF(B120="","",SUMPRODUCT(COUNTIF(E120:AI120,KH_MA),KH_CTL)/GIO_CONG)</f>
        <v/>
      </c>
      <c r="AQ120" s="16"/>
      <c r="AR120" s="16"/>
      <c r="AS120" s="16"/>
    </row>
    <row r="122" customFormat="false" ht="15" hidden="false" customHeight="false" outlineLevel="0" collapsed="false">
      <c r="C122" s="3" t="s">
        <v>291</v>
      </c>
      <c r="AJ122" s="27" t="n">
        <f aca="false">SUM(AJ6:AJ120)</f>
        <v>4048</v>
      </c>
      <c r="AK122" s="27" t="n">
        <f aca="false">SUM(AK6:AK120)</f>
        <v>506</v>
      </c>
      <c r="AL122" s="27" t="n">
        <f aca="false">SUM(AL6:AL120)</f>
        <v>12</v>
      </c>
      <c r="AM122" s="27" t="n">
        <f aca="false">SUM(AM6:AM120)</f>
        <v>1</v>
      </c>
      <c r="AN122" s="27" t="n">
        <f aca="false">SUM(AN6:AN120)</f>
        <v>4</v>
      </c>
      <c r="AO122" s="27" t="n">
        <f aca="false">SUM(AO6:AO120)</f>
        <v>0.5</v>
      </c>
      <c r="AP122" s="27" t="n">
        <f aca="false">SUM(AP6:AP120)</f>
        <v>0</v>
      </c>
    </row>
  </sheetData>
  <sheetProtection sheet="true" formatColumns="false" formatRows="false" sort="false" autoFilter="false"/>
  <conditionalFormatting sqref="E6:AI120">
    <cfRule type="expression" priority="2" aboveAverage="0" equalAverage="0" bottom="0" percent="0" rank="0" text="" dxfId="0">
      <formula>E$3=""</formula>
    </cfRule>
    <cfRule type="expression" priority="3" aboveAverage="0" equalAverage="0" bottom="0" percent="0" rank="0" text="" dxfId="1">
      <formula>AND(E6&lt;&gt;"",NOT(OR(AND(ISNUMBER(E6),E6&gt;=0,E6&lt;=24,MOD(E6*2,1)=0),COUNTIF(KH_MA,E6)&gt;0)))</formula>
    </cfRule>
    <cfRule type="expression" priority="4" aboveAverage="0" equalAverage="0" bottom="0" percent="0" rank="0" text="" dxfId="2">
      <formula>AND(ISNUMBER(E6),E6&gt;GIO_MAX)</formula>
    </cfRule>
    <cfRule type="expression" priority="5" aboveAverage="0" equalAverage="0" bottom="0" percent="0" rank="0" text="" dxfId="3">
      <formula>E$4="CN"</formula>
    </cfRule>
  </conditionalFormatting>
  <dataValidations count="1">
    <dataValidation allowBlank="true" error="Chỉ nhập số giờ 0–24 (bội số 0,5) hoặc mã trong sheet KY_HIEU" errorStyle="stop" errorTitle="Giá trị không hợp lệ" operator="between" showDropDown="false" showErrorMessage="true" showInputMessage="false" sqref="E6:AI120" type="custom">
      <formula1>OR(AND(ISNUMBER(E6),E6&gt;=0,E6&lt;=24,MOD(E6*2,1)=0),COUNTIF(KH_MA,E6)&gt;0)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60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292</v>
      </c>
    </row>
    <row r="2" customFormat="false" ht="15" hidden="false" customHeight="false" outlineLevel="0" collapsed="false">
      <c r="A2" s="2" t="s">
        <v>293</v>
      </c>
    </row>
    <row r="4" customFormat="false" ht="39.75" hidden="false" customHeight="true" outlineLevel="0" collapsed="false">
      <c r="A4" s="15" t="s">
        <v>154</v>
      </c>
      <c r="B4" s="15" t="s">
        <v>155</v>
      </c>
      <c r="C4" s="15" t="s">
        <v>156</v>
      </c>
      <c r="D4" s="15" t="s">
        <v>294</v>
      </c>
      <c r="E4" s="15" t="s">
        <v>295</v>
      </c>
      <c r="F4" s="15" t="s">
        <v>296</v>
      </c>
      <c r="G4" s="15" t="s">
        <v>297</v>
      </c>
      <c r="H4" s="15" t="s">
        <v>298</v>
      </c>
      <c r="I4" s="15" t="s">
        <v>289</v>
      </c>
      <c r="J4" s="15" t="s">
        <v>299</v>
      </c>
    </row>
    <row r="5" customFormat="false" ht="15" hidden="false" customHeight="false" outlineLevel="0" collapsed="false">
      <c r="A5" s="18" t="n">
        <v>1</v>
      </c>
      <c r="B5" s="16" t="s">
        <v>217</v>
      </c>
      <c r="C5" s="18" t="str">
        <f aca="false">IF(B5="","",IFERROR(INDEX(NV_TEN,MATCH(B5,NV_MA,0)),"MÃ KHÔNG CÓ"))</f>
        <v>Nguyễn Ngọc Thanh</v>
      </c>
      <c r="D5" s="16" t="s">
        <v>300</v>
      </c>
      <c r="E5" s="19" t="n">
        <v>3000000</v>
      </c>
      <c r="F5" s="16" t="s">
        <v>301</v>
      </c>
      <c r="G5" s="16" t="s">
        <v>301</v>
      </c>
      <c r="H5" s="16" t="s">
        <v>302</v>
      </c>
      <c r="I5" s="16" t="s">
        <v>303</v>
      </c>
      <c r="J5" s="18" t="str">
        <f aca="false">IF(B5="","",IF(AND(F5&lt;=TEXT(DATE(NAM,THANG,1),"yyyy-mm"),OR(G5="",G5&gt;=TEXT(DATE(NAM,THANG,1),"yyyy-mm"))),"Có","Không"))</f>
        <v>Có</v>
      </c>
    </row>
    <row r="6" customFormat="false" ht="15" hidden="false" customHeight="false" outlineLevel="0" collapsed="false">
      <c r="A6" s="18" t="n">
        <v>2</v>
      </c>
      <c r="B6" s="16" t="s">
        <v>214</v>
      </c>
      <c r="C6" s="18" t="str">
        <f aca="false">IF(B6="","",IFERROR(INDEX(NV_TEN,MATCH(B6,NV_MA,0)),"MÃ KHÔNG CÓ"))</f>
        <v>Cao Phước Tiến</v>
      </c>
      <c r="D6" s="16" t="s">
        <v>304</v>
      </c>
      <c r="E6" s="19" t="n">
        <v>1500000</v>
      </c>
      <c r="F6" s="16" t="s">
        <v>305</v>
      </c>
      <c r="G6" s="16" t="s">
        <v>306</v>
      </c>
      <c r="H6" s="16" t="s">
        <v>307</v>
      </c>
      <c r="I6" s="16" t="s">
        <v>308</v>
      </c>
      <c r="J6" s="18" t="str">
        <f aca="false">IF(B6="","",IF(AND(F6&lt;=TEXT(DATE(NAM,THANG,1),"yyyy-mm"),OR(G6="",G6&gt;=TEXT(DATE(NAM,THANG,1),"yyyy-mm"))),"Có","Không"))</f>
        <v>Có</v>
      </c>
    </row>
    <row r="7" customFormat="false" ht="15" hidden="false" customHeight="false" outlineLevel="0" collapsed="false">
      <c r="A7" s="18" t="n">
        <v>3</v>
      </c>
      <c r="B7" s="16" t="s">
        <v>190</v>
      </c>
      <c r="C7" s="18" t="str">
        <f aca="false">IF(B7="","",IFERROR(INDEX(NV_TEN,MATCH(B7,NV_MA,0)),"MÃ KHÔNG CÓ"))</f>
        <v>Nguyễn Hào</v>
      </c>
      <c r="D7" s="16" t="s">
        <v>309</v>
      </c>
      <c r="E7" s="19" t="n">
        <v>-300000</v>
      </c>
      <c r="F7" s="16" t="s">
        <v>301</v>
      </c>
      <c r="G7" s="16" t="s">
        <v>301</v>
      </c>
      <c r="H7" s="16" t="s">
        <v>310</v>
      </c>
      <c r="I7" s="16" t="s">
        <v>311</v>
      </c>
      <c r="J7" s="18" t="str">
        <f aca="false">IF(B7="","",IF(AND(F7&lt;=TEXT(DATE(NAM,THANG,1),"yyyy-mm"),OR(G7="",G7&gt;=TEXT(DATE(NAM,THANG,1),"yyyy-mm"))),"Có","Không"))</f>
        <v>Có</v>
      </c>
    </row>
    <row r="8" customFormat="false" ht="15" hidden="false" customHeight="false" outlineLevel="0" collapsed="false">
      <c r="A8" s="18" t="n">
        <v>4</v>
      </c>
      <c r="B8" s="16" t="s">
        <v>205</v>
      </c>
      <c r="C8" s="18" t="str">
        <f aca="false">IF(B8="","",IFERROR(INDEX(NV_TEN,MATCH(B8,NV_MA,0)),"MÃ KHÔNG CÓ"))</f>
        <v>Phạm Bá Vinh</v>
      </c>
      <c r="D8" s="16" t="s">
        <v>309</v>
      </c>
      <c r="E8" s="19" t="n">
        <v>-300000</v>
      </c>
      <c r="F8" s="16" t="s">
        <v>301</v>
      </c>
      <c r="G8" s="16" t="s">
        <v>301</v>
      </c>
      <c r="H8" s="16" t="s">
        <v>312</v>
      </c>
      <c r="I8" s="16" t="s">
        <v>311</v>
      </c>
      <c r="J8" s="18" t="str">
        <f aca="false">IF(B8="","",IF(AND(F8&lt;=TEXT(DATE(NAM,THANG,1),"yyyy-mm"),OR(G8="",G8&gt;=TEXT(DATE(NAM,THANG,1),"yyyy-mm"))),"Có","Không"))</f>
        <v>Có</v>
      </c>
    </row>
    <row r="9" customFormat="false" ht="15" hidden="false" customHeight="false" outlineLevel="0" collapsed="false">
      <c r="A9" s="18" t="n">
        <v>5</v>
      </c>
      <c r="B9" s="16" t="s">
        <v>221</v>
      </c>
      <c r="C9" s="18" t="str">
        <f aca="false">IF(B9="","",IFERROR(INDEX(NV_TEN,MATCH(B9,NV_MA,0)),"MÃ KHÔNG CÓ"))</f>
        <v>Dương Vinh Quang</v>
      </c>
      <c r="D9" s="16" t="s">
        <v>309</v>
      </c>
      <c r="E9" s="19" t="n">
        <v>300000</v>
      </c>
      <c r="F9" s="16" t="s">
        <v>301</v>
      </c>
      <c r="G9" s="16" t="s">
        <v>301</v>
      </c>
      <c r="H9" s="16" t="s">
        <v>313</v>
      </c>
      <c r="I9" s="16" t="s">
        <v>311</v>
      </c>
      <c r="J9" s="18" t="str">
        <f aca="false">IF(B9="","",IF(AND(F9&lt;=TEXT(DATE(NAM,THANG,1),"yyyy-mm"),OR(G9="",G9&gt;=TEXT(DATE(NAM,THANG,1),"yyyy-mm"))),"Có","Không"))</f>
        <v>Có</v>
      </c>
    </row>
    <row r="10" customFormat="false" ht="15" hidden="false" customHeight="false" outlineLevel="0" collapsed="false">
      <c r="A10" s="18"/>
      <c r="B10" s="16"/>
      <c r="C10" s="18" t="str">
        <f aca="false">IF(B10="","",IFERROR(INDEX(NV_TEN,MATCH(B10,NV_MA,0)),"MÃ KHÔNG CÓ"))</f>
        <v/>
      </c>
      <c r="D10" s="16"/>
      <c r="E10" s="19"/>
      <c r="F10" s="16"/>
      <c r="G10" s="16"/>
      <c r="H10" s="16"/>
      <c r="I10" s="16"/>
      <c r="J10" s="18" t="str">
        <f aca="false">IF(B10="","",IF(AND(F10&lt;=TEXT(DATE(NAM,THANG,1),"yyyy-mm"),OR(G10="",G10&gt;=TEXT(DATE(NAM,THANG,1),"yyyy-mm"))),"Có","Không"))</f>
        <v/>
      </c>
    </row>
    <row r="11" customFormat="false" ht="15" hidden="false" customHeight="false" outlineLevel="0" collapsed="false">
      <c r="A11" s="18"/>
      <c r="B11" s="16"/>
      <c r="C11" s="18" t="str">
        <f aca="false">IF(B11="","",IFERROR(INDEX(NV_TEN,MATCH(B11,NV_MA,0)),"MÃ KHÔNG CÓ"))</f>
        <v/>
      </c>
      <c r="D11" s="16"/>
      <c r="E11" s="19"/>
      <c r="F11" s="16"/>
      <c r="G11" s="16"/>
      <c r="H11" s="16"/>
      <c r="I11" s="16"/>
      <c r="J11" s="18" t="str">
        <f aca="false">IF(B11="","",IF(AND(F11&lt;=TEXT(DATE(NAM,THANG,1),"yyyy-mm"),OR(G11="",G11&gt;=TEXT(DATE(NAM,THANG,1),"yyyy-mm"))),"Có","Không"))</f>
        <v/>
      </c>
    </row>
    <row r="12" customFormat="false" ht="15" hidden="false" customHeight="false" outlineLevel="0" collapsed="false">
      <c r="A12" s="18"/>
      <c r="B12" s="16"/>
      <c r="C12" s="18" t="str">
        <f aca="false">IF(B12="","",IFERROR(INDEX(NV_TEN,MATCH(B12,NV_MA,0)),"MÃ KHÔNG CÓ"))</f>
        <v/>
      </c>
      <c r="D12" s="16"/>
      <c r="E12" s="19"/>
      <c r="F12" s="16"/>
      <c r="G12" s="16"/>
      <c r="H12" s="16"/>
      <c r="I12" s="16"/>
      <c r="J12" s="18" t="str">
        <f aca="false">IF(B12="","",IF(AND(F12&lt;=TEXT(DATE(NAM,THANG,1),"yyyy-mm"),OR(G12="",G12&gt;=TEXT(DATE(NAM,THANG,1),"yyyy-mm"))),"Có","Không"))</f>
        <v/>
      </c>
    </row>
    <row r="13" customFormat="false" ht="15" hidden="false" customHeight="false" outlineLevel="0" collapsed="false">
      <c r="A13" s="18"/>
      <c r="B13" s="16"/>
      <c r="C13" s="18" t="str">
        <f aca="false">IF(B13="","",IFERROR(INDEX(NV_TEN,MATCH(B13,NV_MA,0)),"MÃ KHÔNG CÓ"))</f>
        <v/>
      </c>
      <c r="D13" s="16"/>
      <c r="E13" s="19"/>
      <c r="F13" s="16"/>
      <c r="G13" s="16"/>
      <c r="H13" s="16"/>
      <c r="I13" s="16"/>
      <c r="J13" s="18" t="str">
        <f aca="false">IF(B13="","",IF(AND(F13&lt;=TEXT(DATE(NAM,THANG,1),"yyyy-mm"),OR(G13="",G13&gt;=TEXT(DATE(NAM,THANG,1),"yyyy-mm"))),"Có","Không"))</f>
        <v/>
      </c>
    </row>
    <row r="14" customFormat="false" ht="15" hidden="false" customHeight="false" outlineLevel="0" collapsed="false">
      <c r="A14" s="18"/>
      <c r="B14" s="16"/>
      <c r="C14" s="18" t="str">
        <f aca="false">IF(B14="","",IFERROR(INDEX(NV_TEN,MATCH(B14,NV_MA,0)),"MÃ KHÔNG CÓ"))</f>
        <v/>
      </c>
      <c r="D14" s="16"/>
      <c r="E14" s="19"/>
      <c r="F14" s="16"/>
      <c r="G14" s="16"/>
      <c r="H14" s="16"/>
      <c r="I14" s="16"/>
      <c r="J14" s="18" t="str">
        <f aca="false">IF(B14="","",IF(AND(F14&lt;=TEXT(DATE(NAM,THANG,1),"yyyy-mm"),OR(G14="",G14&gt;=TEXT(DATE(NAM,THANG,1),"yyyy-mm"))),"Có","Không"))</f>
        <v/>
      </c>
    </row>
    <row r="15" customFormat="false" ht="15" hidden="false" customHeight="false" outlineLevel="0" collapsed="false">
      <c r="A15" s="18"/>
      <c r="B15" s="16"/>
      <c r="C15" s="18" t="str">
        <f aca="false">IF(B15="","",IFERROR(INDEX(NV_TEN,MATCH(B15,NV_MA,0)),"MÃ KHÔNG CÓ"))</f>
        <v/>
      </c>
      <c r="D15" s="16"/>
      <c r="E15" s="19"/>
      <c r="F15" s="16"/>
      <c r="G15" s="16"/>
      <c r="H15" s="16"/>
      <c r="I15" s="16"/>
      <c r="J15" s="18" t="str">
        <f aca="false">IF(B15="","",IF(AND(F15&lt;=TEXT(DATE(NAM,THANG,1),"yyyy-mm"),OR(G15="",G15&gt;=TEXT(DATE(NAM,THANG,1),"yyyy-mm"))),"Có","Không"))</f>
        <v/>
      </c>
    </row>
    <row r="16" customFormat="false" ht="15" hidden="false" customHeight="false" outlineLevel="0" collapsed="false">
      <c r="A16" s="18"/>
      <c r="B16" s="16"/>
      <c r="C16" s="18" t="str">
        <f aca="false">IF(B16="","",IFERROR(INDEX(NV_TEN,MATCH(B16,NV_MA,0)),"MÃ KHÔNG CÓ"))</f>
        <v/>
      </c>
      <c r="D16" s="16"/>
      <c r="E16" s="19"/>
      <c r="F16" s="16"/>
      <c r="G16" s="16"/>
      <c r="H16" s="16"/>
      <c r="I16" s="16"/>
      <c r="J16" s="18" t="str">
        <f aca="false">IF(B16="","",IF(AND(F16&lt;=TEXT(DATE(NAM,THANG,1),"yyyy-mm"),OR(G16="",G16&gt;=TEXT(DATE(NAM,THANG,1),"yyyy-mm"))),"Có","Không"))</f>
        <v/>
      </c>
    </row>
    <row r="17" customFormat="false" ht="15" hidden="false" customHeight="false" outlineLevel="0" collapsed="false">
      <c r="A17" s="18"/>
      <c r="B17" s="16"/>
      <c r="C17" s="18" t="str">
        <f aca="false">IF(B17="","",IFERROR(INDEX(NV_TEN,MATCH(B17,NV_MA,0)),"MÃ KHÔNG CÓ"))</f>
        <v/>
      </c>
      <c r="D17" s="16"/>
      <c r="E17" s="19"/>
      <c r="F17" s="16"/>
      <c r="G17" s="16"/>
      <c r="H17" s="16"/>
      <c r="I17" s="16"/>
      <c r="J17" s="18" t="str">
        <f aca="false">IF(B17="","",IF(AND(F17&lt;=TEXT(DATE(NAM,THANG,1),"yyyy-mm"),OR(G17="",G17&gt;=TEXT(DATE(NAM,THANG,1),"yyyy-mm"))),"Có","Không"))</f>
        <v/>
      </c>
    </row>
    <row r="18" customFormat="false" ht="15" hidden="false" customHeight="false" outlineLevel="0" collapsed="false">
      <c r="A18" s="18"/>
      <c r="B18" s="16"/>
      <c r="C18" s="18" t="str">
        <f aca="false">IF(B18="","",IFERROR(INDEX(NV_TEN,MATCH(B18,NV_MA,0)),"MÃ KHÔNG CÓ"))</f>
        <v/>
      </c>
      <c r="D18" s="16"/>
      <c r="E18" s="19"/>
      <c r="F18" s="16"/>
      <c r="G18" s="16"/>
      <c r="H18" s="16"/>
      <c r="I18" s="16"/>
      <c r="J18" s="18" t="str">
        <f aca="false">IF(B18="","",IF(AND(F18&lt;=TEXT(DATE(NAM,THANG,1),"yyyy-mm"),OR(G18="",G18&gt;=TEXT(DATE(NAM,THANG,1),"yyyy-mm"))),"Có","Không"))</f>
        <v/>
      </c>
    </row>
    <row r="19" customFormat="false" ht="15" hidden="false" customHeight="false" outlineLevel="0" collapsed="false">
      <c r="A19" s="18"/>
      <c r="B19" s="16"/>
      <c r="C19" s="18" t="str">
        <f aca="false">IF(B19="","",IFERROR(INDEX(NV_TEN,MATCH(B19,NV_MA,0)),"MÃ KHÔNG CÓ"))</f>
        <v/>
      </c>
      <c r="D19" s="16"/>
      <c r="E19" s="19"/>
      <c r="F19" s="16"/>
      <c r="G19" s="16"/>
      <c r="H19" s="16"/>
      <c r="I19" s="16"/>
      <c r="J19" s="18" t="str">
        <f aca="false">IF(B19="","",IF(AND(F19&lt;=TEXT(DATE(NAM,THANG,1),"yyyy-mm"),OR(G19="",G19&gt;=TEXT(DATE(NAM,THANG,1),"yyyy-mm"))),"Có","Không"))</f>
        <v/>
      </c>
    </row>
    <row r="20" customFormat="false" ht="15" hidden="false" customHeight="false" outlineLevel="0" collapsed="false">
      <c r="A20" s="18"/>
      <c r="B20" s="16"/>
      <c r="C20" s="18" t="str">
        <f aca="false">IF(B20="","",IFERROR(INDEX(NV_TEN,MATCH(B20,NV_MA,0)),"MÃ KHÔNG CÓ"))</f>
        <v/>
      </c>
      <c r="D20" s="16"/>
      <c r="E20" s="19"/>
      <c r="F20" s="16"/>
      <c r="G20" s="16"/>
      <c r="H20" s="16"/>
      <c r="I20" s="16"/>
      <c r="J20" s="18" t="str">
        <f aca="false">IF(B20="","",IF(AND(F20&lt;=TEXT(DATE(NAM,THANG,1),"yyyy-mm"),OR(G20="",G20&gt;=TEXT(DATE(NAM,THANG,1),"yyyy-mm"))),"Có","Không"))</f>
        <v/>
      </c>
    </row>
    <row r="21" customFormat="false" ht="15" hidden="false" customHeight="false" outlineLevel="0" collapsed="false">
      <c r="A21" s="18"/>
      <c r="B21" s="16"/>
      <c r="C21" s="18" t="str">
        <f aca="false">IF(B21="","",IFERROR(INDEX(NV_TEN,MATCH(B21,NV_MA,0)),"MÃ KHÔNG CÓ"))</f>
        <v/>
      </c>
      <c r="D21" s="16"/>
      <c r="E21" s="19"/>
      <c r="F21" s="16"/>
      <c r="G21" s="16"/>
      <c r="H21" s="16"/>
      <c r="I21" s="16"/>
      <c r="J21" s="18" t="str">
        <f aca="false">IF(B21="","",IF(AND(F21&lt;=TEXT(DATE(NAM,THANG,1),"yyyy-mm"),OR(G21="",G21&gt;=TEXT(DATE(NAM,THANG,1),"yyyy-mm"))),"Có","Không"))</f>
        <v/>
      </c>
    </row>
    <row r="22" customFormat="false" ht="15" hidden="false" customHeight="false" outlineLevel="0" collapsed="false">
      <c r="A22" s="18"/>
      <c r="B22" s="16"/>
      <c r="C22" s="18" t="str">
        <f aca="false">IF(B22="","",IFERROR(INDEX(NV_TEN,MATCH(B22,NV_MA,0)),"MÃ KHÔNG CÓ"))</f>
        <v/>
      </c>
      <c r="D22" s="16"/>
      <c r="E22" s="19"/>
      <c r="F22" s="16"/>
      <c r="G22" s="16"/>
      <c r="H22" s="16"/>
      <c r="I22" s="16"/>
      <c r="J22" s="18" t="str">
        <f aca="false">IF(B22="","",IF(AND(F22&lt;=TEXT(DATE(NAM,THANG,1),"yyyy-mm"),OR(G22="",G22&gt;=TEXT(DATE(NAM,THANG,1),"yyyy-mm"))),"Có","Không"))</f>
        <v/>
      </c>
    </row>
    <row r="23" customFormat="false" ht="15" hidden="false" customHeight="false" outlineLevel="0" collapsed="false">
      <c r="A23" s="18"/>
      <c r="B23" s="16"/>
      <c r="C23" s="18" t="str">
        <f aca="false">IF(B23="","",IFERROR(INDEX(NV_TEN,MATCH(B23,NV_MA,0)),"MÃ KHÔNG CÓ"))</f>
        <v/>
      </c>
      <c r="D23" s="16"/>
      <c r="E23" s="19"/>
      <c r="F23" s="16"/>
      <c r="G23" s="16"/>
      <c r="H23" s="16"/>
      <c r="I23" s="16"/>
      <c r="J23" s="18" t="str">
        <f aca="false">IF(B23="","",IF(AND(F23&lt;=TEXT(DATE(NAM,THANG,1),"yyyy-mm"),OR(G23="",G23&gt;=TEXT(DATE(NAM,THANG,1),"yyyy-mm"))),"Có","Không"))</f>
        <v/>
      </c>
    </row>
    <row r="24" customFormat="false" ht="15" hidden="false" customHeight="false" outlineLevel="0" collapsed="false">
      <c r="A24" s="18"/>
      <c r="B24" s="16"/>
      <c r="C24" s="18" t="str">
        <f aca="false">IF(B24="","",IFERROR(INDEX(NV_TEN,MATCH(B24,NV_MA,0)),"MÃ KHÔNG CÓ"))</f>
        <v/>
      </c>
      <c r="D24" s="16"/>
      <c r="E24" s="19"/>
      <c r="F24" s="16"/>
      <c r="G24" s="16"/>
      <c r="H24" s="16"/>
      <c r="I24" s="16"/>
      <c r="J24" s="18" t="str">
        <f aca="false">IF(B24="","",IF(AND(F24&lt;=TEXT(DATE(NAM,THANG,1),"yyyy-mm"),OR(G24="",G24&gt;=TEXT(DATE(NAM,THANG,1),"yyyy-mm"))),"Có","Không"))</f>
        <v/>
      </c>
    </row>
    <row r="25" customFormat="false" ht="15" hidden="false" customHeight="false" outlineLevel="0" collapsed="false">
      <c r="A25" s="18"/>
      <c r="B25" s="16"/>
      <c r="C25" s="18" t="str">
        <f aca="false">IF(B25="","",IFERROR(INDEX(NV_TEN,MATCH(B25,NV_MA,0)),"MÃ KHÔNG CÓ"))</f>
        <v/>
      </c>
      <c r="D25" s="16"/>
      <c r="E25" s="19"/>
      <c r="F25" s="16"/>
      <c r="G25" s="16"/>
      <c r="H25" s="16"/>
      <c r="I25" s="16"/>
      <c r="J25" s="18" t="str">
        <f aca="false">IF(B25="","",IF(AND(F25&lt;=TEXT(DATE(NAM,THANG,1),"yyyy-mm"),OR(G25="",G25&gt;=TEXT(DATE(NAM,THANG,1),"yyyy-mm"))),"Có","Không"))</f>
        <v/>
      </c>
    </row>
    <row r="26" customFormat="false" ht="15" hidden="false" customHeight="false" outlineLevel="0" collapsed="false">
      <c r="A26" s="18"/>
      <c r="B26" s="16"/>
      <c r="C26" s="18" t="str">
        <f aca="false">IF(B26="","",IFERROR(INDEX(NV_TEN,MATCH(B26,NV_MA,0)),"MÃ KHÔNG CÓ"))</f>
        <v/>
      </c>
      <c r="D26" s="16"/>
      <c r="E26" s="19"/>
      <c r="F26" s="16"/>
      <c r="G26" s="16"/>
      <c r="H26" s="16"/>
      <c r="I26" s="16"/>
      <c r="J26" s="18" t="str">
        <f aca="false">IF(B26="","",IF(AND(F26&lt;=TEXT(DATE(NAM,THANG,1),"yyyy-mm"),OR(G26="",G26&gt;=TEXT(DATE(NAM,THANG,1),"yyyy-mm"))),"Có","Không"))</f>
        <v/>
      </c>
    </row>
    <row r="27" customFormat="false" ht="15" hidden="false" customHeight="false" outlineLevel="0" collapsed="false">
      <c r="A27" s="18"/>
      <c r="B27" s="16"/>
      <c r="C27" s="18" t="str">
        <f aca="false">IF(B27="","",IFERROR(INDEX(NV_TEN,MATCH(B27,NV_MA,0)),"MÃ KHÔNG CÓ"))</f>
        <v/>
      </c>
      <c r="D27" s="16"/>
      <c r="E27" s="19"/>
      <c r="F27" s="16"/>
      <c r="G27" s="16"/>
      <c r="H27" s="16"/>
      <c r="I27" s="16"/>
      <c r="J27" s="18" t="str">
        <f aca="false">IF(B27="","",IF(AND(F27&lt;=TEXT(DATE(NAM,THANG,1),"yyyy-mm"),OR(G27="",G27&gt;=TEXT(DATE(NAM,THANG,1),"yyyy-mm"))),"Có","Không"))</f>
        <v/>
      </c>
    </row>
    <row r="28" customFormat="false" ht="15" hidden="false" customHeight="false" outlineLevel="0" collapsed="false">
      <c r="A28" s="18"/>
      <c r="B28" s="16"/>
      <c r="C28" s="18" t="str">
        <f aca="false">IF(B28="","",IFERROR(INDEX(NV_TEN,MATCH(B28,NV_MA,0)),"MÃ KHÔNG CÓ"))</f>
        <v/>
      </c>
      <c r="D28" s="16"/>
      <c r="E28" s="19"/>
      <c r="F28" s="16"/>
      <c r="G28" s="16"/>
      <c r="H28" s="16"/>
      <c r="I28" s="16"/>
      <c r="J28" s="18" t="str">
        <f aca="false">IF(B28="","",IF(AND(F28&lt;=TEXT(DATE(NAM,THANG,1),"yyyy-mm"),OR(G28="",G28&gt;=TEXT(DATE(NAM,THANG,1),"yyyy-mm"))),"Có","Không"))</f>
        <v/>
      </c>
    </row>
    <row r="29" customFormat="false" ht="15" hidden="false" customHeight="false" outlineLevel="0" collapsed="false">
      <c r="A29" s="18"/>
      <c r="B29" s="16"/>
      <c r="C29" s="18" t="str">
        <f aca="false">IF(B29="","",IFERROR(INDEX(NV_TEN,MATCH(B29,NV_MA,0)),"MÃ KHÔNG CÓ"))</f>
        <v/>
      </c>
      <c r="D29" s="16"/>
      <c r="E29" s="19"/>
      <c r="F29" s="16"/>
      <c r="G29" s="16"/>
      <c r="H29" s="16"/>
      <c r="I29" s="16"/>
      <c r="J29" s="18" t="str">
        <f aca="false">IF(B29="","",IF(AND(F29&lt;=TEXT(DATE(NAM,THANG,1),"yyyy-mm"),OR(G29="",G29&gt;=TEXT(DATE(NAM,THANG,1),"yyyy-mm"))),"Có","Không"))</f>
        <v/>
      </c>
    </row>
    <row r="30" customFormat="false" ht="15" hidden="false" customHeight="false" outlineLevel="0" collapsed="false">
      <c r="A30" s="18"/>
      <c r="B30" s="16"/>
      <c r="C30" s="18" t="str">
        <f aca="false">IF(B30="","",IFERROR(INDEX(NV_TEN,MATCH(B30,NV_MA,0)),"MÃ KHÔNG CÓ"))</f>
        <v/>
      </c>
      <c r="D30" s="16"/>
      <c r="E30" s="19"/>
      <c r="F30" s="16"/>
      <c r="G30" s="16"/>
      <c r="H30" s="16"/>
      <c r="I30" s="16"/>
      <c r="J30" s="18" t="str">
        <f aca="false">IF(B30="","",IF(AND(F30&lt;=TEXT(DATE(NAM,THANG,1),"yyyy-mm"),OR(G30="",G30&gt;=TEXT(DATE(NAM,THANG,1),"yyyy-mm"))),"Có","Không"))</f>
        <v/>
      </c>
    </row>
    <row r="31" customFormat="false" ht="15" hidden="false" customHeight="false" outlineLevel="0" collapsed="false">
      <c r="A31" s="18"/>
      <c r="B31" s="16"/>
      <c r="C31" s="18" t="str">
        <f aca="false">IF(B31="","",IFERROR(INDEX(NV_TEN,MATCH(B31,NV_MA,0)),"MÃ KHÔNG CÓ"))</f>
        <v/>
      </c>
      <c r="D31" s="16"/>
      <c r="E31" s="19"/>
      <c r="F31" s="16"/>
      <c r="G31" s="16"/>
      <c r="H31" s="16"/>
      <c r="I31" s="16"/>
      <c r="J31" s="18" t="str">
        <f aca="false">IF(B31="","",IF(AND(F31&lt;=TEXT(DATE(NAM,THANG,1),"yyyy-mm"),OR(G31="",G31&gt;=TEXT(DATE(NAM,THANG,1),"yyyy-mm"))),"Có","Không"))</f>
        <v/>
      </c>
    </row>
    <row r="32" customFormat="false" ht="15" hidden="false" customHeight="false" outlineLevel="0" collapsed="false">
      <c r="A32" s="18"/>
      <c r="B32" s="16"/>
      <c r="C32" s="18" t="str">
        <f aca="false">IF(B32="","",IFERROR(INDEX(NV_TEN,MATCH(B32,NV_MA,0)),"MÃ KHÔNG CÓ"))</f>
        <v/>
      </c>
      <c r="D32" s="16"/>
      <c r="E32" s="19"/>
      <c r="F32" s="16"/>
      <c r="G32" s="16"/>
      <c r="H32" s="16"/>
      <c r="I32" s="16"/>
      <c r="J32" s="18" t="str">
        <f aca="false">IF(B32="","",IF(AND(F32&lt;=TEXT(DATE(NAM,THANG,1),"yyyy-mm"),OR(G32="",G32&gt;=TEXT(DATE(NAM,THANG,1),"yyyy-mm"))),"Có","Không"))</f>
        <v/>
      </c>
    </row>
    <row r="33" customFormat="false" ht="15" hidden="false" customHeight="false" outlineLevel="0" collapsed="false">
      <c r="A33" s="18"/>
      <c r="B33" s="16"/>
      <c r="C33" s="18" t="str">
        <f aca="false">IF(B33="","",IFERROR(INDEX(NV_TEN,MATCH(B33,NV_MA,0)),"MÃ KHÔNG CÓ"))</f>
        <v/>
      </c>
      <c r="D33" s="16"/>
      <c r="E33" s="19"/>
      <c r="F33" s="16"/>
      <c r="G33" s="16"/>
      <c r="H33" s="16"/>
      <c r="I33" s="16"/>
      <c r="J33" s="18" t="str">
        <f aca="false">IF(B33="","",IF(AND(F33&lt;=TEXT(DATE(NAM,THANG,1),"yyyy-mm"),OR(G33="",G33&gt;=TEXT(DATE(NAM,THANG,1),"yyyy-mm"))),"Có","Không"))</f>
        <v/>
      </c>
    </row>
    <row r="34" customFormat="false" ht="15" hidden="false" customHeight="false" outlineLevel="0" collapsed="false">
      <c r="A34" s="18"/>
      <c r="B34" s="16"/>
      <c r="C34" s="18" t="str">
        <f aca="false">IF(B34="","",IFERROR(INDEX(NV_TEN,MATCH(B34,NV_MA,0)),"MÃ KHÔNG CÓ"))</f>
        <v/>
      </c>
      <c r="D34" s="16"/>
      <c r="E34" s="19"/>
      <c r="F34" s="16"/>
      <c r="G34" s="16"/>
      <c r="H34" s="16"/>
      <c r="I34" s="16"/>
      <c r="J34" s="18" t="str">
        <f aca="false">IF(B34="","",IF(AND(F34&lt;=TEXT(DATE(NAM,THANG,1),"yyyy-mm"),OR(G34="",G34&gt;=TEXT(DATE(NAM,THANG,1),"yyyy-mm"))),"Có","Không"))</f>
        <v/>
      </c>
    </row>
    <row r="35" customFormat="false" ht="15" hidden="false" customHeight="false" outlineLevel="0" collapsed="false">
      <c r="A35" s="18"/>
      <c r="B35" s="16"/>
      <c r="C35" s="18" t="str">
        <f aca="false">IF(B35="","",IFERROR(INDEX(NV_TEN,MATCH(B35,NV_MA,0)),"MÃ KHÔNG CÓ"))</f>
        <v/>
      </c>
      <c r="D35" s="16"/>
      <c r="E35" s="19"/>
      <c r="F35" s="16"/>
      <c r="G35" s="16"/>
      <c r="H35" s="16"/>
      <c r="I35" s="16"/>
      <c r="J35" s="18" t="str">
        <f aca="false">IF(B35="","",IF(AND(F35&lt;=TEXT(DATE(NAM,THANG,1),"yyyy-mm"),OR(G35="",G35&gt;=TEXT(DATE(NAM,THANG,1),"yyyy-mm"))),"Có","Không"))</f>
        <v/>
      </c>
    </row>
    <row r="36" customFormat="false" ht="15" hidden="false" customHeight="false" outlineLevel="0" collapsed="false">
      <c r="A36" s="18"/>
      <c r="B36" s="16"/>
      <c r="C36" s="18" t="str">
        <f aca="false">IF(B36="","",IFERROR(INDEX(NV_TEN,MATCH(B36,NV_MA,0)),"MÃ KHÔNG CÓ"))</f>
        <v/>
      </c>
      <c r="D36" s="16"/>
      <c r="E36" s="19"/>
      <c r="F36" s="16"/>
      <c r="G36" s="16"/>
      <c r="H36" s="16"/>
      <c r="I36" s="16"/>
      <c r="J36" s="18" t="str">
        <f aca="false">IF(B36="","",IF(AND(F36&lt;=TEXT(DATE(NAM,THANG,1),"yyyy-mm"),OR(G36="",G36&gt;=TEXT(DATE(NAM,THANG,1),"yyyy-mm"))),"Có","Không"))</f>
        <v/>
      </c>
    </row>
    <row r="37" customFormat="false" ht="15" hidden="false" customHeight="false" outlineLevel="0" collapsed="false">
      <c r="A37" s="18"/>
      <c r="B37" s="16"/>
      <c r="C37" s="18" t="str">
        <f aca="false">IF(B37="","",IFERROR(INDEX(NV_TEN,MATCH(B37,NV_MA,0)),"MÃ KHÔNG CÓ"))</f>
        <v/>
      </c>
      <c r="D37" s="16"/>
      <c r="E37" s="19"/>
      <c r="F37" s="16"/>
      <c r="G37" s="16"/>
      <c r="H37" s="16"/>
      <c r="I37" s="16"/>
      <c r="J37" s="18" t="str">
        <f aca="false">IF(B37="","",IF(AND(F37&lt;=TEXT(DATE(NAM,THANG,1),"yyyy-mm"),OR(G37="",G37&gt;=TEXT(DATE(NAM,THANG,1),"yyyy-mm"))),"Có","Không"))</f>
        <v/>
      </c>
    </row>
    <row r="38" customFormat="false" ht="15" hidden="false" customHeight="false" outlineLevel="0" collapsed="false">
      <c r="A38" s="18"/>
      <c r="B38" s="16"/>
      <c r="C38" s="18" t="str">
        <f aca="false">IF(B38="","",IFERROR(INDEX(NV_TEN,MATCH(B38,NV_MA,0)),"MÃ KHÔNG CÓ"))</f>
        <v/>
      </c>
      <c r="D38" s="16"/>
      <c r="E38" s="19"/>
      <c r="F38" s="16"/>
      <c r="G38" s="16"/>
      <c r="H38" s="16"/>
      <c r="I38" s="16"/>
      <c r="J38" s="18" t="str">
        <f aca="false">IF(B38="","",IF(AND(F38&lt;=TEXT(DATE(NAM,THANG,1),"yyyy-mm"),OR(G38="",G38&gt;=TEXT(DATE(NAM,THANG,1),"yyyy-mm"))),"Có","Không"))</f>
        <v/>
      </c>
    </row>
    <row r="39" customFormat="false" ht="15" hidden="false" customHeight="false" outlineLevel="0" collapsed="false">
      <c r="A39" s="18"/>
      <c r="B39" s="16"/>
      <c r="C39" s="18" t="str">
        <f aca="false">IF(B39="","",IFERROR(INDEX(NV_TEN,MATCH(B39,NV_MA,0)),"MÃ KHÔNG CÓ"))</f>
        <v/>
      </c>
      <c r="D39" s="16"/>
      <c r="E39" s="19"/>
      <c r="F39" s="16"/>
      <c r="G39" s="16"/>
      <c r="H39" s="16"/>
      <c r="I39" s="16"/>
      <c r="J39" s="18" t="str">
        <f aca="false">IF(B39="","",IF(AND(F39&lt;=TEXT(DATE(NAM,THANG,1),"yyyy-mm"),OR(G39="",G39&gt;=TEXT(DATE(NAM,THANG,1),"yyyy-mm"))),"Có","Không"))</f>
        <v/>
      </c>
    </row>
    <row r="40" customFormat="false" ht="15" hidden="false" customHeight="false" outlineLevel="0" collapsed="false">
      <c r="A40" s="18"/>
      <c r="B40" s="16"/>
      <c r="C40" s="18" t="str">
        <f aca="false">IF(B40="","",IFERROR(INDEX(NV_TEN,MATCH(B40,NV_MA,0)),"MÃ KHÔNG CÓ"))</f>
        <v/>
      </c>
      <c r="D40" s="16"/>
      <c r="E40" s="19"/>
      <c r="F40" s="16"/>
      <c r="G40" s="16"/>
      <c r="H40" s="16"/>
      <c r="I40" s="16"/>
      <c r="J40" s="18" t="str">
        <f aca="false">IF(B40="","",IF(AND(F40&lt;=TEXT(DATE(NAM,THANG,1),"yyyy-mm"),OR(G40="",G40&gt;=TEXT(DATE(NAM,THANG,1),"yyyy-mm"))),"Có","Không"))</f>
        <v/>
      </c>
    </row>
    <row r="41" customFormat="false" ht="15" hidden="false" customHeight="false" outlineLevel="0" collapsed="false">
      <c r="A41" s="18"/>
      <c r="B41" s="16"/>
      <c r="C41" s="18" t="str">
        <f aca="false">IF(B41="","",IFERROR(INDEX(NV_TEN,MATCH(B41,NV_MA,0)),"MÃ KHÔNG CÓ"))</f>
        <v/>
      </c>
      <c r="D41" s="16"/>
      <c r="E41" s="19"/>
      <c r="F41" s="16"/>
      <c r="G41" s="16"/>
      <c r="H41" s="16"/>
      <c r="I41" s="16"/>
      <c r="J41" s="18" t="str">
        <f aca="false">IF(B41="","",IF(AND(F41&lt;=TEXT(DATE(NAM,THANG,1),"yyyy-mm"),OR(G41="",G41&gt;=TEXT(DATE(NAM,THANG,1),"yyyy-mm"))),"Có","Không"))</f>
        <v/>
      </c>
    </row>
    <row r="42" customFormat="false" ht="15" hidden="false" customHeight="false" outlineLevel="0" collapsed="false">
      <c r="A42" s="18"/>
      <c r="B42" s="16"/>
      <c r="C42" s="18" t="str">
        <f aca="false">IF(B42="","",IFERROR(INDEX(NV_TEN,MATCH(B42,NV_MA,0)),"MÃ KHÔNG CÓ"))</f>
        <v/>
      </c>
      <c r="D42" s="16"/>
      <c r="E42" s="19"/>
      <c r="F42" s="16"/>
      <c r="G42" s="16"/>
      <c r="H42" s="16"/>
      <c r="I42" s="16"/>
      <c r="J42" s="18" t="str">
        <f aca="false">IF(B42="","",IF(AND(F42&lt;=TEXT(DATE(NAM,THANG,1),"yyyy-mm"),OR(G42="",G42&gt;=TEXT(DATE(NAM,THANG,1),"yyyy-mm"))),"Có","Không"))</f>
        <v/>
      </c>
    </row>
    <row r="43" customFormat="false" ht="15" hidden="false" customHeight="false" outlineLevel="0" collapsed="false">
      <c r="A43" s="18"/>
      <c r="B43" s="16"/>
      <c r="C43" s="18" t="str">
        <f aca="false">IF(B43="","",IFERROR(INDEX(NV_TEN,MATCH(B43,NV_MA,0)),"MÃ KHÔNG CÓ"))</f>
        <v/>
      </c>
      <c r="D43" s="16"/>
      <c r="E43" s="19"/>
      <c r="F43" s="16"/>
      <c r="G43" s="16"/>
      <c r="H43" s="16"/>
      <c r="I43" s="16"/>
      <c r="J43" s="18" t="str">
        <f aca="false">IF(B43="","",IF(AND(F43&lt;=TEXT(DATE(NAM,THANG,1),"yyyy-mm"),OR(G43="",G43&gt;=TEXT(DATE(NAM,THANG,1),"yyyy-mm"))),"Có","Không"))</f>
        <v/>
      </c>
    </row>
    <row r="44" customFormat="false" ht="15" hidden="false" customHeight="false" outlineLevel="0" collapsed="false">
      <c r="A44" s="18"/>
      <c r="B44" s="16"/>
      <c r="C44" s="18" t="str">
        <f aca="false">IF(B44="","",IFERROR(INDEX(NV_TEN,MATCH(B44,NV_MA,0)),"MÃ KHÔNG CÓ"))</f>
        <v/>
      </c>
      <c r="D44" s="16"/>
      <c r="E44" s="19"/>
      <c r="F44" s="16"/>
      <c r="G44" s="16"/>
      <c r="H44" s="16"/>
      <c r="I44" s="16"/>
      <c r="J44" s="18" t="str">
        <f aca="false">IF(B44="","",IF(AND(F44&lt;=TEXT(DATE(NAM,THANG,1),"yyyy-mm"),OR(G44="",G44&gt;=TEXT(DATE(NAM,THANG,1),"yyyy-mm"))),"Có","Không"))</f>
        <v/>
      </c>
    </row>
    <row r="45" customFormat="false" ht="15" hidden="false" customHeight="false" outlineLevel="0" collapsed="false">
      <c r="A45" s="18"/>
      <c r="B45" s="16"/>
      <c r="C45" s="18" t="str">
        <f aca="false">IF(B45="","",IFERROR(INDEX(NV_TEN,MATCH(B45,NV_MA,0)),"MÃ KHÔNG CÓ"))</f>
        <v/>
      </c>
      <c r="D45" s="16"/>
      <c r="E45" s="19"/>
      <c r="F45" s="16"/>
      <c r="G45" s="16"/>
      <c r="H45" s="16"/>
      <c r="I45" s="16"/>
      <c r="J45" s="18" t="str">
        <f aca="false">IF(B45="","",IF(AND(F45&lt;=TEXT(DATE(NAM,THANG,1),"yyyy-mm"),OR(G45="",G45&gt;=TEXT(DATE(NAM,THANG,1),"yyyy-mm"))),"Có","Không"))</f>
        <v/>
      </c>
    </row>
    <row r="46" customFormat="false" ht="15" hidden="false" customHeight="false" outlineLevel="0" collapsed="false">
      <c r="A46" s="18"/>
      <c r="B46" s="16"/>
      <c r="C46" s="18" t="str">
        <f aca="false">IF(B46="","",IFERROR(INDEX(NV_TEN,MATCH(B46,NV_MA,0)),"MÃ KHÔNG CÓ"))</f>
        <v/>
      </c>
      <c r="D46" s="16"/>
      <c r="E46" s="19"/>
      <c r="F46" s="16"/>
      <c r="G46" s="16"/>
      <c r="H46" s="16"/>
      <c r="I46" s="16"/>
      <c r="J46" s="18" t="str">
        <f aca="false">IF(B46="","",IF(AND(F46&lt;=TEXT(DATE(NAM,THANG,1),"yyyy-mm"),OR(G46="",G46&gt;=TEXT(DATE(NAM,THANG,1),"yyyy-mm"))),"Có","Không"))</f>
        <v/>
      </c>
    </row>
    <row r="47" customFormat="false" ht="15" hidden="false" customHeight="false" outlineLevel="0" collapsed="false">
      <c r="A47" s="18"/>
      <c r="B47" s="16"/>
      <c r="C47" s="18" t="str">
        <f aca="false">IF(B47="","",IFERROR(INDEX(NV_TEN,MATCH(B47,NV_MA,0)),"MÃ KHÔNG CÓ"))</f>
        <v/>
      </c>
      <c r="D47" s="16"/>
      <c r="E47" s="19"/>
      <c r="F47" s="16"/>
      <c r="G47" s="16"/>
      <c r="H47" s="16"/>
      <c r="I47" s="16"/>
      <c r="J47" s="18" t="str">
        <f aca="false">IF(B47="","",IF(AND(F47&lt;=TEXT(DATE(NAM,THANG,1),"yyyy-mm"),OR(G47="",G47&gt;=TEXT(DATE(NAM,THANG,1),"yyyy-mm"))),"Có","Không"))</f>
        <v/>
      </c>
    </row>
    <row r="48" customFormat="false" ht="15" hidden="false" customHeight="false" outlineLevel="0" collapsed="false">
      <c r="A48" s="18"/>
      <c r="B48" s="16"/>
      <c r="C48" s="18" t="str">
        <f aca="false">IF(B48="","",IFERROR(INDEX(NV_TEN,MATCH(B48,NV_MA,0)),"MÃ KHÔNG CÓ"))</f>
        <v/>
      </c>
      <c r="D48" s="16"/>
      <c r="E48" s="19"/>
      <c r="F48" s="16"/>
      <c r="G48" s="16"/>
      <c r="H48" s="16"/>
      <c r="I48" s="16"/>
      <c r="J48" s="18" t="str">
        <f aca="false">IF(B48="","",IF(AND(F48&lt;=TEXT(DATE(NAM,THANG,1),"yyyy-mm"),OR(G48="",G48&gt;=TEXT(DATE(NAM,THANG,1),"yyyy-mm"))),"Có","Không"))</f>
        <v/>
      </c>
    </row>
    <row r="49" customFormat="false" ht="15" hidden="false" customHeight="false" outlineLevel="0" collapsed="false">
      <c r="A49" s="18"/>
      <c r="B49" s="16"/>
      <c r="C49" s="18" t="str">
        <f aca="false">IF(B49="","",IFERROR(INDEX(NV_TEN,MATCH(B49,NV_MA,0)),"MÃ KHÔNG CÓ"))</f>
        <v/>
      </c>
      <c r="D49" s="16"/>
      <c r="E49" s="19"/>
      <c r="F49" s="16"/>
      <c r="G49" s="16"/>
      <c r="H49" s="16"/>
      <c r="I49" s="16"/>
      <c r="J49" s="18" t="str">
        <f aca="false">IF(B49="","",IF(AND(F49&lt;=TEXT(DATE(NAM,THANG,1),"yyyy-mm"),OR(G49="",G49&gt;=TEXT(DATE(NAM,THANG,1),"yyyy-mm"))),"Có","Không"))</f>
        <v/>
      </c>
    </row>
    <row r="50" customFormat="false" ht="15" hidden="false" customHeight="false" outlineLevel="0" collapsed="false">
      <c r="A50" s="18"/>
      <c r="B50" s="16"/>
      <c r="C50" s="18" t="str">
        <f aca="false">IF(B50="","",IFERROR(INDEX(NV_TEN,MATCH(B50,NV_MA,0)),"MÃ KHÔNG CÓ"))</f>
        <v/>
      </c>
      <c r="D50" s="16"/>
      <c r="E50" s="19"/>
      <c r="F50" s="16"/>
      <c r="G50" s="16"/>
      <c r="H50" s="16"/>
      <c r="I50" s="16"/>
      <c r="J50" s="18" t="str">
        <f aca="false">IF(B50="","",IF(AND(F50&lt;=TEXT(DATE(NAM,THANG,1),"yyyy-mm"),OR(G50="",G50&gt;=TEXT(DATE(NAM,THANG,1),"yyyy-mm"))),"Có","Không"))</f>
        <v/>
      </c>
    </row>
    <row r="51" customFormat="false" ht="15" hidden="false" customHeight="false" outlineLevel="0" collapsed="false">
      <c r="A51" s="18"/>
      <c r="B51" s="16"/>
      <c r="C51" s="18" t="str">
        <f aca="false">IF(B51="","",IFERROR(INDEX(NV_TEN,MATCH(B51,NV_MA,0)),"MÃ KHÔNG CÓ"))</f>
        <v/>
      </c>
      <c r="D51" s="16"/>
      <c r="E51" s="19"/>
      <c r="F51" s="16"/>
      <c r="G51" s="16"/>
      <c r="H51" s="16"/>
      <c r="I51" s="16"/>
      <c r="J51" s="18" t="str">
        <f aca="false">IF(B51="","",IF(AND(F51&lt;=TEXT(DATE(NAM,THANG,1),"yyyy-mm"),OR(G51="",G51&gt;=TEXT(DATE(NAM,THANG,1),"yyyy-mm"))),"Có","Không"))</f>
        <v/>
      </c>
    </row>
    <row r="52" customFormat="false" ht="15" hidden="false" customHeight="false" outlineLevel="0" collapsed="false">
      <c r="A52" s="18"/>
      <c r="B52" s="16"/>
      <c r="C52" s="18" t="str">
        <f aca="false">IF(B52="","",IFERROR(INDEX(NV_TEN,MATCH(B52,NV_MA,0)),"MÃ KHÔNG CÓ"))</f>
        <v/>
      </c>
      <c r="D52" s="16"/>
      <c r="E52" s="19"/>
      <c r="F52" s="16"/>
      <c r="G52" s="16"/>
      <c r="H52" s="16"/>
      <c r="I52" s="16"/>
      <c r="J52" s="18" t="str">
        <f aca="false">IF(B52="","",IF(AND(F52&lt;=TEXT(DATE(NAM,THANG,1),"yyyy-mm"),OR(G52="",G52&gt;=TEXT(DATE(NAM,THANG,1),"yyyy-mm"))),"Có","Không"))</f>
        <v/>
      </c>
    </row>
    <row r="53" customFormat="false" ht="15" hidden="false" customHeight="false" outlineLevel="0" collapsed="false">
      <c r="A53" s="18"/>
      <c r="B53" s="16"/>
      <c r="C53" s="18" t="str">
        <f aca="false">IF(B53="","",IFERROR(INDEX(NV_TEN,MATCH(B53,NV_MA,0)),"MÃ KHÔNG CÓ"))</f>
        <v/>
      </c>
      <c r="D53" s="16"/>
      <c r="E53" s="19"/>
      <c r="F53" s="16"/>
      <c r="G53" s="16"/>
      <c r="H53" s="16"/>
      <c r="I53" s="16"/>
      <c r="J53" s="18" t="str">
        <f aca="false">IF(B53="","",IF(AND(F53&lt;=TEXT(DATE(NAM,THANG,1),"yyyy-mm"),OR(G53="",G53&gt;=TEXT(DATE(NAM,THANG,1),"yyyy-mm"))),"Có","Không"))</f>
        <v/>
      </c>
    </row>
    <row r="54" customFormat="false" ht="15" hidden="false" customHeight="false" outlineLevel="0" collapsed="false">
      <c r="A54" s="18"/>
      <c r="B54" s="16"/>
      <c r="C54" s="18" t="str">
        <f aca="false">IF(B54="","",IFERROR(INDEX(NV_TEN,MATCH(B54,NV_MA,0)),"MÃ KHÔNG CÓ"))</f>
        <v/>
      </c>
      <c r="D54" s="16"/>
      <c r="E54" s="19"/>
      <c r="F54" s="16"/>
      <c r="G54" s="16"/>
      <c r="H54" s="16"/>
      <c r="I54" s="16"/>
      <c r="J54" s="18" t="str">
        <f aca="false">IF(B54="","",IF(AND(F54&lt;=TEXT(DATE(NAM,THANG,1),"yyyy-mm"),OR(G54="",G54&gt;=TEXT(DATE(NAM,THANG,1),"yyyy-mm"))),"Có","Không"))</f>
        <v/>
      </c>
    </row>
    <row r="55" customFormat="false" ht="15" hidden="false" customHeight="false" outlineLevel="0" collapsed="false">
      <c r="A55" s="18"/>
      <c r="B55" s="16"/>
      <c r="C55" s="18" t="str">
        <f aca="false">IF(B55="","",IFERROR(INDEX(NV_TEN,MATCH(B55,NV_MA,0)),"MÃ KHÔNG CÓ"))</f>
        <v/>
      </c>
      <c r="D55" s="16"/>
      <c r="E55" s="19"/>
      <c r="F55" s="16"/>
      <c r="G55" s="16"/>
      <c r="H55" s="16"/>
      <c r="I55" s="16"/>
      <c r="J55" s="18" t="str">
        <f aca="false">IF(B55="","",IF(AND(F55&lt;=TEXT(DATE(NAM,THANG,1),"yyyy-mm"),OR(G55="",G55&gt;=TEXT(DATE(NAM,THANG,1),"yyyy-mm"))),"Có","Không"))</f>
        <v/>
      </c>
    </row>
    <row r="56" customFormat="false" ht="15" hidden="false" customHeight="false" outlineLevel="0" collapsed="false">
      <c r="A56" s="18"/>
      <c r="B56" s="16"/>
      <c r="C56" s="18" t="str">
        <f aca="false">IF(B56="","",IFERROR(INDEX(NV_TEN,MATCH(B56,NV_MA,0)),"MÃ KHÔNG CÓ"))</f>
        <v/>
      </c>
      <c r="D56" s="16"/>
      <c r="E56" s="19"/>
      <c r="F56" s="16"/>
      <c r="G56" s="16"/>
      <c r="H56" s="16"/>
      <c r="I56" s="16"/>
      <c r="J56" s="18" t="str">
        <f aca="false">IF(B56="","",IF(AND(F56&lt;=TEXT(DATE(NAM,THANG,1),"yyyy-mm"),OR(G56="",G56&gt;=TEXT(DATE(NAM,THANG,1),"yyyy-mm"))),"Có","Không"))</f>
        <v/>
      </c>
    </row>
    <row r="57" customFormat="false" ht="15" hidden="false" customHeight="false" outlineLevel="0" collapsed="false">
      <c r="A57" s="18"/>
      <c r="B57" s="16"/>
      <c r="C57" s="18" t="str">
        <f aca="false">IF(B57="","",IFERROR(INDEX(NV_TEN,MATCH(B57,NV_MA,0)),"MÃ KHÔNG CÓ"))</f>
        <v/>
      </c>
      <c r="D57" s="16"/>
      <c r="E57" s="19"/>
      <c r="F57" s="16"/>
      <c r="G57" s="16"/>
      <c r="H57" s="16"/>
      <c r="I57" s="16"/>
      <c r="J57" s="18" t="str">
        <f aca="false">IF(B57="","",IF(AND(F57&lt;=TEXT(DATE(NAM,THANG,1),"yyyy-mm"),OR(G57="",G57&gt;=TEXT(DATE(NAM,THANG,1),"yyyy-mm"))),"Có","Không"))</f>
        <v/>
      </c>
    </row>
    <row r="58" customFormat="false" ht="15" hidden="false" customHeight="false" outlineLevel="0" collapsed="false">
      <c r="A58" s="18"/>
      <c r="B58" s="16"/>
      <c r="C58" s="18" t="str">
        <f aca="false">IF(B58="","",IFERROR(INDEX(NV_TEN,MATCH(B58,NV_MA,0)),"MÃ KHÔNG CÓ"))</f>
        <v/>
      </c>
      <c r="D58" s="16"/>
      <c r="E58" s="19"/>
      <c r="F58" s="16"/>
      <c r="G58" s="16"/>
      <c r="H58" s="16"/>
      <c r="I58" s="16"/>
      <c r="J58" s="18" t="str">
        <f aca="false">IF(B58="","",IF(AND(F58&lt;=TEXT(DATE(NAM,THANG,1),"yyyy-mm"),OR(G58="",G58&gt;=TEXT(DATE(NAM,THANG,1),"yyyy-mm"))),"Có","Không"))</f>
        <v/>
      </c>
    </row>
    <row r="59" customFormat="false" ht="15" hidden="false" customHeight="false" outlineLevel="0" collapsed="false">
      <c r="A59" s="18"/>
      <c r="B59" s="16"/>
      <c r="C59" s="18" t="str">
        <f aca="false">IF(B59="","",IFERROR(INDEX(NV_TEN,MATCH(B59,NV_MA,0)),"MÃ KHÔNG CÓ"))</f>
        <v/>
      </c>
      <c r="D59" s="16"/>
      <c r="E59" s="19"/>
      <c r="F59" s="16"/>
      <c r="G59" s="16"/>
      <c r="H59" s="16"/>
      <c r="I59" s="16"/>
      <c r="J59" s="18" t="str">
        <f aca="false">IF(B59="","",IF(AND(F59&lt;=TEXT(DATE(NAM,THANG,1),"yyyy-mm"),OR(G59="",G59&gt;=TEXT(DATE(NAM,THANG,1),"yyyy-mm"))),"Có","Không"))</f>
        <v/>
      </c>
    </row>
    <row r="60" customFormat="false" ht="15" hidden="false" customHeight="false" outlineLevel="0" collapsed="false">
      <c r="A60" s="18"/>
      <c r="B60" s="16"/>
      <c r="C60" s="18" t="str">
        <f aca="false">IF(B60="","",IFERROR(INDEX(NV_TEN,MATCH(B60,NV_MA,0)),"MÃ KHÔNG CÓ"))</f>
        <v/>
      </c>
      <c r="D60" s="16"/>
      <c r="E60" s="19"/>
      <c r="F60" s="16"/>
      <c r="G60" s="16"/>
      <c r="H60" s="16"/>
      <c r="I60" s="16"/>
      <c r="J60" s="18" t="str">
        <f aca="false">IF(B60="","",IF(AND(F60&lt;=TEXT(DATE(NAM,THANG,1),"yyyy-mm"),OR(G60="",G60&gt;=TEXT(DATE(NAM,THANG,1),"yyyy-mm"))),"Có","Không"))</f>
        <v/>
      </c>
    </row>
    <row r="61" customFormat="false" ht="15" hidden="false" customHeight="false" outlineLevel="0" collapsed="false">
      <c r="A61" s="18"/>
      <c r="B61" s="16"/>
      <c r="C61" s="18" t="str">
        <f aca="false">IF(B61="","",IFERROR(INDEX(NV_TEN,MATCH(B61,NV_MA,0)),"MÃ KHÔNG CÓ"))</f>
        <v/>
      </c>
      <c r="D61" s="16"/>
      <c r="E61" s="19"/>
      <c r="F61" s="16"/>
      <c r="G61" s="16"/>
      <c r="H61" s="16"/>
      <c r="I61" s="16"/>
      <c r="J61" s="18" t="str">
        <f aca="false">IF(B61="","",IF(AND(F61&lt;=TEXT(DATE(NAM,THANG,1),"yyyy-mm"),OR(G61="",G61&gt;=TEXT(DATE(NAM,THANG,1),"yyyy-mm"))),"Có","Không"))</f>
        <v/>
      </c>
    </row>
    <row r="62" customFormat="false" ht="15" hidden="false" customHeight="false" outlineLevel="0" collapsed="false">
      <c r="A62" s="18"/>
      <c r="B62" s="16"/>
      <c r="C62" s="18" t="str">
        <f aca="false">IF(B62="","",IFERROR(INDEX(NV_TEN,MATCH(B62,NV_MA,0)),"MÃ KHÔNG CÓ"))</f>
        <v/>
      </c>
      <c r="D62" s="16"/>
      <c r="E62" s="19"/>
      <c r="F62" s="16"/>
      <c r="G62" s="16"/>
      <c r="H62" s="16"/>
      <c r="I62" s="16"/>
      <c r="J62" s="18" t="str">
        <f aca="false">IF(B62="","",IF(AND(F62&lt;=TEXT(DATE(NAM,THANG,1),"yyyy-mm"),OR(G62="",G62&gt;=TEXT(DATE(NAM,THANG,1),"yyyy-mm"))),"Có","Không"))</f>
        <v/>
      </c>
    </row>
    <row r="63" customFormat="false" ht="15" hidden="false" customHeight="false" outlineLevel="0" collapsed="false">
      <c r="A63" s="18"/>
      <c r="B63" s="16"/>
      <c r="C63" s="18" t="str">
        <f aca="false">IF(B63="","",IFERROR(INDEX(NV_TEN,MATCH(B63,NV_MA,0)),"MÃ KHÔNG CÓ"))</f>
        <v/>
      </c>
      <c r="D63" s="16"/>
      <c r="E63" s="19"/>
      <c r="F63" s="16"/>
      <c r="G63" s="16"/>
      <c r="H63" s="16"/>
      <c r="I63" s="16"/>
      <c r="J63" s="18" t="str">
        <f aca="false">IF(B63="","",IF(AND(F63&lt;=TEXT(DATE(NAM,THANG,1),"yyyy-mm"),OR(G63="",G63&gt;=TEXT(DATE(NAM,THANG,1),"yyyy-mm"))),"Có","Không"))</f>
        <v/>
      </c>
    </row>
    <row r="64" customFormat="false" ht="15" hidden="false" customHeight="false" outlineLevel="0" collapsed="false">
      <c r="A64" s="18"/>
      <c r="B64" s="16"/>
      <c r="C64" s="18" t="str">
        <f aca="false">IF(B64="","",IFERROR(INDEX(NV_TEN,MATCH(B64,NV_MA,0)),"MÃ KHÔNG CÓ"))</f>
        <v/>
      </c>
      <c r="D64" s="16"/>
      <c r="E64" s="19"/>
      <c r="F64" s="16"/>
      <c r="G64" s="16"/>
      <c r="H64" s="16"/>
      <c r="I64" s="16"/>
      <c r="J64" s="18" t="str">
        <f aca="false">IF(B64="","",IF(AND(F64&lt;=TEXT(DATE(NAM,THANG,1),"yyyy-mm"),OR(G64="",G64&gt;=TEXT(DATE(NAM,THANG,1),"yyyy-mm"))),"Có","Không"))</f>
        <v/>
      </c>
    </row>
    <row r="65" customFormat="false" ht="15" hidden="false" customHeight="false" outlineLevel="0" collapsed="false">
      <c r="A65" s="18"/>
      <c r="B65" s="16"/>
      <c r="C65" s="18" t="str">
        <f aca="false">IF(B65="","",IFERROR(INDEX(NV_TEN,MATCH(B65,NV_MA,0)),"MÃ KHÔNG CÓ"))</f>
        <v/>
      </c>
      <c r="D65" s="16"/>
      <c r="E65" s="19"/>
      <c r="F65" s="16"/>
      <c r="G65" s="16"/>
      <c r="H65" s="16"/>
      <c r="I65" s="16"/>
      <c r="J65" s="18" t="str">
        <f aca="false">IF(B65="","",IF(AND(F65&lt;=TEXT(DATE(NAM,THANG,1),"yyyy-mm"),OR(G65="",G65&gt;=TEXT(DATE(NAM,THANG,1),"yyyy-mm"))),"Có","Không"))</f>
        <v/>
      </c>
    </row>
    <row r="66" customFormat="false" ht="15" hidden="false" customHeight="false" outlineLevel="0" collapsed="false">
      <c r="A66" s="18"/>
      <c r="B66" s="16"/>
      <c r="C66" s="18" t="str">
        <f aca="false">IF(B66="","",IFERROR(INDEX(NV_TEN,MATCH(B66,NV_MA,0)),"MÃ KHÔNG CÓ"))</f>
        <v/>
      </c>
      <c r="D66" s="16"/>
      <c r="E66" s="19"/>
      <c r="F66" s="16"/>
      <c r="G66" s="16"/>
      <c r="H66" s="16"/>
      <c r="I66" s="16"/>
      <c r="J66" s="18" t="str">
        <f aca="false">IF(B66="","",IF(AND(F66&lt;=TEXT(DATE(NAM,THANG,1),"yyyy-mm"),OR(G66="",G66&gt;=TEXT(DATE(NAM,THANG,1),"yyyy-mm"))),"Có","Không"))</f>
        <v/>
      </c>
    </row>
    <row r="67" customFormat="false" ht="15" hidden="false" customHeight="false" outlineLevel="0" collapsed="false">
      <c r="A67" s="18"/>
      <c r="B67" s="16"/>
      <c r="C67" s="18" t="str">
        <f aca="false">IF(B67="","",IFERROR(INDEX(NV_TEN,MATCH(B67,NV_MA,0)),"MÃ KHÔNG CÓ"))</f>
        <v/>
      </c>
      <c r="D67" s="16"/>
      <c r="E67" s="19"/>
      <c r="F67" s="16"/>
      <c r="G67" s="16"/>
      <c r="H67" s="16"/>
      <c r="I67" s="16"/>
      <c r="J67" s="18" t="str">
        <f aca="false">IF(B67="","",IF(AND(F67&lt;=TEXT(DATE(NAM,THANG,1),"yyyy-mm"),OR(G67="",G67&gt;=TEXT(DATE(NAM,THANG,1),"yyyy-mm"))),"Có","Không"))</f>
        <v/>
      </c>
    </row>
    <row r="68" customFormat="false" ht="15" hidden="false" customHeight="false" outlineLevel="0" collapsed="false">
      <c r="A68" s="18"/>
      <c r="B68" s="16"/>
      <c r="C68" s="18" t="str">
        <f aca="false">IF(B68="","",IFERROR(INDEX(NV_TEN,MATCH(B68,NV_MA,0)),"MÃ KHÔNG CÓ"))</f>
        <v/>
      </c>
      <c r="D68" s="16"/>
      <c r="E68" s="19"/>
      <c r="F68" s="16"/>
      <c r="G68" s="16"/>
      <c r="H68" s="16"/>
      <c r="I68" s="16"/>
      <c r="J68" s="18" t="str">
        <f aca="false">IF(B68="","",IF(AND(F68&lt;=TEXT(DATE(NAM,THANG,1),"yyyy-mm"),OR(G68="",G68&gt;=TEXT(DATE(NAM,THANG,1),"yyyy-mm"))),"Có","Không"))</f>
        <v/>
      </c>
    </row>
    <row r="69" customFormat="false" ht="15" hidden="false" customHeight="false" outlineLevel="0" collapsed="false">
      <c r="A69" s="18"/>
      <c r="B69" s="16"/>
      <c r="C69" s="18" t="str">
        <f aca="false">IF(B69="","",IFERROR(INDEX(NV_TEN,MATCH(B69,NV_MA,0)),"MÃ KHÔNG CÓ"))</f>
        <v/>
      </c>
      <c r="D69" s="16"/>
      <c r="E69" s="19"/>
      <c r="F69" s="16"/>
      <c r="G69" s="16"/>
      <c r="H69" s="16"/>
      <c r="I69" s="16"/>
      <c r="J69" s="18" t="str">
        <f aca="false">IF(B69="","",IF(AND(F69&lt;=TEXT(DATE(NAM,THANG,1),"yyyy-mm"),OR(G69="",G69&gt;=TEXT(DATE(NAM,THANG,1),"yyyy-mm"))),"Có","Không"))</f>
        <v/>
      </c>
    </row>
    <row r="70" customFormat="false" ht="15" hidden="false" customHeight="false" outlineLevel="0" collapsed="false">
      <c r="A70" s="18"/>
      <c r="B70" s="16"/>
      <c r="C70" s="18" t="str">
        <f aca="false">IF(B70="","",IFERROR(INDEX(NV_TEN,MATCH(B70,NV_MA,0)),"MÃ KHÔNG CÓ"))</f>
        <v/>
      </c>
      <c r="D70" s="16"/>
      <c r="E70" s="19"/>
      <c r="F70" s="16"/>
      <c r="G70" s="16"/>
      <c r="H70" s="16"/>
      <c r="I70" s="16"/>
      <c r="J70" s="18" t="str">
        <f aca="false">IF(B70="","",IF(AND(F70&lt;=TEXT(DATE(NAM,THANG,1),"yyyy-mm"),OR(G70="",G70&gt;=TEXT(DATE(NAM,THANG,1),"yyyy-mm"))),"Có","Không"))</f>
        <v/>
      </c>
    </row>
    <row r="71" customFormat="false" ht="15" hidden="false" customHeight="false" outlineLevel="0" collapsed="false">
      <c r="A71" s="18"/>
      <c r="B71" s="16"/>
      <c r="C71" s="18" t="str">
        <f aca="false">IF(B71="","",IFERROR(INDEX(NV_TEN,MATCH(B71,NV_MA,0)),"MÃ KHÔNG CÓ"))</f>
        <v/>
      </c>
      <c r="D71" s="16"/>
      <c r="E71" s="19"/>
      <c r="F71" s="16"/>
      <c r="G71" s="16"/>
      <c r="H71" s="16"/>
      <c r="I71" s="16"/>
      <c r="J71" s="18" t="str">
        <f aca="false">IF(B71="","",IF(AND(F71&lt;=TEXT(DATE(NAM,THANG,1),"yyyy-mm"),OR(G71="",G71&gt;=TEXT(DATE(NAM,THANG,1),"yyyy-mm"))),"Có","Không"))</f>
        <v/>
      </c>
    </row>
    <row r="72" customFormat="false" ht="15" hidden="false" customHeight="false" outlineLevel="0" collapsed="false">
      <c r="A72" s="18"/>
      <c r="B72" s="16"/>
      <c r="C72" s="18" t="str">
        <f aca="false">IF(B72="","",IFERROR(INDEX(NV_TEN,MATCH(B72,NV_MA,0)),"MÃ KHÔNG CÓ"))</f>
        <v/>
      </c>
      <c r="D72" s="16"/>
      <c r="E72" s="19"/>
      <c r="F72" s="16"/>
      <c r="G72" s="16"/>
      <c r="H72" s="16"/>
      <c r="I72" s="16"/>
      <c r="J72" s="18" t="str">
        <f aca="false">IF(B72="","",IF(AND(F72&lt;=TEXT(DATE(NAM,THANG,1),"yyyy-mm"),OR(G72="",G72&gt;=TEXT(DATE(NAM,THANG,1),"yyyy-mm"))),"Có","Không"))</f>
        <v/>
      </c>
    </row>
    <row r="73" customFormat="false" ht="15" hidden="false" customHeight="false" outlineLevel="0" collapsed="false">
      <c r="A73" s="18"/>
      <c r="B73" s="16"/>
      <c r="C73" s="18" t="str">
        <f aca="false">IF(B73="","",IFERROR(INDEX(NV_TEN,MATCH(B73,NV_MA,0)),"MÃ KHÔNG CÓ"))</f>
        <v/>
      </c>
      <c r="D73" s="16"/>
      <c r="E73" s="19"/>
      <c r="F73" s="16"/>
      <c r="G73" s="16"/>
      <c r="H73" s="16"/>
      <c r="I73" s="16"/>
      <c r="J73" s="18" t="str">
        <f aca="false">IF(B73="","",IF(AND(F73&lt;=TEXT(DATE(NAM,THANG,1),"yyyy-mm"),OR(G73="",G73&gt;=TEXT(DATE(NAM,THANG,1),"yyyy-mm"))),"Có","Không"))</f>
        <v/>
      </c>
    </row>
    <row r="74" customFormat="false" ht="15" hidden="false" customHeight="false" outlineLevel="0" collapsed="false">
      <c r="A74" s="18"/>
      <c r="B74" s="16"/>
      <c r="C74" s="18" t="str">
        <f aca="false">IF(B74="","",IFERROR(INDEX(NV_TEN,MATCH(B74,NV_MA,0)),"MÃ KHÔNG CÓ"))</f>
        <v/>
      </c>
      <c r="D74" s="16"/>
      <c r="E74" s="19"/>
      <c r="F74" s="16"/>
      <c r="G74" s="16"/>
      <c r="H74" s="16"/>
      <c r="I74" s="16"/>
      <c r="J74" s="18" t="str">
        <f aca="false">IF(B74="","",IF(AND(F74&lt;=TEXT(DATE(NAM,THANG,1),"yyyy-mm"),OR(G74="",G74&gt;=TEXT(DATE(NAM,THANG,1),"yyyy-mm"))),"Có","Không"))</f>
        <v/>
      </c>
    </row>
    <row r="75" customFormat="false" ht="15" hidden="false" customHeight="false" outlineLevel="0" collapsed="false">
      <c r="A75" s="18"/>
      <c r="B75" s="16"/>
      <c r="C75" s="18" t="str">
        <f aca="false">IF(B75="","",IFERROR(INDEX(NV_TEN,MATCH(B75,NV_MA,0)),"MÃ KHÔNG CÓ"))</f>
        <v/>
      </c>
      <c r="D75" s="16"/>
      <c r="E75" s="19"/>
      <c r="F75" s="16"/>
      <c r="G75" s="16"/>
      <c r="H75" s="16"/>
      <c r="I75" s="16"/>
      <c r="J75" s="18" t="str">
        <f aca="false">IF(B75="","",IF(AND(F75&lt;=TEXT(DATE(NAM,THANG,1),"yyyy-mm"),OR(G75="",G75&gt;=TEXT(DATE(NAM,THANG,1),"yyyy-mm"))),"Có","Không"))</f>
        <v/>
      </c>
    </row>
    <row r="76" customFormat="false" ht="15" hidden="false" customHeight="false" outlineLevel="0" collapsed="false">
      <c r="A76" s="18"/>
      <c r="B76" s="16"/>
      <c r="C76" s="18" t="str">
        <f aca="false">IF(B76="","",IFERROR(INDEX(NV_TEN,MATCH(B76,NV_MA,0)),"MÃ KHÔNG CÓ"))</f>
        <v/>
      </c>
      <c r="D76" s="16"/>
      <c r="E76" s="19"/>
      <c r="F76" s="16"/>
      <c r="G76" s="16"/>
      <c r="H76" s="16"/>
      <c r="I76" s="16"/>
      <c r="J76" s="18" t="str">
        <f aca="false">IF(B76="","",IF(AND(F76&lt;=TEXT(DATE(NAM,THANG,1),"yyyy-mm"),OR(G76="",G76&gt;=TEXT(DATE(NAM,THANG,1),"yyyy-mm"))),"Có","Không"))</f>
        <v/>
      </c>
    </row>
    <row r="77" customFormat="false" ht="15" hidden="false" customHeight="false" outlineLevel="0" collapsed="false">
      <c r="A77" s="18"/>
      <c r="B77" s="16"/>
      <c r="C77" s="18" t="str">
        <f aca="false">IF(B77="","",IFERROR(INDEX(NV_TEN,MATCH(B77,NV_MA,0)),"MÃ KHÔNG CÓ"))</f>
        <v/>
      </c>
      <c r="D77" s="16"/>
      <c r="E77" s="19"/>
      <c r="F77" s="16"/>
      <c r="G77" s="16"/>
      <c r="H77" s="16"/>
      <c r="I77" s="16"/>
      <c r="J77" s="18" t="str">
        <f aca="false">IF(B77="","",IF(AND(F77&lt;=TEXT(DATE(NAM,THANG,1),"yyyy-mm"),OR(G77="",G77&gt;=TEXT(DATE(NAM,THANG,1),"yyyy-mm"))),"Có","Không"))</f>
        <v/>
      </c>
    </row>
    <row r="78" customFormat="false" ht="15" hidden="false" customHeight="false" outlineLevel="0" collapsed="false">
      <c r="A78" s="18"/>
      <c r="B78" s="16"/>
      <c r="C78" s="18" t="str">
        <f aca="false">IF(B78="","",IFERROR(INDEX(NV_TEN,MATCH(B78,NV_MA,0)),"MÃ KHÔNG CÓ"))</f>
        <v/>
      </c>
      <c r="D78" s="16"/>
      <c r="E78" s="19"/>
      <c r="F78" s="16"/>
      <c r="G78" s="16"/>
      <c r="H78" s="16"/>
      <c r="I78" s="16"/>
      <c r="J78" s="18" t="str">
        <f aca="false">IF(B78="","",IF(AND(F78&lt;=TEXT(DATE(NAM,THANG,1),"yyyy-mm"),OR(G78="",G78&gt;=TEXT(DATE(NAM,THANG,1),"yyyy-mm"))),"Có","Không"))</f>
        <v/>
      </c>
    </row>
    <row r="79" customFormat="false" ht="15" hidden="false" customHeight="false" outlineLevel="0" collapsed="false">
      <c r="A79" s="18"/>
      <c r="B79" s="16"/>
      <c r="C79" s="18" t="str">
        <f aca="false">IF(B79="","",IFERROR(INDEX(NV_TEN,MATCH(B79,NV_MA,0)),"MÃ KHÔNG CÓ"))</f>
        <v/>
      </c>
      <c r="D79" s="16"/>
      <c r="E79" s="19"/>
      <c r="F79" s="16"/>
      <c r="G79" s="16"/>
      <c r="H79" s="16"/>
      <c r="I79" s="16"/>
      <c r="J79" s="18" t="str">
        <f aca="false">IF(B79="","",IF(AND(F79&lt;=TEXT(DATE(NAM,THANG,1),"yyyy-mm"),OR(G79="",G79&gt;=TEXT(DATE(NAM,THANG,1),"yyyy-mm"))),"Có","Không"))</f>
        <v/>
      </c>
    </row>
    <row r="80" customFormat="false" ht="15" hidden="false" customHeight="false" outlineLevel="0" collapsed="false">
      <c r="A80" s="18"/>
      <c r="B80" s="16"/>
      <c r="C80" s="18" t="str">
        <f aca="false">IF(B80="","",IFERROR(INDEX(NV_TEN,MATCH(B80,NV_MA,0)),"MÃ KHÔNG CÓ"))</f>
        <v/>
      </c>
      <c r="D80" s="16"/>
      <c r="E80" s="19"/>
      <c r="F80" s="16"/>
      <c r="G80" s="16"/>
      <c r="H80" s="16"/>
      <c r="I80" s="16"/>
      <c r="J80" s="18" t="str">
        <f aca="false">IF(B80="","",IF(AND(F80&lt;=TEXT(DATE(NAM,THANG,1),"yyyy-mm"),OR(G80="",G80&gt;=TEXT(DATE(NAM,THANG,1),"yyyy-mm"))),"Có","Không"))</f>
        <v/>
      </c>
    </row>
    <row r="81" customFormat="false" ht="15" hidden="false" customHeight="false" outlineLevel="0" collapsed="false">
      <c r="A81" s="18"/>
      <c r="B81" s="16"/>
      <c r="C81" s="18" t="str">
        <f aca="false">IF(B81="","",IFERROR(INDEX(NV_TEN,MATCH(B81,NV_MA,0)),"MÃ KHÔNG CÓ"))</f>
        <v/>
      </c>
      <c r="D81" s="16"/>
      <c r="E81" s="19"/>
      <c r="F81" s="16"/>
      <c r="G81" s="16"/>
      <c r="H81" s="16"/>
      <c r="I81" s="16"/>
      <c r="J81" s="18" t="str">
        <f aca="false">IF(B81="","",IF(AND(F81&lt;=TEXT(DATE(NAM,THANG,1),"yyyy-mm"),OR(G81="",G81&gt;=TEXT(DATE(NAM,THANG,1),"yyyy-mm"))),"Có","Không"))</f>
        <v/>
      </c>
    </row>
    <row r="82" customFormat="false" ht="15" hidden="false" customHeight="false" outlineLevel="0" collapsed="false">
      <c r="A82" s="18"/>
      <c r="B82" s="16"/>
      <c r="C82" s="18" t="str">
        <f aca="false">IF(B82="","",IFERROR(INDEX(NV_TEN,MATCH(B82,NV_MA,0)),"MÃ KHÔNG CÓ"))</f>
        <v/>
      </c>
      <c r="D82" s="16"/>
      <c r="E82" s="19"/>
      <c r="F82" s="16"/>
      <c r="G82" s="16"/>
      <c r="H82" s="16"/>
      <c r="I82" s="16"/>
      <c r="J82" s="18" t="str">
        <f aca="false">IF(B82="","",IF(AND(F82&lt;=TEXT(DATE(NAM,THANG,1),"yyyy-mm"),OR(G82="",G82&gt;=TEXT(DATE(NAM,THANG,1),"yyyy-mm"))),"Có","Không"))</f>
        <v/>
      </c>
    </row>
    <row r="83" customFormat="false" ht="15" hidden="false" customHeight="false" outlineLevel="0" collapsed="false">
      <c r="A83" s="18"/>
      <c r="B83" s="16"/>
      <c r="C83" s="18" t="str">
        <f aca="false">IF(B83="","",IFERROR(INDEX(NV_TEN,MATCH(B83,NV_MA,0)),"MÃ KHÔNG CÓ"))</f>
        <v/>
      </c>
      <c r="D83" s="16"/>
      <c r="E83" s="19"/>
      <c r="F83" s="16"/>
      <c r="G83" s="16"/>
      <c r="H83" s="16"/>
      <c r="I83" s="16"/>
      <c r="J83" s="18" t="str">
        <f aca="false">IF(B83="","",IF(AND(F83&lt;=TEXT(DATE(NAM,THANG,1),"yyyy-mm"),OR(G83="",G83&gt;=TEXT(DATE(NAM,THANG,1),"yyyy-mm"))),"Có","Không"))</f>
        <v/>
      </c>
    </row>
    <row r="84" customFormat="false" ht="15" hidden="false" customHeight="false" outlineLevel="0" collapsed="false">
      <c r="A84" s="18"/>
      <c r="B84" s="16"/>
      <c r="C84" s="18" t="str">
        <f aca="false">IF(B84="","",IFERROR(INDEX(NV_TEN,MATCH(B84,NV_MA,0)),"MÃ KHÔNG CÓ"))</f>
        <v/>
      </c>
      <c r="D84" s="16"/>
      <c r="E84" s="19"/>
      <c r="F84" s="16"/>
      <c r="G84" s="16"/>
      <c r="H84" s="16"/>
      <c r="I84" s="16"/>
      <c r="J84" s="18" t="str">
        <f aca="false">IF(B84="","",IF(AND(F84&lt;=TEXT(DATE(NAM,THANG,1),"yyyy-mm"),OR(G84="",G84&gt;=TEXT(DATE(NAM,THANG,1),"yyyy-mm"))),"Có","Không"))</f>
        <v/>
      </c>
    </row>
    <row r="85" customFormat="false" ht="15" hidden="false" customHeight="false" outlineLevel="0" collapsed="false">
      <c r="A85" s="18"/>
      <c r="B85" s="16"/>
      <c r="C85" s="18" t="str">
        <f aca="false">IF(B85="","",IFERROR(INDEX(NV_TEN,MATCH(B85,NV_MA,0)),"MÃ KHÔNG CÓ"))</f>
        <v/>
      </c>
      <c r="D85" s="16"/>
      <c r="E85" s="19"/>
      <c r="F85" s="16"/>
      <c r="G85" s="16"/>
      <c r="H85" s="16"/>
      <c r="I85" s="16"/>
      <c r="J85" s="18" t="str">
        <f aca="false">IF(B85="","",IF(AND(F85&lt;=TEXT(DATE(NAM,THANG,1),"yyyy-mm"),OR(G85="",G85&gt;=TEXT(DATE(NAM,THANG,1),"yyyy-mm"))),"Có","Không"))</f>
        <v/>
      </c>
    </row>
    <row r="86" customFormat="false" ht="15" hidden="false" customHeight="false" outlineLevel="0" collapsed="false">
      <c r="A86" s="18"/>
      <c r="B86" s="16"/>
      <c r="C86" s="18" t="str">
        <f aca="false">IF(B86="","",IFERROR(INDEX(NV_TEN,MATCH(B86,NV_MA,0)),"MÃ KHÔNG CÓ"))</f>
        <v/>
      </c>
      <c r="D86" s="16"/>
      <c r="E86" s="19"/>
      <c r="F86" s="16"/>
      <c r="G86" s="16"/>
      <c r="H86" s="16"/>
      <c r="I86" s="16"/>
      <c r="J86" s="18" t="str">
        <f aca="false">IF(B86="","",IF(AND(F86&lt;=TEXT(DATE(NAM,THANG,1),"yyyy-mm"),OR(G86="",G86&gt;=TEXT(DATE(NAM,THANG,1),"yyyy-mm"))),"Có","Không"))</f>
        <v/>
      </c>
    </row>
    <row r="87" customFormat="false" ht="15" hidden="false" customHeight="false" outlineLevel="0" collapsed="false">
      <c r="A87" s="18"/>
      <c r="B87" s="16"/>
      <c r="C87" s="18" t="str">
        <f aca="false">IF(B87="","",IFERROR(INDEX(NV_TEN,MATCH(B87,NV_MA,0)),"MÃ KHÔNG CÓ"))</f>
        <v/>
      </c>
      <c r="D87" s="16"/>
      <c r="E87" s="19"/>
      <c r="F87" s="16"/>
      <c r="G87" s="16"/>
      <c r="H87" s="16"/>
      <c r="I87" s="16"/>
      <c r="J87" s="18" t="str">
        <f aca="false">IF(B87="","",IF(AND(F87&lt;=TEXT(DATE(NAM,THANG,1),"yyyy-mm"),OR(G87="",G87&gt;=TEXT(DATE(NAM,THANG,1),"yyyy-mm"))),"Có","Không"))</f>
        <v/>
      </c>
    </row>
    <row r="88" customFormat="false" ht="15" hidden="false" customHeight="false" outlineLevel="0" collapsed="false">
      <c r="A88" s="18"/>
      <c r="B88" s="16"/>
      <c r="C88" s="18" t="str">
        <f aca="false">IF(B88="","",IFERROR(INDEX(NV_TEN,MATCH(B88,NV_MA,0)),"MÃ KHÔNG CÓ"))</f>
        <v/>
      </c>
      <c r="D88" s="16"/>
      <c r="E88" s="19"/>
      <c r="F88" s="16"/>
      <c r="G88" s="16"/>
      <c r="H88" s="16"/>
      <c r="I88" s="16"/>
      <c r="J88" s="18" t="str">
        <f aca="false">IF(B88="","",IF(AND(F88&lt;=TEXT(DATE(NAM,THANG,1),"yyyy-mm"),OR(G88="",G88&gt;=TEXT(DATE(NAM,THANG,1),"yyyy-mm"))),"Có","Không"))</f>
        <v/>
      </c>
    </row>
    <row r="89" customFormat="false" ht="15" hidden="false" customHeight="false" outlineLevel="0" collapsed="false">
      <c r="A89" s="18"/>
      <c r="B89" s="16"/>
      <c r="C89" s="18" t="str">
        <f aca="false">IF(B89="","",IFERROR(INDEX(NV_TEN,MATCH(B89,NV_MA,0)),"MÃ KHÔNG CÓ"))</f>
        <v/>
      </c>
      <c r="D89" s="16"/>
      <c r="E89" s="19"/>
      <c r="F89" s="16"/>
      <c r="G89" s="16"/>
      <c r="H89" s="16"/>
      <c r="I89" s="16"/>
      <c r="J89" s="18" t="str">
        <f aca="false">IF(B89="","",IF(AND(F89&lt;=TEXT(DATE(NAM,THANG,1),"yyyy-mm"),OR(G89="",G89&gt;=TEXT(DATE(NAM,THANG,1),"yyyy-mm"))),"Có","Không"))</f>
        <v/>
      </c>
    </row>
    <row r="90" customFormat="false" ht="15" hidden="false" customHeight="false" outlineLevel="0" collapsed="false">
      <c r="A90" s="18"/>
      <c r="B90" s="16"/>
      <c r="C90" s="18" t="str">
        <f aca="false">IF(B90="","",IFERROR(INDEX(NV_TEN,MATCH(B90,NV_MA,0)),"MÃ KHÔNG CÓ"))</f>
        <v/>
      </c>
      <c r="D90" s="16"/>
      <c r="E90" s="19"/>
      <c r="F90" s="16"/>
      <c r="G90" s="16"/>
      <c r="H90" s="16"/>
      <c r="I90" s="16"/>
      <c r="J90" s="18" t="str">
        <f aca="false">IF(B90="","",IF(AND(F90&lt;=TEXT(DATE(NAM,THANG,1),"yyyy-mm"),OR(G90="",G90&gt;=TEXT(DATE(NAM,THANG,1),"yyyy-mm"))),"Có","Không"))</f>
        <v/>
      </c>
    </row>
    <row r="91" customFormat="false" ht="15" hidden="false" customHeight="false" outlineLevel="0" collapsed="false">
      <c r="A91" s="18"/>
      <c r="B91" s="16"/>
      <c r="C91" s="18" t="str">
        <f aca="false">IF(B91="","",IFERROR(INDEX(NV_TEN,MATCH(B91,NV_MA,0)),"MÃ KHÔNG CÓ"))</f>
        <v/>
      </c>
      <c r="D91" s="16"/>
      <c r="E91" s="19"/>
      <c r="F91" s="16"/>
      <c r="G91" s="16"/>
      <c r="H91" s="16"/>
      <c r="I91" s="16"/>
      <c r="J91" s="18" t="str">
        <f aca="false">IF(B91="","",IF(AND(F91&lt;=TEXT(DATE(NAM,THANG,1),"yyyy-mm"),OR(G91="",G91&gt;=TEXT(DATE(NAM,THANG,1),"yyyy-mm"))),"Có","Không"))</f>
        <v/>
      </c>
    </row>
    <row r="92" customFormat="false" ht="15" hidden="false" customHeight="false" outlineLevel="0" collapsed="false">
      <c r="A92" s="18"/>
      <c r="B92" s="16"/>
      <c r="C92" s="18" t="str">
        <f aca="false">IF(B92="","",IFERROR(INDEX(NV_TEN,MATCH(B92,NV_MA,0)),"MÃ KHÔNG CÓ"))</f>
        <v/>
      </c>
      <c r="D92" s="16"/>
      <c r="E92" s="19"/>
      <c r="F92" s="16"/>
      <c r="G92" s="16"/>
      <c r="H92" s="16"/>
      <c r="I92" s="16"/>
      <c r="J92" s="18" t="str">
        <f aca="false">IF(B92="","",IF(AND(F92&lt;=TEXT(DATE(NAM,THANG,1),"yyyy-mm"),OR(G92="",G92&gt;=TEXT(DATE(NAM,THANG,1),"yyyy-mm"))),"Có","Không"))</f>
        <v/>
      </c>
    </row>
    <row r="93" customFormat="false" ht="15" hidden="false" customHeight="false" outlineLevel="0" collapsed="false">
      <c r="A93" s="18"/>
      <c r="B93" s="16"/>
      <c r="C93" s="18" t="str">
        <f aca="false">IF(B93="","",IFERROR(INDEX(NV_TEN,MATCH(B93,NV_MA,0)),"MÃ KHÔNG CÓ"))</f>
        <v/>
      </c>
      <c r="D93" s="16"/>
      <c r="E93" s="19"/>
      <c r="F93" s="16"/>
      <c r="G93" s="16"/>
      <c r="H93" s="16"/>
      <c r="I93" s="16"/>
      <c r="J93" s="18" t="str">
        <f aca="false">IF(B93="","",IF(AND(F93&lt;=TEXT(DATE(NAM,THANG,1),"yyyy-mm"),OR(G93="",G93&gt;=TEXT(DATE(NAM,THANG,1),"yyyy-mm"))),"Có","Không"))</f>
        <v/>
      </c>
    </row>
    <row r="94" customFormat="false" ht="15" hidden="false" customHeight="false" outlineLevel="0" collapsed="false">
      <c r="A94" s="18"/>
      <c r="B94" s="16"/>
      <c r="C94" s="18" t="str">
        <f aca="false">IF(B94="","",IFERROR(INDEX(NV_TEN,MATCH(B94,NV_MA,0)),"MÃ KHÔNG CÓ"))</f>
        <v/>
      </c>
      <c r="D94" s="16"/>
      <c r="E94" s="19"/>
      <c r="F94" s="16"/>
      <c r="G94" s="16"/>
      <c r="H94" s="16"/>
      <c r="I94" s="16"/>
      <c r="J94" s="18" t="str">
        <f aca="false">IF(B94="","",IF(AND(F94&lt;=TEXT(DATE(NAM,THANG,1),"yyyy-mm"),OR(G94="",G94&gt;=TEXT(DATE(NAM,THANG,1),"yyyy-mm"))),"Có","Không"))</f>
        <v/>
      </c>
    </row>
    <row r="95" customFormat="false" ht="15" hidden="false" customHeight="false" outlineLevel="0" collapsed="false">
      <c r="A95" s="18"/>
      <c r="B95" s="16"/>
      <c r="C95" s="18" t="str">
        <f aca="false">IF(B95="","",IFERROR(INDEX(NV_TEN,MATCH(B95,NV_MA,0)),"MÃ KHÔNG CÓ"))</f>
        <v/>
      </c>
      <c r="D95" s="16"/>
      <c r="E95" s="19"/>
      <c r="F95" s="16"/>
      <c r="G95" s="16"/>
      <c r="H95" s="16"/>
      <c r="I95" s="16"/>
      <c r="J95" s="18" t="str">
        <f aca="false">IF(B95="","",IF(AND(F95&lt;=TEXT(DATE(NAM,THANG,1),"yyyy-mm"),OR(G95="",G95&gt;=TEXT(DATE(NAM,THANG,1),"yyyy-mm"))),"Có","Không"))</f>
        <v/>
      </c>
    </row>
    <row r="96" customFormat="false" ht="15" hidden="false" customHeight="false" outlineLevel="0" collapsed="false">
      <c r="A96" s="18"/>
      <c r="B96" s="16"/>
      <c r="C96" s="18" t="str">
        <f aca="false">IF(B96="","",IFERROR(INDEX(NV_TEN,MATCH(B96,NV_MA,0)),"MÃ KHÔNG CÓ"))</f>
        <v/>
      </c>
      <c r="D96" s="16"/>
      <c r="E96" s="19"/>
      <c r="F96" s="16"/>
      <c r="G96" s="16"/>
      <c r="H96" s="16"/>
      <c r="I96" s="16"/>
      <c r="J96" s="18" t="str">
        <f aca="false">IF(B96="","",IF(AND(F96&lt;=TEXT(DATE(NAM,THANG,1),"yyyy-mm"),OR(G96="",G96&gt;=TEXT(DATE(NAM,THANG,1),"yyyy-mm"))),"Có","Không"))</f>
        <v/>
      </c>
    </row>
    <row r="97" customFormat="false" ht="15" hidden="false" customHeight="false" outlineLevel="0" collapsed="false">
      <c r="A97" s="18"/>
      <c r="B97" s="16"/>
      <c r="C97" s="18" t="str">
        <f aca="false">IF(B97="","",IFERROR(INDEX(NV_TEN,MATCH(B97,NV_MA,0)),"MÃ KHÔNG CÓ"))</f>
        <v/>
      </c>
      <c r="D97" s="16"/>
      <c r="E97" s="19"/>
      <c r="F97" s="16"/>
      <c r="G97" s="16"/>
      <c r="H97" s="16"/>
      <c r="I97" s="16"/>
      <c r="J97" s="18" t="str">
        <f aca="false">IF(B97="","",IF(AND(F97&lt;=TEXT(DATE(NAM,THANG,1),"yyyy-mm"),OR(G97="",G97&gt;=TEXT(DATE(NAM,THANG,1),"yyyy-mm"))),"Có","Không"))</f>
        <v/>
      </c>
    </row>
    <row r="98" customFormat="false" ht="15" hidden="false" customHeight="false" outlineLevel="0" collapsed="false">
      <c r="A98" s="18"/>
      <c r="B98" s="16"/>
      <c r="C98" s="18" t="str">
        <f aca="false">IF(B98="","",IFERROR(INDEX(NV_TEN,MATCH(B98,NV_MA,0)),"MÃ KHÔNG CÓ"))</f>
        <v/>
      </c>
      <c r="D98" s="16"/>
      <c r="E98" s="19"/>
      <c r="F98" s="16"/>
      <c r="G98" s="16"/>
      <c r="H98" s="16"/>
      <c r="I98" s="16"/>
      <c r="J98" s="18" t="str">
        <f aca="false">IF(B98="","",IF(AND(F98&lt;=TEXT(DATE(NAM,THANG,1),"yyyy-mm"),OR(G98="",G98&gt;=TEXT(DATE(NAM,THANG,1),"yyyy-mm"))),"Có","Không"))</f>
        <v/>
      </c>
    </row>
    <row r="99" customFormat="false" ht="15" hidden="false" customHeight="false" outlineLevel="0" collapsed="false">
      <c r="A99" s="18"/>
      <c r="B99" s="16"/>
      <c r="C99" s="18" t="str">
        <f aca="false">IF(B99="","",IFERROR(INDEX(NV_TEN,MATCH(B99,NV_MA,0)),"MÃ KHÔNG CÓ"))</f>
        <v/>
      </c>
      <c r="D99" s="16"/>
      <c r="E99" s="19"/>
      <c r="F99" s="16"/>
      <c r="G99" s="16"/>
      <c r="H99" s="16"/>
      <c r="I99" s="16"/>
      <c r="J99" s="18" t="str">
        <f aca="false">IF(B99="","",IF(AND(F99&lt;=TEXT(DATE(NAM,THANG,1),"yyyy-mm"),OR(G99="",G99&gt;=TEXT(DATE(NAM,THANG,1),"yyyy-mm"))),"Có","Không"))</f>
        <v/>
      </c>
    </row>
    <row r="100" customFormat="false" ht="15" hidden="false" customHeight="false" outlineLevel="0" collapsed="false">
      <c r="A100" s="18"/>
      <c r="B100" s="16"/>
      <c r="C100" s="18" t="str">
        <f aca="false">IF(B100="","",IFERROR(INDEX(NV_TEN,MATCH(B100,NV_MA,0)),"MÃ KHÔNG CÓ"))</f>
        <v/>
      </c>
      <c r="D100" s="16"/>
      <c r="E100" s="19"/>
      <c r="F100" s="16"/>
      <c r="G100" s="16"/>
      <c r="H100" s="16"/>
      <c r="I100" s="16"/>
      <c r="J100" s="18" t="str">
        <f aca="false">IF(B100="","",IF(AND(F100&lt;=TEXT(DATE(NAM,THANG,1),"yyyy-mm"),OR(G100="",G100&gt;=TEXT(DATE(NAM,THANG,1),"yyyy-mm"))),"Có","Không"))</f>
        <v/>
      </c>
    </row>
    <row r="101" customFormat="false" ht="15" hidden="false" customHeight="false" outlineLevel="0" collapsed="false">
      <c r="A101" s="18"/>
      <c r="B101" s="16"/>
      <c r="C101" s="18" t="str">
        <f aca="false">IF(B101="","",IFERROR(INDEX(NV_TEN,MATCH(B101,NV_MA,0)),"MÃ KHÔNG CÓ"))</f>
        <v/>
      </c>
      <c r="D101" s="16"/>
      <c r="E101" s="19"/>
      <c r="F101" s="16"/>
      <c r="G101" s="16"/>
      <c r="H101" s="16"/>
      <c r="I101" s="16"/>
      <c r="J101" s="18" t="str">
        <f aca="false">IF(B101="","",IF(AND(F101&lt;=TEXT(DATE(NAM,THANG,1),"yyyy-mm"),OR(G101="",G101&gt;=TEXT(DATE(NAM,THANG,1),"yyyy-mm"))),"Có","Không"))</f>
        <v/>
      </c>
    </row>
    <row r="102" customFormat="false" ht="15" hidden="false" customHeight="false" outlineLevel="0" collapsed="false">
      <c r="A102" s="18"/>
      <c r="B102" s="16"/>
      <c r="C102" s="18" t="str">
        <f aca="false">IF(B102="","",IFERROR(INDEX(NV_TEN,MATCH(B102,NV_MA,0)),"MÃ KHÔNG CÓ"))</f>
        <v/>
      </c>
      <c r="D102" s="16"/>
      <c r="E102" s="19"/>
      <c r="F102" s="16"/>
      <c r="G102" s="16"/>
      <c r="H102" s="16"/>
      <c r="I102" s="16"/>
      <c r="J102" s="18" t="str">
        <f aca="false">IF(B102="","",IF(AND(F102&lt;=TEXT(DATE(NAM,THANG,1),"yyyy-mm"),OR(G102="",G102&gt;=TEXT(DATE(NAM,THANG,1),"yyyy-mm"))),"Có","Không"))</f>
        <v/>
      </c>
    </row>
    <row r="103" customFormat="false" ht="15" hidden="false" customHeight="false" outlineLevel="0" collapsed="false">
      <c r="A103" s="18"/>
      <c r="B103" s="16"/>
      <c r="C103" s="18" t="str">
        <f aca="false">IF(B103="","",IFERROR(INDEX(NV_TEN,MATCH(B103,NV_MA,0)),"MÃ KHÔNG CÓ"))</f>
        <v/>
      </c>
      <c r="D103" s="16"/>
      <c r="E103" s="19"/>
      <c r="F103" s="16"/>
      <c r="G103" s="16"/>
      <c r="H103" s="16"/>
      <c r="I103" s="16"/>
      <c r="J103" s="18" t="str">
        <f aca="false">IF(B103="","",IF(AND(F103&lt;=TEXT(DATE(NAM,THANG,1),"yyyy-mm"),OR(G103="",G103&gt;=TEXT(DATE(NAM,THANG,1),"yyyy-mm"))),"Có","Không"))</f>
        <v/>
      </c>
    </row>
    <row r="104" customFormat="false" ht="15" hidden="false" customHeight="false" outlineLevel="0" collapsed="false">
      <c r="A104" s="18"/>
      <c r="B104" s="16"/>
      <c r="C104" s="18" t="str">
        <f aca="false">IF(B104="","",IFERROR(INDEX(NV_TEN,MATCH(B104,NV_MA,0)),"MÃ KHÔNG CÓ"))</f>
        <v/>
      </c>
      <c r="D104" s="16"/>
      <c r="E104" s="19"/>
      <c r="F104" s="16"/>
      <c r="G104" s="16"/>
      <c r="H104" s="16"/>
      <c r="I104" s="16"/>
      <c r="J104" s="18" t="str">
        <f aca="false">IF(B104="","",IF(AND(F104&lt;=TEXT(DATE(NAM,THANG,1),"yyyy-mm"),OR(G104="",G104&gt;=TEXT(DATE(NAM,THANG,1),"yyyy-mm"))),"Có","Không"))</f>
        <v/>
      </c>
    </row>
    <row r="105" customFormat="false" ht="15" hidden="false" customHeight="false" outlineLevel="0" collapsed="false">
      <c r="A105" s="18"/>
      <c r="B105" s="16"/>
      <c r="C105" s="18" t="str">
        <f aca="false">IF(B105="","",IFERROR(INDEX(NV_TEN,MATCH(B105,NV_MA,0)),"MÃ KHÔNG CÓ"))</f>
        <v/>
      </c>
      <c r="D105" s="16"/>
      <c r="E105" s="19"/>
      <c r="F105" s="16"/>
      <c r="G105" s="16"/>
      <c r="H105" s="16"/>
      <c r="I105" s="16"/>
      <c r="J105" s="18" t="str">
        <f aca="false">IF(B105="","",IF(AND(F105&lt;=TEXT(DATE(NAM,THANG,1),"yyyy-mm"),OR(G105="",G105&gt;=TEXT(DATE(NAM,THANG,1),"yyyy-mm"))),"Có","Không"))</f>
        <v/>
      </c>
    </row>
    <row r="106" customFormat="false" ht="15" hidden="false" customHeight="false" outlineLevel="0" collapsed="false">
      <c r="A106" s="18"/>
      <c r="B106" s="16"/>
      <c r="C106" s="18" t="str">
        <f aca="false">IF(B106="","",IFERROR(INDEX(NV_TEN,MATCH(B106,NV_MA,0)),"MÃ KHÔNG CÓ"))</f>
        <v/>
      </c>
      <c r="D106" s="16"/>
      <c r="E106" s="19"/>
      <c r="F106" s="16"/>
      <c r="G106" s="16"/>
      <c r="H106" s="16"/>
      <c r="I106" s="16"/>
      <c r="J106" s="18" t="str">
        <f aca="false">IF(B106="","",IF(AND(F106&lt;=TEXT(DATE(NAM,THANG,1),"yyyy-mm"),OR(G106="",G106&gt;=TEXT(DATE(NAM,THANG,1),"yyyy-mm"))),"Có","Không"))</f>
        <v/>
      </c>
    </row>
    <row r="107" customFormat="false" ht="15" hidden="false" customHeight="false" outlineLevel="0" collapsed="false">
      <c r="A107" s="18"/>
      <c r="B107" s="16"/>
      <c r="C107" s="18" t="str">
        <f aca="false">IF(B107="","",IFERROR(INDEX(NV_TEN,MATCH(B107,NV_MA,0)),"MÃ KHÔNG CÓ"))</f>
        <v/>
      </c>
      <c r="D107" s="16"/>
      <c r="E107" s="19"/>
      <c r="F107" s="16"/>
      <c r="G107" s="16"/>
      <c r="H107" s="16"/>
      <c r="I107" s="16"/>
      <c r="J107" s="18" t="str">
        <f aca="false">IF(B107="","",IF(AND(F107&lt;=TEXT(DATE(NAM,THANG,1),"yyyy-mm"),OR(G107="",G107&gt;=TEXT(DATE(NAM,THANG,1),"yyyy-mm"))),"Có","Không"))</f>
        <v/>
      </c>
    </row>
    <row r="108" customFormat="false" ht="15" hidden="false" customHeight="false" outlineLevel="0" collapsed="false">
      <c r="A108" s="18"/>
      <c r="B108" s="16"/>
      <c r="C108" s="18" t="str">
        <f aca="false">IF(B108="","",IFERROR(INDEX(NV_TEN,MATCH(B108,NV_MA,0)),"MÃ KHÔNG CÓ"))</f>
        <v/>
      </c>
      <c r="D108" s="16"/>
      <c r="E108" s="19"/>
      <c r="F108" s="16"/>
      <c r="G108" s="16"/>
      <c r="H108" s="16"/>
      <c r="I108" s="16"/>
      <c r="J108" s="18" t="str">
        <f aca="false">IF(B108="","",IF(AND(F108&lt;=TEXT(DATE(NAM,THANG,1),"yyyy-mm"),OR(G108="",G108&gt;=TEXT(DATE(NAM,THANG,1),"yyyy-mm"))),"Có","Không"))</f>
        <v/>
      </c>
    </row>
    <row r="109" customFormat="false" ht="15" hidden="false" customHeight="false" outlineLevel="0" collapsed="false">
      <c r="A109" s="18"/>
      <c r="B109" s="16"/>
      <c r="C109" s="18" t="str">
        <f aca="false">IF(B109="","",IFERROR(INDEX(NV_TEN,MATCH(B109,NV_MA,0)),"MÃ KHÔNG CÓ"))</f>
        <v/>
      </c>
      <c r="D109" s="16"/>
      <c r="E109" s="19"/>
      <c r="F109" s="16"/>
      <c r="G109" s="16"/>
      <c r="H109" s="16"/>
      <c r="I109" s="16"/>
      <c r="J109" s="18" t="str">
        <f aca="false">IF(B109="","",IF(AND(F109&lt;=TEXT(DATE(NAM,THANG,1),"yyyy-mm"),OR(G109="",G109&gt;=TEXT(DATE(NAM,THANG,1),"yyyy-mm"))),"Có","Không"))</f>
        <v/>
      </c>
    </row>
    <row r="110" customFormat="false" ht="15" hidden="false" customHeight="false" outlineLevel="0" collapsed="false">
      <c r="A110" s="18"/>
      <c r="B110" s="16"/>
      <c r="C110" s="18" t="str">
        <f aca="false">IF(B110="","",IFERROR(INDEX(NV_TEN,MATCH(B110,NV_MA,0)),"MÃ KHÔNG CÓ"))</f>
        <v/>
      </c>
      <c r="D110" s="16"/>
      <c r="E110" s="19"/>
      <c r="F110" s="16"/>
      <c r="G110" s="16"/>
      <c r="H110" s="16"/>
      <c r="I110" s="16"/>
      <c r="J110" s="18" t="str">
        <f aca="false">IF(B110="","",IF(AND(F110&lt;=TEXT(DATE(NAM,THANG,1),"yyyy-mm"),OR(G110="",G110&gt;=TEXT(DATE(NAM,THANG,1),"yyyy-mm"))),"Có","Không"))</f>
        <v/>
      </c>
    </row>
    <row r="111" customFormat="false" ht="15" hidden="false" customHeight="false" outlineLevel="0" collapsed="false">
      <c r="A111" s="18"/>
      <c r="B111" s="16"/>
      <c r="C111" s="18" t="str">
        <f aca="false">IF(B111="","",IFERROR(INDEX(NV_TEN,MATCH(B111,NV_MA,0)),"MÃ KHÔNG CÓ"))</f>
        <v/>
      </c>
      <c r="D111" s="16"/>
      <c r="E111" s="19"/>
      <c r="F111" s="16"/>
      <c r="G111" s="16"/>
      <c r="H111" s="16"/>
      <c r="I111" s="16"/>
      <c r="J111" s="18" t="str">
        <f aca="false">IF(B111="","",IF(AND(F111&lt;=TEXT(DATE(NAM,THANG,1),"yyyy-mm"),OR(G111="",G111&gt;=TEXT(DATE(NAM,THANG,1),"yyyy-mm"))),"Có","Không"))</f>
        <v/>
      </c>
    </row>
    <row r="112" customFormat="false" ht="15" hidden="false" customHeight="false" outlineLevel="0" collapsed="false">
      <c r="A112" s="18"/>
      <c r="B112" s="16"/>
      <c r="C112" s="18" t="str">
        <f aca="false">IF(B112="","",IFERROR(INDEX(NV_TEN,MATCH(B112,NV_MA,0)),"MÃ KHÔNG CÓ"))</f>
        <v/>
      </c>
      <c r="D112" s="16"/>
      <c r="E112" s="19"/>
      <c r="F112" s="16"/>
      <c r="G112" s="16"/>
      <c r="H112" s="16"/>
      <c r="I112" s="16"/>
      <c r="J112" s="18" t="str">
        <f aca="false">IF(B112="","",IF(AND(F112&lt;=TEXT(DATE(NAM,THANG,1),"yyyy-mm"),OR(G112="",G112&gt;=TEXT(DATE(NAM,THANG,1),"yyyy-mm"))),"Có","Không"))</f>
        <v/>
      </c>
    </row>
    <row r="113" customFormat="false" ht="15" hidden="false" customHeight="false" outlineLevel="0" collapsed="false">
      <c r="A113" s="18"/>
      <c r="B113" s="16"/>
      <c r="C113" s="18" t="str">
        <f aca="false">IF(B113="","",IFERROR(INDEX(NV_TEN,MATCH(B113,NV_MA,0)),"MÃ KHÔNG CÓ"))</f>
        <v/>
      </c>
      <c r="D113" s="16"/>
      <c r="E113" s="19"/>
      <c r="F113" s="16"/>
      <c r="G113" s="16"/>
      <c r="H113" s="16"/>
      <c r="I113" s="16"/>
      <c r="J113" s="18" t="str">
        <f aca="false">IF(B113="","",IF(AND(F113&lt;=TEXT(DATE(NAM,THANG,1),"yyyy-mm"),OR(G113="",G113&gt;=TEXT(DATE(NAM,THANG,1),"yyyy-mm"))),"Có","Không"))</f>
        <v/>
      </c>
    </row>
    <row r="114" customFormat="false" ht="15" hidden="false" customHeight="false" outlineLevel="0" collapsed="false">
      <c r="A114" s="18"/>
      <c r="B114" s="16"/>
      <c r="C114" s="18" t="str">
        <f aca="false">IF(B114="","",IFERROR(INDEX(NV_TEN,MATCH(B114,NV_MA,0)),"MÃ KHÔNG CÓ"))</f>
        <v/>
      </c>
      <c r="D114" s="16"/>
      <c r="E114" s="19"/>
      <c r="F114" s="16"/>
      <c r="G114" s="16"/>
      <c r="H114" s="16"/>
      <c r="I114" s="16"/>
      <c r="J114" s="18" t="str">
        <f aca="false">IF(B114="","",IF(AND(F114&lt;=TEXT(DATE(NAM,THANG,1),"yyyy-mm"),OR(G114="",G114&gt;=TEXT(DATE(NAM,THANG,1),"yyyy-mm"))),"Có","Không"))</f>
        <v/>
      </c>
    </row>
    <row r="115" customFormat="false" ht="15" hidden="false" customHeight="false" outlineLevel="0" collapsed="false">
      <c r="A115" s="18"/>
      <c r="B115" s="16"/>
      <c r="C115" s="18" t="str">
        <f aca="false">IF(B115="","",IFERROR(INDEX(NV_TEN,MATCH(B115,NV_MA,0)),"MÃ KHÔNG CÓ"))</f>
        <v/>
      </c>
      <c r="D115" s="16"/>
      <c r="E115" s="19"/>
      <c r="F115" s="16"/>
      <c r="G115" s="16"/>
      <c r="H115" s="16"/>
      <c r="I115" s="16"/>
      <c r="J115" s="18" t="str">
        <f aca="false">IF(B115="","",IF(AND(F115&lt;=TEXT(DATE(NAM,THANG,1),"yyyy-mm"),OR(G115="",G115&gt;=TEXT(DATE(NAM,THANG,1),"yyyy-mm"))),"Có","Không"))</f>
        <v/>
      </c>
    </row>
    <row r="116" customFormat="false" ht="15" hidden="false" customHeight="false" outlineLevel="0" collapsed="false">
      <c r="A116" s="18"/>
      <c r="B116" s="16"/>
      <c r="C116" s="18" t="str">
        <f aca="false">IF(B116="","",IFERROR(INDEX(NV_TEN,MATCH(B116,NV_MA,0)),"MÃ KHÔNG CÓ"))</f>
        <v/>
      </c>
      <c r="D116" s="16"/>
      <c r="E116" s="19"/>
      <c r="F116" s="16"/>
      <c r="G116" s="16"/>
      <c r="H116" s="16"/>
      <c r="I116" s="16"/>
      <c r="J116" s="18" t="str">
        <f aca="false">IF(B116="","",IF(AND(F116&lt;=TEXT(DATE(NAM,THANG,1),"yyyy-mm"),OR(G116="",G116&gt;=TEXT(DATE(NAM,THANG,1),"yyyy-mm"))),"Có","Không"))</f>
        <v/>
      </c>
    </row>
    <row r="117" customFormat="false" ht="15" hidden="false" customHeight="false" outlineLevel="0" collapsed="false">
      <c r="A117" s="18"/>
      <c r="B117" s="16"/>
      <c r="C117" s="18" t="str">
        <f aca="false">IF(B117="","",IFERROR(INDEX(NV_TEN,MATCH(B117,NV_MA,0)),"MÃ KHÔNG CÓ"))</f>
        <v/>
      </c>
      <c r="D117" s="16"/>
      <c r="E117" s="19"/>
      <c r="F117" s="16"/>
      <c r="G117" s="16"/>
      <c r="H117" s="16"/>
      <c r="I117" s="16"/>
      <c r="J117" s="18" t="str">
        <f aca="false">IF(B117="","",IF(AND(F117&lt;=TEXT(DATE(NAM,THANG,1),"yyyy-mm"),OR(G117="",G117&gt;=TEXT(DATE(NAM,THANG,1),"yyyy-mm"))),"Có","Không"))</f>
        <v/>
      </c>
    </row>
    <row r="118" customFormat="false" ht="15" hidden="false" customHeight="false" outlineLevel="0" collapsed="false">
      <c r="A118" s="18"/>
      <c r="B118" s="16"/>
      <c r="C118" s="18" t="str">
        <f aca="false">IF(B118="","",IFERROR(INDEX(NV_TEN,MATCH(B118,NV_MA,0)),"MÃ KHÔNG CÓ"))</f>
        <v/>
      </c>
      <c r="D118" s="16"/>
      <c r="E118" s="19"/>
      <c r="F118" s="16"/>
      <c r="G118" s="16"/>
      <c r="H118" s="16"/>
      <c r="I118" s="16"/>
      <c r="J118" s="18" t="str">
        <f aca="false">IF(B118="","",IF(AND(F118&lt;=TEXT(DATE(NAM,THANG,1),"yyyy-mm"),OR(G118="",G118&gt;=TEXT(DATE(NAM,THANG,1),"yyyy-mm"))),"Có","Không"))</f>
        <v/>
      </c>
    </row>
    <row r="119" customFormat="false" ht="15" hidden="false" customHeight="false" outlineLevel="0" collapsed="false">
      <c r="A119" s="18"/>
      <c r="B119" s="16"/>
      <c r="C119" s="18" t="str">
        <f aca="false">IF(B119="","",IFERROR(INDEX(NV_TEN,MATCH(B119,NV_MA,0)),"MÃ KHÔNG CÓ"))</f>
        <v/>
      </c>
      <c r="D119" s="16"/>
      <c r="E119" s="19"/>
      <c r="F119" s="16"/>
      <c r="G119" s="16"/>
      <c r="H119" s="16"/>
      <c r="I119" s="16"/>
      <c r="J119" s="18" t="str">
        <f aca="false">IF(B119="","",IF(AND(F119&lt;=TEXT(DATE(NAM,THANG,1),"yyyy-mm"),OR(G119="",G119&gt;=TEXT(DATE(NAM,THANG,1),"yyyy-mm"))),"Có","Không"))</f>
        <v/>
      </c>
    </row>
    <row r="120" customFormat="false" ht="15" hidden="false" customHeight="false" outlineLevel="0" collapsed="false">
      <c r="A120" s="18"/>
      <c r="B120" s="16"/>
      <c r="C120" s="18" t="str">
        <f aca="false">IF(B120="","",IFERROR(INDEX(NV_TEN,MATCH(B120,NV_MA,0)),"MÃ KHÔNG CÓ"))</f>
        <v/>
      </c>
      <c r="D120" s="16"/>
      <c r="E120" s="19"/>
      <c r="F120" s="16"/>
      <c r="G120" s="16"/>
      <c r="H120" s="16"/>
      <c r="I120" s="16"/>
      <c r="J120" s="18" t="str">
        <f aca="false">IF(B120="","",IF(AND(F120&lt;=TEXT(DATE(NAM,THANG,1),"yyyy-mm"),OR(G120="",G120&gt;=TEXT(DATE(NAM,THANG,1),"yyyy-mm"))),"Có","Không"))</f>
        <v/>
      </c>
    </row>
    <row r="121" customFormat="false" ht="15" hidden="false" customHeight="false" outlineLevel="0" collapsed="false">
      <c r="A121" s="18"/>
      <c r="B121" s="16"/>
      <c r="C121" s="18" t="str">
        <f aca="false">IF(B121="","",IFERROR(INDEX(NV_TEN,MATCH(B121,NV_MA,0)),"MÃ KHÔNG CÓ"))</f>
        <v/>
      </c>
      <c r="D121" s="16"/>
      <c r="E121" s="19"/>
      <c r="F121" s="16"/>
      <c r="G121" s="16"/>
      <c r="H121" s="16"/>
      <c r="I121" s="16"/>
      <c r="J121" s="18" t="str">
        <f aca="false">IF(B121="","",IF(AND(F121&lt;=TEXT(DATE(NAM,THANG,1),"yyyy-mm"),OR(G121="",G121&gt;=TEXT(DATE(NAM,THANG,1),"yyyy-mm"))),"Có","Không"))</f>
        <v/>
      </c>
    </row>
    <row r="122" customFormat="false" ht="15" hidden="false" customHeight="false" outlineLevel="0" collapsed="false">
      <c r="A122" s="18"/>
      <c r="B122" s="16"/>
      <c r="C122" s="18" t="str">
        <f aca="false">IF(B122="","",IFERROR(INDEX(NV_TEN,MATCH(B122,NV_MA,0)),"MÃ KHÔNG CÓ"))</f>
        <v/>
      </c>
      <c r="D122" s="16"/>
      <c r="E122" s="19"/>
      <c r="F122" s="16"/>
      <c r="G122" s="16"/>
      <c r="H122" s="16"/>
      <c r="I122" s="16"/>
      <c r="J122" s="18" t="str">
        <f aca="false">IF(B122="","",IF(AND(F122&lt;=TEXT(DATE(NAM,THANG,1),"yyyy-mm"),OR(G122="",G122&gt;=TEXT(DATE(NAM,THANG,1),"yyyy-mm"))),"Có","Không"))</f>
        <v/>
      </c>
    </row>
    <row r="123" customFormat="false" ht="15" hidden="false" customHeight="false" outlineLevel="0" collapsed="false">
      <c r="A123" s="18"/>
      <c r="B123" s="16"/>
      <c r="C123" s="18" t="str">
        <f aca="false">IF(B123="","",IFERROR(INDEX(NV_TEN,MATCH(B123,NV_MA,0)),"MÃ KHÔNG CÓ"))</f>
        <v/>
      </c>
      <c r="D123" s="16"/>
      <c r="E123" s="19"/>
      <c r="F123" s="16"/>
      <c r="G123" s="16"/>
      <c r="H123" s="16"/>
      <c r="I123" s="16"/>
      <c r="J123" s="18" t="str">
        <f aca="false">IF(B123="","",IF(AND(F123&lt;=TEXT(DATE(NAM,THANG,1),"yyyy-mm"),OR(G123="",G123&gt;=TEXT(DATE(NAM,THANG,1),"yyyy-mm"))),"Có","Không"))</f>
        <v/>
      </c>
    </row>
    <row r="124" customFormat="false" ht="15" hidden="false" customHeight="false" outlineLevel="0" collapsed="false">
      <c r="A124" s="18"/>
      <c r="B124" s="16"/>
      <c r="C124" s="18" t="str">
        <f aca="false">IF(B124="","",IFERROR(INDEX(NV_TEN,MATCH(B124,NV_MA,0)),"MÃ KHÔNG CÓ"))</f>
        <v/>
      </c>
      <c r="D124" s="16"/>
      <c r="E124" s="19"/>
      <c r="F124" s="16"/>
      <c r="G124" s="16"/>
      <c r="H124" s="16"/>
      <c r="I124" s="16"/>
      <c r="J124" s="18" t="str">
        <f aca="false">IF(B124="","",IF(AND(F124&lt;=TEXT(DATE(NAM,THANG,1),"yyyy-mm"),OR(G124="",G124&gt;=TEXT(DATE(NAM,THANG,1),"yyyy-mm"))),"Có","Không"))</f>
        <v/>
      </c>
    </row>
    <row r="125" customFormat="false" ht="15" hidden="false" customHeight="false" outlineLevel="0" collapsed="false">
      <c r="A125" s="18"/>
      <c r="B125" s="16"/>
      <c r="C125" s="18" t="str">
        <f aca="false">IF(B125="","",IFERROR(INDEX(NV_TEN,MATCH(B125,NV_MA,0)),"MÃ KHÔNG CÓ"))</f>
        <v/>
      </c>
      <c r="D125" s="16"/>
      <c r="E125" s="19"/>
      <c r="F125" s="16"/>
      <c r="G125" s="16"/>
      <c r="H125" s="16"/>
      <c r="I125" s="16"/>
      <c r="J125" s="18" t="str">
        <f aca="false">IF(B125="","",IF(AND(F125&lt;=TEXT(DATE(NAM,THANG,1),"yyyy-mm"),OR(G125="",G125&gt;=TEXT(DATE(NAM,THANG,1),"yyyy-mm"))),"Có","Không"))</f>
        <v/>
      </c>
    </row>
    <row r="126" customFormat="false" ht="15" hidden="false" customHeight="false" outlineLevel="0" collapsed="false">
      <c r="A126" s="18"/>
      <c r="B126" s="16"/>
      <c r="C126" s="18" t="str">
        <f aca="false">IF(B126="","",IFERROR(INDEX(NV_TEN,MATCH(B126,NV_MA,0)),"MÃ KHÔNG CÓ"))</f>
        <v/>
      </c>
      <c r="D126" s="16"/>
      <c r="E126" s="19"/>
      <c r="F126" s="16"/>
      <c r="G126" s="16"/>
      <c r="H126" s="16"/>
      <c r="I126" s="16"/>
      <c r="J126" s="18" t="str">
        <f aca="false">IF(B126="","",IF(AND(F126&lt;=TEXT(DATE(NAM,THANG,1),"yyyy-mm"),OR(G126="",G126&gt;=TEXT(DATE(NAM,THANG,1),"yyyy-mm"))),"Có","Không"))</f>
        <v/>
      </c>
    </row>
    <row r="127" customFormat="false" ht="15" hidden="false" customHeight="false" outlineLevel="0" collapsed="false">
      <c r="A127" s="18"/>
      <c r="B127" s="16"/>
      <c r="C127" s="18" t="str">
        <f aca="false">IF(B127="","",IFERROR(INDEX(NV_TEN,MATCH(B127,NV_MA,0)),"MÃ KHÔNG CÓ"))</f>
        <v/>
      </c>
      <c r="D127" s="16"/>
      <c r="E127" s="19"/>
      <c r="F127" s="16"/>
      <c r="G127" s="16"/>
      <c r="H127" s="16"/>
      <c r="I127" s="16"/>
      <c r="J127" s="18" t="str">
        <f aca="false">IF(B127="","",IF(AND(F127&lt;=TEXT(DATE(NAM,THANG,1),"yyyy-mm"),OR(G127="",G127&gt;=TEXT(DATE(NAM,THANG,1),"yyyy-mm"))),"Có","Không"))</f>
        <v/>
      </c>
    </row>
    <row r="128" customFormat="false" ht="15" hidden="false" customHeight="false" outlineLevel="0" collapsed="false">
      <c r="A128" s="18"/>
      <c r="B128" s="16"/>
      <c r="C128" s="18" t="str">
        <f aca="false">IF(B128="","",IFERROR(INDEX(NV_TEN,MATCH(B128,NV_MA,0)),"MÃ KHÔNG CÓ"))</f>
        <v/>
      </c>
      <c r="D128" s="16"/>
      <c r="E128" s="19"/>
      <c r="F128" s="16"/>
      <c r="G128" s="16"/>
      <c r="H128" s="16"/>
      <c r="I128" s="16"/>
      <c r="J128" s="18" t="str">
        <f aca="false">IF(B128="","",IF(AND(F128&lt;=TEXT(DATE(NAM,THANG,1),"yyyy-mm"),OR(G128="",G128&gt;=TEXT(DATE(NAM,THANG,1),"yyyy-mm"))),"Có","Không"))</f>
        <v/>
      </c>
    </row>
    <row r="129" customFormat="false" ht="15" hidden="false" customHeight="false" outlineLevel="0" collapsed="false">
      <c r="A129" s="18"/>
      <c r="B129" s="16"/>
      <c r="C129" s="18" t="str">
        <f aca="false">IF(B129="","",IFERROR(INDEX(NV_TEN,MATCH(B129,NV_MA,0)),"MÃ KHÔNG CÓ"))</f>
        <v/>
      </c>
      <c r="D129" s="16"/>
      <c r="E129" s="19"/>
      <c r="F129" s="16"/>
      <c r="G129" s="16"/>
      <c r="H129" s="16"/>
      <c r="I129" s="16"/>
      <c r="J129" s="18" t="str">
        <f aca="false">IF(B129="","",IF(AND(F129&lt;=TEXT(DATE(NAM,THANG,1),"yyyy-mm"),OR(G129="",G129&gt;=TEXT(DATE(NAM,THANG,1),"yyyy-mm"))),"Có","Không"))</f>
        <v/>
      </c>
    </row>
    <row r="130" customFormat="false" ht="15" hidden="false" customHeight="false" outlineLevel="0" collapsed="false">
      <c r="A130" s="18"/>
      <c r="B130" s="16"/>
      <c r="C130" s="18" t="str">
        <f aca="false">IF(B130="","",IFERROR(INDEX(NV_TEN,MATCH(B130,NV_MA,0)),"MÃ KHÔNG CÓ"))</f>
        <v/>
      </c>
      <c r="D130" s="16"/>
      <c r="E130" s="19"/>
      <c r="F130" s="16"/>
      <c r="G130" s="16"/>
      <c r="H130" s="16"/>
      <c r="I130" s="16"/>
      <c r="J130" s="18" t="str">
        <f aca="false">IF(B130="","",IF(AND(F130&lt;=TEXT(DATE(NAM,THANG,1),"yyyy-mm"),OR(G130="",G130&gt;=TEXT(DATE(NAM,THANG,1),"yyyy-mm"))),"Có","Không"))</f>
        <v/>
      </c>
    </row>
    <row r="131" customFormat="false" ht="15" hidden="false" customHeight="false" outlineLevel="0" collapsed="false">
      <c r="A131" s="18"/>
      <c r="B131" s="16"/>
      <c r="C131" s="18" t="str">
        <f aca="false">IF(B131="","",IFERROR(INDEX(NV_TEN,MATCH(B131,NV_MA,0)),"MÃ KHÔNG CÓ"))</f>
        <v/>
      </c>
      <c r="D131" s="16"/>
      <c r="E131" s="19"/>
      <c r="F131" s="16"/>
      <c r="G131" s="16"/>
      <c r="H131" s="16"/>
      <c r="I131" s="16"/>
      <c r="J131" s="18" t="str">
        <f aca="false">IF(B131="","",IF(AND(F131&lt;=TEXT(DATE(NAM,THANG,1),"yyyy-mm"),OR(G131="",G131&gt;=TEXT(DATE(NAM,THANG,1),"yyyy-mm"))),"Có","Không"))</f>
        <v/>
      </c>
    </row>
    <row r="132" customFormat="false" ht="15" hidden="false" customHeight="false" outlineLevel="0" collapsed="false">
      <c r="A132" s="18"/>
      <c r="B132" s="16"/>
      <c r="C132" s="18" t="str">
        <f aca="false">IF(B132="","",IFERROR(INDEX(NV_TEN,MATCH(B132,NV_MA,0)),"MÃ KHÔNG CÓ"))</f>
        <v/>
      </c>
      <c r="D132" s="16"/>
      <c r="E132" s="19"/>
      <c r="F132" s="16"/>
      <c r="G132" s="16"/>
      <c r="H132" s="16"/>
      <c r="I132" s="16"/>
      <c r="J132" s="18" t="str">
        <f aca="false">IF(B132="","",IF(AND(F132&lt;=TEXT(DATE(NAM,THANG,1),"yyyy-mm"),OR(G132="",G132&gt;=TEXT(DATE(NAM,THANG,1),"yyyy-mm"))),"Có","Không"))</f>
        <v/>
      </c>
    </row>
    <row r="133" customFormat="false" ht="15" hidden="false" customHeight="false" outlineLevel="0" collapsed="false">
      <c r="A133" s="18"/>
      <c r="B133" s="16"/>
      <c r="C133" s="18" t="str">
        <f aca="false">IF(B133="","",IFERROR(INDEX(NV_TEN,MATCH(B133,NV_MA,0)),"MÃ KHÔNG CÓ"))</f>
        <v/>
      </c>
      <c r="D133" s="16"/>
      <c r="E133" s="19"/>
      <c r="F133" s="16"/>
      <c r="G133" s="16"/>
      <c r="H133" s="16"/>
      <c r="I133" s="16"/>
      <c r="J133" s="18" t="str">
        <f aca="false">IF(B133="","",IF(AND(F133&lt;=TEXT(DATE(NAM,THANG,1),"yyyy-mm"),OR(G133="",G133&gt;=TEXT(DATE(NAM,THANG,1),"yyyy-mm"))),"Có","Không"))</f>
        <v/>
      </c>
    </row>
    <row r="134" customFormat="false" ht="15" hidden="false" customHeight="false" outlineLevel="0" collapsed="false">
      <c r="A134" s="18"/>
      <c r="B134" s="16"/>
      <c r="C134" s="18" t="str">
        <f aca="false">IF(B134="","",IFERROR(INDEX(NV_TEN,MATCH(B134,NV_MA,0)),"MÃ KHÔNG CÓ"))</f>
        <v/>
      </c>
      <c r="D134" s="16"/>
      <c r="E134" s="19"/>
      <c r="F134" s="16"/>
      <c r="G134" s="16"/>
      <c r="H134" s="16"/>
      <c r="I134" s="16"/>
      <c r="J134" s="18" t="str">
        <f aca="false">IF(B134="","",IF(AND(F134&lt;=TEXT(DATE(NAM,THANG,1),"yyyy-mm"),OR(G134="",G134&gt;=TEXT(DATE(NAM,THANG,1),"yyyy-mm"))),"Có","Không"))</f>
        <v/>
      </c>
    </row>
    <row r="135" customFormat="false" ht="15" hidden="false" customHeight="false" outlineLevel="0" collapsed="false">
      <c r="A135" s="18"/>
      <c r="B135" s="16"/>
      <c r="C135" s="18" t="str">
        <f aca="false">IF(B135="","",IFERROR(INDEX(NV_TEN,MATCH(B135,NV_MA,0)),"MÃ KHÔNG CÓ"))</f>
        <v/>
      </c>
      <c r="D135" s="16"/>
      <c r="E135" s="19"/>
      <c r="F135" s="16"/>
      <c r="G135" s="16"/>
      <c r="H135" s="16"/>
      <c r="I135" s="16"/>
      <c r="J135" s="18" t="str">
        <f aca="false">IF(B135="","",IF(AND(F135&lt;=TEXT(DATE(NAM,THANG,1),"yyyy-mm"),OR(G135="",G135&gt;=TEXT(DATE(NAM,THANG,1),"yyyy-mm"))),"Có","Không"))</f>
        <v/>
      </c>
    </row>
    <row r="136" customFormat="false" ht="15" hidden="false" customHeight="false" outlineLevel="0" collapsed="false">
      <c r="A136" s="18"/>
      <c r="B136" s="16"/>
      <c r="C136" s="18" t="str">
        <f aca="false">IF(B136="","",IFERROR(INDEX(NV_TEN,MATCH(B136,NV_MA,0)),"MÃ KHÔNG CÓ"))</f>
        <v/>
      </c>
      <c r="D136" s="16"/>
      <c r="E136" s="19"/>
      <c r="F136" s="16"/>
      <c r="G136" s="16"/>
      <c r="H136" s="16"/>
      <c r="I136" s="16"/>
      <c r="J136" s="18" t="str">
        <f aca="false">IF(B136="","",IF(AND(F136&lt;=TEXT(DATE(NAM,THANG,1),"yyyy-mm"),OR(G136="",G136&gt;=TEXT(DATE(NAM,THANG,1),"yyyy-mm"))),"Có","Không"))</f>
        <v/>
      </c>
    </row>
    <row r="137" customFormat="false" ht="15" hidden="false" customHeight="false" outlineLevel="0" collapsed="false">
      <c r="A137" s="18"/>
      <c r="B137" s="16"/>
      <c r="C137" s="18" t="str">
        <f aca="false">IF(B137="","",IFERROR(INDEX(NV_TEN,MATCH(B137,NV_MA,0)),"MÃ KHÔNG CÓ"))</f>
        <v/>
      </c>
      <c r="D137" s="16"/>
      <c r="E137" s="19"/>
      <c r="F137" s="16"/>
      <c r="G137" s="16"/>
      <c r="H137" s="16"/>
      <c r="I137" s="16"/>
      <c r="J137" s="18" t="str">
        <f aca="false">IF(B137="","",IF(AND(F137&lt;=TEXT(DATE(NAM,THANG,1),"yyyy-mm"),OR(G137="",G137&gt;=TEXT(DATE(NAM,THANG,1),"yyyy-mm"))),"Có","Không"))</f>
        <v/>
      </c>
    </row>
    <row r="138" customFormat="false" ht="15" hidden="false" customHeight="false" outlineLevel="0" collapsed="false">
      <c r="A138" s="18"/>
      <c r="B138" s="16"/>
      <c r="C138" s="18" t="str">
        <f aca="false">IF(B138="","",IFERROR(INDEX(NV_TEN,MATCH(B138,NV_MA,0)),"MÃ KHÔNG CÓ"))</f>
        <v/>
      </c>
      <c r="D138" s="16"/>
      <c r="E138" s="19"/>
      <c r="F138" s="16"/>
      <c r="G138" s="16"/>
      <c r="H138" s="16"/>
      <c r="I138" s="16"/>
      <c r="J138" s="18" t="str">
        <f aca="false">IF(B138="","",IF(AND(F138&lt;=TEXT(DATE(NAM,THANG,1),"yyyy-mm"),OR(G138="",G138&gt;=TEXT(DATE(NAM,THANG,1),"yyyy-mm"))),"Có","Không"))</f>
        <v/>
      </c>
    </row>
    <row r="139" customFormat="false" ht="15" hidden="false" customHeight="false" outlineLevel="0" collapsed="false">
      <c r="A139" s="18"/>
      <c r="B139" s="16"/>
      <c r="C139" s="18" t="str">
        <f aca="false">IF(B139="","",IFERROR(INDEX(NV_TEN,MATCH(B139,NV_MA,0)),"MÃ KHÔNG CÓ"))</f>
        <v/>
      </c>
      <c r="D139" s="16"/>
      <c r="E139" s="19"/>
      <c r="F139" s="16"/>
      <c r="G139" s="16"/>
      <c r="H139" s="16"/>
      <c r="I139" s="16"/>
      <c r="J139" s="18" t="str">
        <f aca="false">IF(B139="","",IF(AND(F139&lt;=TEXT(DATE(NAM,THANG,1),"yyyy-mm"),OR(G139="",G139&gt;=TEXT(DATE(NAM,THANG,1),"yyyy-mm"))),"Có","Không"))</f>
        <v/>
      </c>
    </row>
    <row r="140" customFormat="false" ht="15" hidden="false" customHeight="false" outlineLevel="0" collapsed="false">
      <c r="A140" s="18"/>
      <c r="B140" s="16"/>
      <c r="C140" s="18" t="str">
        <f aca="false">IF(B140="","",IFERROR(INDEX(NV_TEN,MATCH(B140,NV_MA,0)),"MÃ KHÔNG CÓ"))</f>
        <v/>
      </c>
      <c r="D140" s="16"/>
      <c r="E140" s="19"/>
      <c r="F140" s="16"/>
      <c r="G140" s="16"/>
      <c r="H140" s="16"/>
      <c r="I140" s="16"/>
      <c r="J140" s="18" t="str">
        <f aca="false">IF(B140="","",IF(AND(F140&lt;=TEXT(DATE(NAM,THANG,1),"yyyy-mm"),OR(G140="",G140&gt;=TEXT(DATE(NAM,THANG,1),"yyyy-mm"))),"Có","Không"))</f>
        <v/>
      </c>
    </row>
    <row r="141" customFormat="false" ht="15" hidden="false" customHeight="false" outlineLevel="0" collapsed="false">
      <c r="A141" s="18"/>
      <c r="B141" s="16"/>
      <c r="C141" s="18" t="str">
        <f aca="false">IF(B141="","",IFERROR(INDEX(NV_TEN,MATCH(B141,NV_MA,0)),"MÃ KHÔNG CÓ"))</f>
        <v/>
      </c>
      <c r="D141" s="16"/>
      <c r="E141" s="19"/>
      <c r="F141" s="16"/>
      <c r="G141" s="16"/>
      <c r="H141" s="16"/>
      <c r="I141" s="16"/>
      <c r="J141" s="18" t="str">
        <f aca="false">IF(B141="","",IF(AND(F141&lt;=TEXT(DATE(NAM,THANG,1),"yyyy-mm"),OR(G141="",G141&gt;=TEXT(DATE(NAM,THANG,1),"yyyy-mm"))),"Có","Không"))</f>
        <v/>
      </c>
    </row>
    <row r="142" customFormat="false" ht="15" hidden="false" customHeight="false" outlineLevel="0" collapsed="false">
      <c r="A142" s="18"/>
      <c r="B142" s="16"/>
      <c r="C142" s="18" t="str">
        <f aca="false">IF(B142="","",IFERROR(INDEX(NV_TEN,MATCH(B142,NV_MA,0)),"MÃ KHÔNG CÓ"))</f>
        <v/>
      </c>
      <c r="D142" s="16"/>
      <c r="E142" s="19"/>
      <c r="F142" s="16"/>
      <c r="G142" s="16"/>
      <c r="H142" s="16"/>
      <c r="I142" s="16"/>
      <c r="J142" s="18" t="str">
        <f aca="false">IF(B142="","",IF(AND(F142&lt;=TEXT(DATE(NAM,THANG,1),"yyyy-mm"),OR(G142="",G142&gt;=TEXT(DATE(NAM,THANG,1),"yyyy-mm"))),"Có","Không"))</f>
        <v/>
      </c>
    </row>
    <row r="143" customFormat="false" ht="15" hidden="false" customHeight="false" outlineLevel="0" collapsed="false">
      <c r="A143" s="18"/>
      <c r="B143" s="16"/>
      <c r="C143" s="18" t="str">
        <f aca="false">IF(B143="","",IFERROR(INDEX(NV_TEN,MATCH(B143,NV_MA,0)),"MÃ KHÔNG CÓ"))</f>
        <v/>
      </c>
      <c r="D143" s="16"/>
      <c r="E143" s="19"/>
      <c r="F143" s="16"/>
      <c r="G143" s="16"/>
      <c r="H143" s="16"/>
      <c r="I143" s="16"/>
      <c r="J143" s="18" t="str">
        <f aca="false">IF(B143="","",IF(AND(F143&lt;=TEXT(DATE(NAM,THANG,1),"yyyy-mm"),OR(G143="",G143&gt;=TEXT(DATE(NAM,THANG,1),"yyyy-mm"))),"Có","Không"))</f>
        <v/>
      </c>
    </row>
    <row r="144" customFormat="false" ht="15" hidden="false" customHeight="false" outlineLevel="0" collapsed="false">
      <c r="A144" s="18"/>
      <c r="B144" s="16"/>
      <c r="C144" s="18" t="str">
        <f aca="false">IF(B144="","",IFERROR(INDEX(NV_TEN,MATCH(B144,NV_MA,0)),"MÃ KHÔNG CÓ"))</f>
        <v/>
      </c>
      <c r="D144" s="16"/>
      <c r="E144" s="19"/>
      <c r="F144" s="16"/>
      <c r="G144" s="16"/>
      <c r="H144" s="16"/>
      <c r="I144" s="16"/>
      <c r="J144" s="18" t="str">
        <f aca="false">IF(B144="","",IF(AND(F144&lt;=TEXT(DATE(NAM,THANG,1),"yyyy-mm"),OR(G144="",G144&gt;=TEXT(DATE(NAM,THANG,1),"yyyy-mm"))),"Có","Không"))</f>
        <v/>
      </c>
    </row>
    <row r="145" customFormat="false" ht="15" hidden="false" customHeight="false" outlineLevel="0" collapsed="false">
      <c r="A145" s="18"/>
      <c r="B145" s="16"/>
      <c r="C145" s="18" t="str">
        <f aca="false">IF(B145="","",IFERROR(INDEX(NV_TEN,MATCH(B145,NV_MA,0)),"MÃ KHÔNG CÓ"))</f>
        <v/>
      </c>
      <c r="D145" s="16"/>
      <c r="E145" s="19"/>
      <c r="F145" s="16"/>
      <c r="G145" s="16"/>
      <c r="H145" s="16"/>
      <c r="I145" s="16"/>
      <c r="J145" s="18" t="str">
        <f aca="false">IF(B145="","",IF(AND(F145&lt;=TEXT(DATE(NAM,THANG,1),"yyyy-mm"),OR(G145="",G145&gt;=TEXT(DATE(NAM,THANG,1),"yyyy-mm"))),"Có","Không"))</f>
        <v/>
      </c>
    </row>
    <row r="146" customFormat="false" ht="15" hidden="false" customHeight="false" outlineLevel="0" collapsed="false">
      <c r="A146" s="18"/>
      <c r="B146" s="16"/>
      <c r="C146" s="18" t="str">
        <f aca="false">IF(B146="","",IFERROR(INDEX(NV_TEN,MATCH(B146,NV_MA,0)),"MÃ KHÔNG CÓ"))</f>
        <v/>
      </c>
      <c r="D146" s="16"/>
      <c r="E146" s="19"/>
      <c r="F146" s="16"/>
      <c r="G146" s="16"/>
      <c r="H146" s="16"/>
      <c r="I146" s="16"/>
      <c r="J146" s="18" t="str">
        <f aca="false">IF(B146="","",IF(AND(F146&lt;=TEXT(DATE(NAM,THANG,1),"yyyy-mm"),OR(G146="",G146&gt;=TEXT(DATE(NAM,THANG,1),"yyyy-mm"))),"Có","Không"))</f>
        <v/>
      </c>
    </row>
    <row r="147" customFormat="false" ht="15" hidden="false" customHeight="false" outlineLevel="0" collapsed="false">
      <c r="A147" s="18"/>
      <c r="B147" s="16"/>
      <c r="C147" s="18" t="str">
        <f aca="false">IF(B147="","",IFERROR(INDEX(NV_TEN,MATCH(B147,NV_MA,0)),"MÃ KHÔNG CÓ"))</f>
        <v/>
      </c>
      <c r="D147" s="16"/>
      <c r="E147" s="19"/>
      <c r="F147" s="16"/>
      <c r="G147" s="16"/>
      <c r="H147" s="16"/>
      <c r="I147" s="16"/>
      <c r="J147" s="18" t="str">
        <f aca="false">IF(B147="","",IF(AND(F147&lt;=TEXT(DATE(NAM,THANG,1),"yyyy-mm"),OR(G147="",G147&gt;=TEXT(DATE(NAM,THANG,1),"yyyy-mm"))),"Có","Không"))</f>
        <v/>
      </c>
    </row>
    <row r="148" customFormat="false" ht="15" hidden="false" customHeight="false" outlineLevel="0" collapsed="false">
      <c r="A148" s="18"/>
      <c r="B148" s="16"/>
      <c r="C148" s="18" t="str">
        <f aca="false">IF(B148="","",IFERROR(INDEX(NV_TEN,MATCH(B148,NV_MA,0)),"MÃ KHÔNG CÓ"))</f>
        <v/>
      </c>
      <c r="D148" s="16"/>
      <c r="E148" s="19"/>
      <c r="F148" s="16"/>
      <c r="G148" s="16"/>
      <c r="H148" s="16"/>
      <c r="I148" s="16"/>
      <c r="J148" s="18" t="str">
        <f aca="false">IF(B148="","",IF(AND(F148&lt;=TEXT(DATE(NAM,THANG,1),"yyyy-mm"),OR(G148="",G148&gt;=TEXT(DATE(NAM,THANG,1),"yyyy-mm"))),"Có","Không"))</f>
        <v/>
      </c>
    </row>
    <row r="149" customFormat="false" ht="15" hidden="false" customHeight="false" outlineLevel="0" collapsed="false">
      <c r="A149" s="18"/>
      <c r="B149" s="16"/>
      <c r="C149" s="18" t="str">
        <f aca="false">IF(B149="","",IFERROR(INDEX(NV_TEN,MATCH(B149,NV_MA,0)),"MÃ KHÔNG CÓ"))</f>
        <v/>
      </c>
      <c r="D149" s="16"/>
      <c r="E149" s="19"/>
      <c r="F149" s="16"/>
      <c r="G149" s="16"/>
      <c r="H149" s="16"/>
      <c r="I149" s="16"/>
      <c r="J149" s="18" t="str">
        <f aca="false">IF(B149="","",IF(AND(F149&lt;=TEXT(DATE(NAM,THANG,1),"yyyy-mm"),OR(G149="",G149&gt;=TEXT(DATE(NAM,THANG,1),"yyyy-mm"))),"Có","Không"))</f>
        <v/>
      </c>
    </row>
    <row r="150" customFormat="false" ht="15" hidden="false" customHeight="false" outlineLevel="0" collapsed="false">
      <c r="A150" s="18"/>
      <c r="B150" s="16"/>
      <c r="C150" s="18" t="str">
        <f aca="false">IF(B150="","",IFERROR(INDEX(NV_TEN,MATCH(B150,NV_MA,0)),"MÃ KHÔNG CÓ"))</f>
        <v/>
      </c>
      <c r="D150" s="16"/>
      <c r="E150" s="19"/>
      <c r="F150" s="16"/>
      <c r="G150" s="16"/>
      <c r="H150" s="16"/>
      <c r="I150" s="16"/>
      <c r="J150" s="18" t="str">
        <f aca="false">IF(B150="","",IF(AND(F150&lt;=TEXT(DATE(NAM,THANG,1),"yyyy-mm"),OR(G150="",G150&gt;=TEXT(DATE(NAM,THANG,1),"yyyy-mm"))),"Có","Không"))</f>
        <v/>
      </c>
    </row>
    <row r="151" customFormat="false" ht="15" hidden="false" customHeight="false" outlineLevel="0" collapsed="false">
      <c r="A151" s="18"/>
      <c r="B151" s="16"/>
      <c r="C151" s="18" t="str">
        <f aca="false">IF(B151="","",IFERROR(INDEX(NV_TEN,MATCH(B151,NV_MA,0)),"MÃ KHÔNG CÓ"))</f>
        <v/>
      </c>
      <c r="D151" s="16"/>
      <c r="E151" s="19"/>
      <c r="F151" s="16"/>
      <c r="G151" s="16"/>
      <c r="H151" s="16"/>
      <c r="I151" s="16"/>
      <c r="J151" s="18" t="str">
        <f aca="false">IF(B151="","",IF(AND(F151&lt;=TEXT(DATE(NAM,THANG,1),"yyyy-mm"),OR(G151="",G151&gt;=TEXT(DATE(NAM,THANG,1),"yyyy-mm"))),"Có","Không"))</f>
        <v/>
      </c>
    </row>
    <row r="152" customFormat="false" ht="15" hidden="false" customHeight="false" outlineLevel="0" collapsed="false">
      <c r="A152" s="18"/>
      <c r="B152" s="16"/>
      <c r="C152" s="18" t="str">
        <f aca="false">IF(B152="","",IFERROR(INDEX(NV_TEN,MATCH(B152,NV_MA,0)),"MÃ KHÔNG CÓ"))</f>
        <v/>
      </c>
      <c r="D152" s="16"/>
      <c r="E152" s="19"/>
      <c r="F152" s="16"/>
      <c r="G152" s="16"/>
      <c r="H152" s="16"/>
      <c r="I152" s="16"/>
      <c r="J152" s="18" t="str">
        <f aca="false">IF(B152="","",IF(AND(F152&lt;=TEXT(DATE(NAM,THANG,1),"yyyy-mm"),OR(G152="",G152&gt;=TEXT(DATE(NAM,THANG,1),"yyyy-mm"))),"Có","Không"))</f>
        <v/>
      </c>
    </row>
    <row r="153" customFormat="false" ht="15" hidden="false" customHeight="false" outlineLevel="0" collapsed="false">
      <c r="A153" s="18"/>
      <c r="B153" s="16"/>
      <c r="C153" s="18" t="str">
        <f aca="false">IF(B153="","",IFERROR(INDEX(NV_TEN,MATCH(B153,NV_MA,0)),"MÃ KHÔNG CÓ"))</f>
        <v/>
      </c>
      <c r="D153" s="16"/>
      <c r="E153" s="19"/>
      <c r="F153" s="16"/>
      <c r="G153" s="16"/>
      <c r="H153" s="16"/>
      <c r="I153" s="16"/>
      <c r="J153" s="18" t="str">
        <f aca="false">IF(B153="","",IF(AND(F153&lt;=TEXT(DATE(NAM,THANG,1),"yyyy-mm"),OR(G153="",G153&gt;=TEXT(DATE(NAM,THANG,1),"yyyy-mm"))),"Có","Không"))</f>
        <v/>
      </c>
    </row>
    <row r="154" customFormat="false" ht="15" hidden="false" customHeight="false" outlineLevel="0" collapsed="false">
      <c r="A154" s="18"/>
      <c r="B154" s="16"/>
      <c r="C154" s="18" t="str">
        <f aca="false">IF(B154="","",IFERROR(INDEX(NV_TEN,MATCH(B154,NV_MA,0)),"MÃ KHÔNG CÓ"))</f>
        <v/>
      </c>
      <c r="D154" s="16"/>
      <c r="E154" s="19"/>
      <c r="F154" s="16"/>
      <c r="G154" s="16"/>
      <c r="H154" s="16"/>
      <c r="I154" s="16"/>
      <c r="J154" s="18" t="str">
        <f aca="false">IF(B154="","",IF(AND(F154&lt;=TEXT(DATE(NAM,THANG,1),"yyyy-mm"),OR(G154="",G154&gt;=TEXT(DATE(NAM,THANG,1),"yyyy-mm"))),"Có","Không"))</f>
        <v/>
      </c>
    </row>
    <row r="155" customFormat="false" ht="15" hidden="false" customHeight="false" outlineLevel="0" collapsed="false">
      <c r="A155" s="18"/>
      <c r="B155" s="16"/>
      <c r="C155" s="18" t="str">
        <f aca="false">IF(B155="","",IFERROR(INDEX(NV_TEN,MATCH(B155,NV_MA,0)),"MÃ KHÔNG CÓ"))</f>
        <v/>
      </c>
      <c r="D155" s="16"/>
      <c r="E155" s="19"/>
      <c r="F155" s="16"/>
      <c r="G155" s="16"/>
      <c r="H155" s="16"/>
      <c r="I155" s="16"/>
      <c r="J155" s="18" t="str">
        <f aca="false">IF(B155="","",IF(AND(F155&lt;=TEXT(DATE(NAM,THANG,1),"yyyy-mm"),OR(G155="",G155&gt;=TEXT(DATE(NAM,THANG,1),"yyyy-mm"))),"Có","Không"))</f>
        <v/>
      </c>
    </row>
    <row r="156" customFormat="false" ht="15" hidden="false" customHeight="false" outlineLevel="0" collapsed="false">
      <c r="A156" s="18"/>
      <c r="B156" s="16"/>
      <c r="C156" s="18" t="str">
        <f aca="false">IF(B156="","",IFERROR(INDEX(NV_TEN,MATCH(B156,NV_MA,0)),"MÃ KHÔNG CÓ"))</f>
        <v/>
      </c>
      <c r="D156" s="16"/>
      <c r="E156" s="19"/>
      <c r="F156" s="16"/>
      <c r="G156" s="16"/>
      <c r="H156" s="16"/>
      <c r="I156" s="16"/>
      <c r="J156" s="18" t="str">
        <f aca="false">IF(B156="","",IF(AND(F156&lt;=TEXT(DATE(NAM,THANG,1),"yyyy-mm"),OR(G156="",G156&gt;=TEXT(DATE(NAM,THANG,1),"yyyy-mm"))),"Có","Không"))</f>
        <v/>
      </c>
    </row>
    <row r="157" customFormat="false" ht="15" hidden="false" customHeight="false" outlineLevel="0" collapsed="false">
      <c r="A157" s="18"/>
      <c r="B157" s="16"/>
      <c r="C157" s="18" t="str">
        <f aca="false">IF(B157="","",IFERROR(INDEX(NV_TEN,MATCH(B157,NV_MA,0)),"MÃ KHÔNG CÓ"))</f>
        <v/>
      </c>
      <c r="D157" s="16"/>
      <c r="E157" s="19"/>
      <c r="F157" s="16"/>
      <c r="G157" s="16"/>
      <c r="H157" s="16"/>
      <c r="I157" s="16"/>
      <c r="J157" s="18" t="str">
        <f aca="false">IF(B157="","",IF(AND(F157&lt;=TEXT(DATE(NAM,THANG,1),"yyyy-mm"),OR(G157="",G157&gt;=TEXT(DATE(NAM,THANG,1),"yyyy-mm"))),"Có","Không"))</f>
        <v/>
      </c>
    </row>
    <row r="158" customFormat="false" ht="15" hidden="false" customHeight="false" outlineLevel="0" collapsed="false">
      <c r="A158" s="18"/>
      <c r="B158" s="16"/>
      <c r="C158" s="18" t="str">
        <f aca="false">IF(B158="","",IFERROR(INDEX(NV_TEN,MATCH(B158,NV_MA,0)),"MÃ KHÔNG CÓ"))</f>
        <v/>
      </c>
      <c r="D158" s="16"/>
      <c r="E158" s="19"/>
      <c r="F158" s="16"/>
      <c r="G158" s="16"/>
      <c r="H158" s="16"/>
      <c r="I158" s="16"/>
      <c r="J158" s="18" t="str">
        <f aca="false">IF(B158="","",IF(AND(F158&lt;=TEXT(DATE(NAM,THANG,1),"yyyy-mm"),OR(G158="",G158&gt;=TEXT(DATE(NAM,THANG,1),"yyyy-mm"))),"Có","Không"))</f>
        <v/>
      </c>
    </row>
    <row r="159" customFormat="false" ht="15" hidden="false" customHeight="false" outlineLevel="0" collapsed="false">
      <c r="A159" s="18"/>
      <c r="B159" s="16"/>
      <c r="C159" s="18" t="str">
        <f aca="false">IF(B159="","",IFERROR(INDEX(NV_TEN,MATCH(B159,NV_MA,0)),"MÃ KHÔNG CÓ"))</f>
        <v/>
      </c>
      <c r="D159" s="16"/>
      <c r="E159" s="19"/>
      <c r="F159" s="16"/>
      <c r="G159" s="16"/>
      <c r="H159" s="16"/>
      <c r="I159" s="16"/>
      <c r="J159" s="18" t="str">
        <f aca="false">IF(B159="","",IF(AND(F159&lt;=TEXT(DATE(NAM,THANG,1),"yyyy-mm"),OR(G159="",G159&gt;=TEXT(DATE(NAM,THANG,1),"yyyy-mm"))),"Có","Không"))</f>
        <v/>
      </c>
    </row>
    <row r="160" customFormat="false" ht="15" hidden="false" customHeight="false" outlineLevel="0" collapsed="false">
      <c r="A160" s="18"/>
      <c r="B160" s="16"/>
      <c r="C160" s="18" t="str">
        <f aca="false">IF(B160="","",IFERROR(INDEX(NV_TEN,MATCH(B160,NV_MA,0)),"MÃ KHÔNG CÓ"))</f>
        <v/>
      </c>
      <c r="D160" s="16"/>
      <c r="E160" s="19"/>
      <c r="F160" s="16"/>
      <c r="G160" s="16"/>
      <c r="H160" s="16"/>
      <c r="I160" s="16"/>
      <c r="J160" s="18" t="str">
        <f aca="false">IF(B160="","",IF(AND(F160&lt;=TEXT(DATE(NAM,THANG,1),"yyyy-mm"),OR(G160="",G160&gt;=TEXT(DATE(NAM,THANG,1),"yyyy-mm"))),"Có","Không"))</f>
        <v/>
      </c>
    </row>
    <row r="161" customFormat="false" ht="15" hidden="false" customHeight="false" outlineLevel="0" collapsed="false">
      <c r="A161" s="18"/>
      <c r="B161" s="16"/>
      <c r="C161" s="18" t="str">
        <f aca="false">IF(B161="","",IFERROR(INDEX(NV_TEN,MATCH(B161,NV_MA,0)),"MÃ KHÔNG CÓ"))</f>
        <v/>
      </c>
      <c r="D161" s="16"/>
      <c r="E161" s="19"/>
      <c r="F161" s="16"/>
      <c r="G161" s="16"/>
      <c r="H161" s="16"/>
      <c r="I161" s="16"/>
      <c r="J161" s="18" t="str">
        <f aca="false">IF(B161="","",IF(AND(F161&lt;=TEXT(DATE(NAM,THANG,1),"yyyy-mm"),OR(G161="",G161&gt;=TEXT(DATE(NAM,THANG,1),"yyyy-mm"))),"Có","Không"))</f>
        <v/>
      </c>
    </row>
    <row r="162" customFormat="false" ht="15" hidden="false" customHeight="false" outlineLevel="0" collapsed="false">
      <c r="A162" s="18"/>
      <c r="B162" s="16"/>
      <c r="C162" s="18" t="str">
        <f aca="false">IF(B162="","",IFERROR(INDEX(NV_TEN,MATCH(B162,NV_MA,0)),"MÃ KHÔNG CÓ"))</f>
        <v/>
      </c>
      <c r="D162" s="16"/>
      <c r="E162" s="19"/>
      <c r="F162" s="16"/>
      <c r="G162" s="16"/>
      <c r="H162" s="16"/>
      <c r="I162" s="16"/>
      <c r="J162" s="18" t="str">
        <f aca="false">IF(B162="","",IF(AND(F162&lt;=TEXT(DATE(NAM,THANG,1),"yyyy-mm"),OR(G162="",G162&gt;=TEXT(DATE(NAM,THANG,1),"yyyy-mm"))),"Có","Không"))</f>
        <v/>
      </c>
    </row>
    <row r="163" customFormat="false" ht="15" hidden="false" customHeight="false" outlineLevel="0" collapsed="false">
      <c r="A163" s="18"/>
      <c r="B163" s="16"/>
      <c r="C163" s="18" t="str">
        <f aca="false">IF(B163="","",IFERROR(INDEX(NV_TEN,MATCH(B163,NV_MA,0)),"MÃ KHÔNG CÓ"))</f>
        <v/>
      </c>
      <c r="D163" s="16"/>
      <c r="E163" s="19"/>
      <c r="F163" s="16"/>
      <c r="G163" s="16"/>
      <c r="H163" s="16"/>
      <c r="I163" s="16"/>
      <c r="J163" s="18" t="str">
        <f aca="false">IF(B163="","",IF(AND(F163&lt;=TEXT(DATE(NAM,THANG,1),"yyyy-mm"),OR(G163="",G163&gt;=TEXT(DATE(NAM,THANG,1),"yyyy-mm"))),"Có","Không"))</f>
        <v/>
      </c>
    </row>
    <row r="164" customFormat="false" ht="15" hidden="false" customHeight="false" outlineLevel="0" collapsed="false">
      <c r="A164" s="18"/>
      <c r="B164" s="16"/>
      <c r="C164" s="18" t="str">
        <f aca="false">IF(B164="","",IFERROR(INDEX(NV_TEN,MATCH(B164,NV_MA,0)),"MÃ KHÔNG CÓ"))</f>
        <v/>
      </c>
      <c r="D164" s="16"/>
      <c r="E164" s="19"/>
      <c r="F164" s="16"/>
      <c r="G164" s="16"/>
      <c r="H164" s="16"/>
      <c r="I164" s="16"/>
      <c r="J164" s="18" t="str">
        <f aca="false">IF(B164="","",IF(AND(F164&lt;=TEXT(DATE(NAM,THANG,1),"yyyy-mm"),OR(G164="",G164&gt;=TEXT(DATE(NAM,THANG,1),"yyyy-mm"))),"Có","Không"))</f>
        <v/>
      </c>
    </row>
    <row r="165" customFormat="false" ht="15" hidden="false" customHeight="false" outlineLevel="0" collapsed="false">
      <c r="A165" s="18"/>
      <c r="B165" s="16"/>
      <c r="C165" s="18" t="str">
        <f aca="false">IF(B165="","",IFERROR(INDEX(NV_TEN,MATCH(B165,NV_MA,0)),"MÃ KHÔNG CÓ"))</f>
        <v/>
      </c>
      <c r="D165" s="16"/>
      <c r="E165" s="19"/>
      <c r="F165" s="16"/>
      <c r="G165" s="16"/>
      <c r="H165" s="16"/>
      <c r="I165" s="16"/>
      <c r="J165" s="18" t="str">
        <f aca="false">IF(B165="","",IF(AND(F165&lt;=TEXT(DATE(NAM,THANG,1),"yyyy-mm"),OR(G165="",G165&gt;=TEXT(DATE(NAM,THANG,1),"yyyy-mm"))),"Có","Không"))</f>
        <v/>
      </c>
    </row>
    <row r="166" customFormat="false" ht="15" hidden="false" customHeight="false" outlineLevel="0" collapsed="false">
      <c r="A166" s="18"/>
      <c r="B166" s="16"/>
      <c r="C166" s="18" t="str">
        <f aca="false">IF(B166="","",IFERROR(INDEX(NV_TEN,MATCH(B166,NV_MA,0)),"MÃ KHÔNG CÓ"))</f>
        <v/>
      </c>
      <c r="D166" s="16"/>
      <c r="E166" s="19"/>
      <c r="F166" s="16"/>
      <c r="G166" s="16"/>
      <c r="H166" s="16"/>
      <c r="I166" s="16"/>
      <c r="J166" s="18" t="str">
        <f aca="false">IF(B166="","",IF(AND(F166&lt;=TEXT(DATE(NAM,THANG,1),"yyyy-mm"),OR(G166="",G166&gt;=TEXT(DATE(NAM,THANG,1),"yyyy-mm"))),"Có","Không"))</f>
        <v/>
      </c>
    </row>
    <row r="167" customFormat="false" ht="15" hidden="false" customHeight="false" outlineLevel="0" collapsed="false">
      <c r="A167" s="18"/>
      <c r="B167" s="16"/>
      <c r="C167" s="18" t="str">
        <f aca="false">IF(B167="","",IFERROR(INDEX(NV_TEN,MATCH(B167,NV_MA,0)),"MÃ KHÔNG CÓ"))</f>
        <v/>
      </c>
      <c r="D167" s="16"/>
      <c r="E167" s="19"/>
      <c r="F167" s="16"/>
      <c r="G167" s="16"/>
      <c r="H167" s="16"/>
      <c r="I167" s="16"/>
      <c r="J167" s="18" t="str">
        <f aca="false">IF(B167="","",IF(AND(F167&lt;=TEXT(DATE(NAM,THANG,1),"yyyy-mm"),OR(G167="",G167&gt;=TEXT(DATE(NAM,THANG,1),"yyyy-mm"))),"Có","Không"))</f>
        <v/>
      </c>
    </row>
    <row r="168" customFormat="false" ht="15" hidden="false" customHeight="false" outlineLevel="0" collapsed="false">
      <c r="A168" s="18"/>
      <c r="B168" s="16"/>
      <c r="C168" s="18" t="str">
        <f aca="false">IF(B168="","",IFERROR(INDEX(NV_TEN,MATCH(B168,NV_MA,0)),"MÃ KHÔNG CÓ"))</f>
        <v/>
      </c>
      <c r="D168" s="16"/>
      <c r="E168" s="19"/>
      <c r="F168" s="16"/>
      <c r="G168" s="16"/>
      <c r="H168" s="16"/>
      <c r="I168" s="16"/>
      <c r="J168" s="18" t="str">
        <f aca="false">IF(B168="","",IF(AND(F168&lt;=TEXT(DATE(NAM,THANG,1),"yyyy-mm"),OR(G168="",G168&gt;=TEXT(DATE(NAM,THANG,1),"yyyy-mm"))),"Có","Không"))</f>
        <v/>
      </c>
    </row>
    <row r="169" customFormat="false" ht="15" hidden="false" customHeight="false" outlineLevel="0" collapsed="false">
      <c r="A169" s="18"/>
      <c r="B169" s="16"/>
      <c r="C169" s="18" t="str">
        <f aca="false">IF(B169="","",IFERROR(INDEX(NV_TEN,MATCH(B169,NV_MA,0)),"MÃ KHÔNG CÓ"))</f>
        <v/>
      </c>
      <c r="D169" s="16"/>
      <c r="E169" s="19"/>
      <c r="F169" s="16"/>
      <c r="G169" s="16"/>
      <c r="H169" s="16"/>
      <c r="I169" s="16"/>
      <c r="J169" s="18" t="str">
        <f aca="false">IF(B169="","",IF(AND(F169&lt;=TEXT(DATE(NAM,THANG,1),"yyyy-mm"),OR(G169="",G169&gt;=TEXT(DATE(NAM,THANG,1),"yyyy-mm"))),"Có","Không"))</f>
        <v/>
      </c>
    </row>
    <row r="170" customFormat="false" ht="15" hidden="false" customHeight="false" outlineLevel="0" collapsed="false">
      <c r="A170" s="18"/>
      <c r="B170" s="16"/>
      <c r="C170" s="18" t="str">
        <f aca="false">IF(B170="","",IFERROR(INDEX(NV_TEN,MATCH(B170,NV_MA,0)),"MÃ KHÔNG CÓ"))</f>
        <v/>
      </c>
      <c r="D170" s="16"/>
      <c r="E170" s="19"/>
      <c r="F170" s="16"/>
      <c r="G170" s="16"/>
      <c r="H170" s="16"/>
      <c r="I170" s="16"/>
      <c r="J170" s="18" t="str">
        <f aca="false">IF(B170="","",IF(AND(F170&lt;=TEXT(DATE(NAM,THANG,1),"yyyy-mm"),OR(G170="",G170&gt;=TEXT(DATE(NAM,THANG,1),"yyyy-mm"))),"Có","Không"))</f>
        <v/>
      </c>
    </row>
    <row r="171" customFormat="false" ht="15" hidden="false" customHeight="false" outlineLevel="0" collapsed="false">
      <c r="A171" s="18"/>
      <c r="B171" s="16"/>
      <c r="C171" s="18" t="str">
        <f aca="false">IF(B171="","",IFERROR(INDEX(NV_TEN,MATCH(B171,NV_MA,0)),"MÃ KHÔNG CÓ"))</f>
        <v/>
      </c>
      <c r="D171" s="16"/>
      <c r="E171" s="19"/>
      <c r="F171" s="16"/>
      <c r="G171" s="16"/>
      <c r="H171" s="16"/>
      <c r="I171" s="16"/>
      <c r="J171" s="18" t="str">
        <f aca="false">IF(B171="","",IF(AND(F171&lt;=TEXT(DATE(NAM,THANG,1),"yyyy-mm"),OR(G171="",G171&gt;=TEXT(DATE(NAM,THANG,1),"yyyy-mm"))),"Có","Không"))</f>
        <v/>
      </c>
    </row>
    <row r="172" customFormat="false" ht="15" hidden="false" customHeight="false" outlineLevel="0" collapsed="false">
      <c r="A172" s="18"/>
      <c r="B172" s="16"/>
      <c r="C172" s="18" t="str">
        <f aca="false">IF(B172="","",IFERROR(INDEX(NV_TEN,MATCH(B172,NV_MA,0)),"MÃ KHÔNG CÓ"))</f>
        <v/>
      </c>
      <c r="D172" s="16"/>
      <c r="E172" s="19"/>
      <c r="F172" s="16"/>
      <c r="G172" s="16"/>
      <c r="H172" s="16"/>
      <c r="I172" s="16"/>
      <c r="J172" s="18" t="str">
        <f aca="false">IF(B172="","",IF(AND(F172&lt;=TEXT(DATE(NAM,THANG,1),"yyyy-mm"),OR(G172="",G172&gt;=TEXT(DATE(NAM,THANG,1),"yyyy-mm"))),"Có","Không"))</f>
        <v/>
      </c>
    </row>
    <row r="173" customFormat="false" ht="15" hidden="false" customHeight="false" outlineLevel="0" collapsed="false">
      <c r="A173" s="18"/>
      <c r="B173" s="16"/>
      <c r="C173" s="18" t="str">
        <f aca="false">IF(B173="","",IFERROR(INDEX(NV_TEN,MATCH(B173,NV_MA,0)),"MÃ KHÔNG CÓ"))</f>
        <v/>
      </c>
      <c r="D173" s="16"/>
      <c r="E173" s="19"/>
      <c r="F173" s="16"/>
      <c r="G173" s="16"/>
      <c r="H173" s="16"/>
      <c r="I173" s="16"/>
      <c r="J173" s="18" t="str">
        <f aca="false">IF(B173="","",IF(AND(F173&lt;=TEXT(DATE(NAM,THANG,1),"yyyy-mm"),OR(G173="",G173&gt;=TEXT(DATE(NAM,THANG,1),"yyyy-mm"))),"Có","Không"))</f>
        <v/>
      </c>
    </row>
    <row r="174" customFormat="false" ht="15" hidden="false" customHeight="false" outlineLevel="0" collapsed="false">
      <c r="A174" s="18"/>
      <c r="B174" s="16"/>
      <c r="C174" s="18" t="str">
        <f aca="false">IF(B174="","",IFERROR(INDEX(NV_TEN,MATCH(B174,NV_MA,0)),"MÃ KHÔNG CÓ"))</f>
        <v/>
      </c>
      <c r="D174" s="16"/>
      <c r="E174" s="19"/>
      <c r="F174" s="16"/>
      <c r="G174" s="16"/>
      <c r="H174" s="16"/>
      <c r="I174" s="16"/>
      <c r="J174" s="18" t="str">
        <f aca="false">IF(B174="","",IF(AND(F174&lt;=TEXT(DATE(NAM,THANG,1),"yyyy-mm"),OR(G174="",G174&gt;=TEXT(DATE(NAM,THANG,1),"yyyy-mm"))),"Có","Không"))</f>
        <v/>
      </c>
    </row>
    <row r="175" customFormat="false" ht="15" hidden="false" customHeight="false" outlineLevel="0" collapsed="false">
      <c r="A175" s="18"/>
      <c r="B175" s="16"/>
      <c r="C175" s="18" t="str">
        <f aca="false">IF(B175="","",IFERROR(INDEX(NV_TEN,MATCH(B175,NV_MA,0)),"MÃ KHÔNG CÓ"))</f>
        <v/>
      </c>
      <c r="D175" s="16"/>
      <c r="E175" s="19"/>
      <c r="F175" s="16"/>
      <c r="G175" s="16"/>
      <c r="H175" s="16"/>
      <c r="I175" s="16"/>
      <c r="J175" s="18" t="str">
        <f aca="false">IF(B175="","",IF(AND(F175&lt;=TEXT(DATE(NAM,THANG,1),"yyyy-mm"),OR(G175="",G175&gt;=TEXT(DATE(NAM,THANG,1),"yyyy-mm"))),"Có","Không"))</f>
        <v/>
      </c>
    </row>
    <row r="176" customFormat="false" ht="15" hidden="false" customHeight="false" outlineLevel="0" collapsed="false">
      <c r="A176" s="18"/>
      <c r="B176" s="16"/>
      <c r="C176" s="18" t="str">
        <f aca="false">IF(B176="","",IFERROR(INDEX(NV_TEN,MATCH(B176,NV_MA,0)),"MÃ KHÔNG CÓ"))</f>
        <v/>
      </c>
      <c r="D176" s="16"/>
      <c r="E176" s="19"/>
      <c r="F176" s="16"/>
      <c r="G176" s="16"/>
      <c r="H176" s="16"/>
      <c r="I176" s="16"/>
      <c r="J176" s="18" t="str">
        <f aca="false">IF(B176="","",IF(AND(F176&lt;=TEXT(DATE(NAM,THANG,1),"yyyy-mm"),OR(G176="",G176&gt;=TEXT(DATE(NAM,THANG,1),"yyyy-mm"))),"Có","Không"))</f>
        <v/>
      </c>
    </row>
    <row r="177" customFormat="false" ht="15" hidden="false" customHeight="false" outlineLevel="0" collapsed="false">
      <c r="A177" s="18"/>
      <c r="B177" s="16"/>
      <c r="C177" s="18" t="str">
        <f aca="false">IF(B177="","",IFERROR(INDEX(NV_TEN,MATCH(B177,NV_MA,0)),"MÃ KHÔNG CÓ"))</f>
        <v/>
      </c>
      <c r="D177" s="16"/>
      <c r="E177" s="19"/>
      <c r="F177" s="16"/>
      <c r="G177" s="16"/>
      <c r="H177" s="16"/>
      <c r="I177" s="16"/>
      <c r="J177" s="18" t="str">
        <f aca="false">IF(B177="","",IF(AND(F177&lt;=TEXT(DATE(NAM,THANG,1),"yyyy-mm"),OR(G177="",G177&gt;=TEXT(DATE(NAM,THANG,1),"yyyy-mm"))),"Có","Không"))</f>
        <v/>
      </c>
    </row>
    <row r="178" customFormat="false" ht="15" hidden="false" customHeight="false" outlineLevel="0" collapsed="false">
      <c r="A178" s="18"/>
      <c r="B178" s="16"/>
      <c r="C178" s="18" t="str">
        <f aca="false">IF(B178="","",IFERROR(INDEX(NV_TEN,MATCH(B178,NV_MA,0)),"MÃ KHÔNG CÓ"))</f>
        <v/>
      </c>
      <c r="D178" s="16"/>
      <c r="E178" s="19"/>
      <c r="F178" s="16"/>
      <c r="G178" s="16"/>
      <c r="H178" s="16"/>
      <c r="I178" s="16"/>
      <c r="J178" s="18" t="str">
        <f aca="false">IF(B178="","",IF(AND(F178&lt;=TEXT(DATE(NAM,THANG,1),"yyyy-mm"),OR(G178="",G178&gt;=TEXT(DATE(NAM,THANG,1),"yyyy-mm"))),"Có","Không"))</f>
        <v/>
      </c>
    </row>
    <row r="179" customFormat="false" ht="15" hidden="false" customHeight="false" outlineLevel="0" collapsed="false">
      <c r="A179" s="18"/>
      <c r="B179" s="16"/>
      <c r="C179" s="18" t="str">
        <f aca="false">IF(B179="","",IFERROR(INDEX(NV_TEN,MATCH(B179,NV_MA,0)),"MÃ KHÔNG CÓ"))</f>
        <v/>
      </c>
      <c r="D179" s="16"/>
      <c r="E179" s="19"/>
      <c r="F179" s="16"/>
      <c r="G179" s="16"/>
      <c r="H179" s="16"/>
      <c r="I179" s="16"/>
      <c r="J179" s="18" t="str">
        <f aca="false">IF(B179="","",IF(AND(F179&lt;=TEXT(DATE(NAM,THANG,1),"yyyy-mm"),OR(G179="",G179&gt;=TEXT(DATE(NAM,THANG,1),"yyyy-mm"))),"Có","Không"))</f>
        <v/>
      </c>
    </row>
    <row r="180" customFormat="false" ht="15" hidden="false" customHeight="false" outlineLevel="0" collapsed="false">
      <c r="A180" s="18"/>
      <c r="B180" s="16"/>
      <c r="C180" s="18" t="str">
        <f aca="false">IF(B180="","",IFERROR(INDEX(NV_TEN,MATCH(B180,NV_MA,0)),"MÃ KHÔNG CÓ"))</f>
        <v/>
      </c>
      <c r="D180" s="16"/>
      <c r="E180" s="19"/>
      <c r="F180" s="16"/>
      <c r="G180" s="16"/>
      <c r="H180" s="16"/>
      <c r="I180" s="16"/>
      <c r="J180" s="18" t="str">
        <f aca="false">IF(B180="","",IF(AND(F180&lt;=TEXT(DATE(NAM,THANG,1),"yyyy-mm"),OR(G180="",G180&gt;=TEXT(DATE(NAM,THANG,1),"yyyy-mm"))),"Có","Không"))</f>
        <v/>
      </c>
    </row>
    <row r="181" customFormat="false" ht="15" hidden="false" customHeight="false" outlineLevel="0" collapsed="false">
      <c r="A181" s="18"/>
      <c r="B181" s="16"/>
      <c r="C181" s="18" t="str">
        <f aca="false">IF(B181="","",IFERROR(INDEX(NV_TEN,MATCH(B181,NV_MA,0)),"MÃ KHÔNG CÓ"))</f>
        <v/>
      </c>
      <c r="D181" s="16"/>
      <c r="E181" s="19"/>
      <c r="F181" s="16"/>
      <c r="G181" s="16"/>
      <c r="H181" s="16"/>
      <c r="I181" s="16"/>
      <c r="J181" s="18" t="str">
        <f aca="false">IF(B181="","",IF(AND(F181&lt;=TEXT(DATE(NAM,THANG,1),"yyyy-mm"),OR(G181="",G181&gt;=TEXT(DATE(NAM,THANG,1),"yyyy-mm"))),"Có","Không"))</f>
        <v/>
      </c>
    </row>
    <row r="182" customFormat="false" ht="15" hidden="false" customHeight="false" outlineLevel="0" collapsed="false">
      <c r="A182" s="18"/>
      <c r="B182" s="16"/>
      <c r="C182" s="18" t="str">
        <f aca="false">IF(B182="","",IFERROR(INDEX(NV_TEN,MATCH(B182,NV_MA,0)),"MÃ KHÔNG CÓ"))</f>
        <v/>
      </c>
      <c r="D182" s="16"/>
      <c r="E182" s="19"/>
      <c r="F182" s="16"/>
      <c r="G182" s="16"/>
      <c r="H182" s="16"/>
      <c r="I182" s="16"/>
      <c r="J182" s="18" t="str">
        <f aca="false">IF(B182="","",IF(AND(F182&lt;=TEXT(DATE(NAM,THANG,1),"yyyy-mm"),OR(G182="",G182&gt;=TEXT(DATE(NAM,THANG,1),"yyyy-mm"))),"Có","Không"))</f>
        <v/>
      </c>
    </row>
    <row r="183" customFormat="false" ht="15" hidden="false" customHeight="false" outlineLevel="0" collapsed="false">
      <c r="A183" s="18"/>
      <c r="B183" s="16"/>
      <c r="C183" s="18" t="str">
        <f aca="false">IF(B183="","",IFERROR(INDEX(NV_TEN,MATCH(B183,NV_MA,0)),"MÃ KHÔNG CÓ"))</f>
        <v/>
      </c>
      <c r="D183" s="16"/>
      <c r="E183" s="19"/>
      <c r="F183" s="16"/>
      <c r="G183" s="16"/>
      <c r="H183" s="16"/>
      <c r="I183" s="16"/>
      <c r="J183" s="18" t="str">
        <f aca="false">IF(B183="","",IF(AND(F183&lt;=TEXT(DATE(NAM,THANG,1),"yyyy-mm"),OR(G183="",G183&gt;=TEXT(DATE(NAM,THANG,1),"yyyy-mm"))),"Có","Không"))</f>
        <v/>
      </c>
    </row>
    <row r="184" customFormat="false" ht="15" hidden="false" customHeight="false" outlineLevel="0" collapsed="false">
      <c r="A184" s="18"/>
      <c r="B184" s="16"/>
      <c r="C184" s="18" t="str">
        <f aca="false">IF(B184="","",IFERROR(INDEX(NV_TEN,MATCH(B184,NV_MA,0)),"MÃ KHÔNG CÓ"))</f>
        <v/>
      </c>
      <c r="D184" s="16"/>
      <c r="E184" s="19"/>
      <c r="F184" s="16"/>
      <c r="G184" s="16"/>
      <c r="H184" s="16"/>
      <c r="I184" s="16"/>
      <c r="J184" s="18" t="str">
        <f aca="false">IF(B184="","",IF(AND(F184&lt;=TEXT(DATE(NAM,THANG,1),"yyyy-mm"),OR(G184="",G184&gt;=TEXT(DATE(NAM,THANG,1),"yyyy-mm"))),"Có","Không"))</f>
        <v/>
      </c>
    </row>
    <row r="185" customFormat="false" ht="15" hidden="false" customHeight="false" outlineLevel="0" collapsed="false">
      <c r="A185" s="18"/>
      <c r="B185" s="16"/>
      <c r="C185" s="18" t="str">
        <f aca="false">IF(B185="","",IFERROR(INDEX(NV_TEN,MATCH(B185,NV_MA,0)),"MÃ KHÔNG CÓ"))</f>
        <v/>
      </c>
      <c r="D185" s="16"/>
      <c r="E185" s="19"/>
      <c r="F185" s="16"/>
      <c r="G185" s="16"/>
      <c r="H185" s="16"/>
      <c r="I185" s="16"/>
      <c r="J185" s="18" t="str">
        <f aca="false">IF(B185="","",IF(AND(F185&lt;=TEXT(DATE(NAM,THANG,1),"yyyy-mm"),OR(G185="",G185&gt;=TEXT(DATE(NAM,THANG,1),"yyyy-mm"))),"Có","Không"))</f>
        <v/>
      </c>
    </row>
    <row r="186" customFormat="false" ht="15" hidden="false" customHeight="false" outlineLevel="0" collapsed="false">
      <c r="A186" s="18"/>
      <c r="B186" s="16"/>
      <c r="C186" s="18" t="str">
        <f aca="false">IF(B186="","",IFERROR(INDEX(NV_TEN,MATCH(B186,NV_MA,0)),"MÃ KHÔNG CÓ"))</f>
        <v/>
      </c>
      <c r="D186" s="16"/>
      <c r="E186" s="19"/>
      <c r="F186" s="16"/>
      <c r="G186" s="16"/>
      <c r="H186" s="16"/>
      <c r="I186" s="16"/>
      <c r="J186" s="18" t="str">
        <f aca="false">IF(B186="","",IF(AND(F186&lt;=TEXT(DATE(NAM,THANG,1),"yyyy-mm"),OR(G186="",G186&gt;=TEXT(DATE(NAM,THANG,1),"yyyy-mm"))),"Có","Không"))</f>
        <v/>
      </c>
    </row>
    <row r="187" customFormat="false" ht="15" hidden="false" customHeight="false" outlineLevel="0" collapsed="false">
      <c r="A187" s="18"/>
      <c r="B187" s="16"/>
      <c r="C187" s="18" t="str">
        <f aca="false">IF(B187="","",IFERROR(INDEX(NV_TEN,MATCH(B187,NV_MA,0)),"MÃ KHÔNG CÓ"))</f>
        <v/>
      </c>
      <c r="D187" s="16"/>
      <c r="E187" s="19"/>
      <c r="F187" s="16"/>
      <c r="G187" s="16"/>
      <c r="H187" s="16"/>
      <c r="I187" s="16"/>
      <c r="J187" s="18" t="str">
        <f aca="false">IF(B187="","",IF(AND(F187&lt;=TEXT(DATE(NAM,THANG,1),"yyyy-mm"),OR(G187="",G187&gt;=TEXT(DATE(NAM,THANG,1),"yyyy-mm"))),"Có","Không"))</f>
        <v/>
      </c>
    </row>
    <row r="188" customFormat="false" ht="15" hidden="false" customHeight="false" outlineLevel="0" collapsed="false">
      <c r="A188" s="18"/>
      <c r="B188" s="16"/>
      <c r="C188" s="18" t="str">
        <f aca="false">IF(B188="","",IFERROR(INDEX(NV_TEN,MATCH(B188,NV_MA,0)),"MÃ KHÔNG CÓ"))</f>
        <v/>
      </c>
      <c r="D188" s="16"/>
      <c r="E188" s="19"/>
      <c r="F188" s="16"/>
      <c r="G188" s="16"/>
      <c r="H188" s="16"/>
      <c r="I188" s="16"/>
      <c r="J188" s="18" t="str">
        <f aca="false">IF(B188="","",IF(AND(F188&lt;=TEXT(DATE(NAM,THANG,1),"yyyy-mm"),OR(G188="",G188&gt;=TEXT(DATE(NAM,THANG,1),"yyyy-mm"))),"Có","Không"))</f>
        <v/>
      </c>
    </row>
    <row r="189" customFormat="false" ht="15" hidden="false" customHeight="false" outlineLevel="0" collapsed="false">
      <c r="A189" s="18"/>
      <c r="B189" s="16"/>
      <c r="C189" s="18" t="str">
        <f aca="false">IF(B189="","",IFERROR(INDEX(NV_TEN,MATCH(B189,NV_MA,0)),"MÃ KHÔNG CÓ"))</f>
        <v/>
      </c>
      <c r="D189" s="16"/>
      <c r="E189" s="19"/>
      <c r="F189" s="16"/>
      <c r="G189" s="16"/>
      <c r="H189" s="16"/>
      <c r="I189" s="16"/>
      <c r="J189" s="18" t="str">
        <f aca="false">IF(B189="","",IF(AND(F189&lt;=TEXT(DATE(NAM,THANG,1),"yyyy-mm"),OR(G189="",G189&gt;=TEXT(DATE(NAM,THANG,1),"yyyy-mm"))),"Có","Không"))</f>
        <v/>
      </c>
    </row>
    <row r="190" customFormat="false" ht="15" hidden="false" customHeight="false" outlineLevel="0" collapsed="false">
      <c r="A190" s="18"/>
      <c r="B190" s="16"/>
      <c r="C190" s="18" t="str">
        <f aca="false">IF(B190="","",IFERROR(INDEX(NV_TEN,MATCH(B190,NV_MA,0)),"MÃ KHÔNG CÓ"))</f>
        <v/>
      </c>
      <c r="D190" s="16"/>
      <c r="E190" s="19"/>
      <c r="F190" s="16"/>
      <c r="G190" s="16"/>
      <c r="H190" s="16"/>
      <c r="I190" s="16"/>
      <c r="J190" s="18" t="str">
        <f aca="false">IF(B190="","",IF(AND(F190&lt;=TEXT(DATE(NAM,THANG,1),"yyyy-mm"),OR(G190="",G190&gt;=TEXT(DATE(NAM,THANG,1),"yyyy-mm"))),"Có","Không"))</f>
        <v/>
      </c>
    </row>
    <row r="191" customFormat="false" ht="15" hidden="false" customHeight="false" outlineLevel="0" collapsed="false">
      <c r="A191" s="18"/>
      <c r="B191" s="16"/>
      <c r="C191" s="18" t="str">
        <f aca="false">IF(B191="","",IFERROR(INDEX(NV_TEN,MATCH(B191,NV_MA,0)),"MÃ KHÔNG CÓ"))</f>
        <v/>
      </c>
      <c r="D191" s="16"/>
      <c r="E191" s="19"/>
      <c r="F191" s="16"/>
      <c r="G191" s="16"/>
      <c r="H191" s="16"/>
      <c r="I191" s="16"/>
      <c r="J191" s="18" t="str">
        <f aca="false">IF(B191="","",IF(AND(F191&lt;=TEXT(DATE(NAM,THANG,1),"yyyy-mm"),OR(G191="",G191&gt;=TEXT(DATE(NAM,THANG,1),"yyyy-mm"))),"Có","Không"))</f>
        <v/>
      </c>
    </row>
    <row r="192" customFormat="false" ht="15" hidden="false" customHeight="false" outlineLevel="0" collapsed="false">
      <c r="A192" s="18"/>
      <c r="B192" s="16"/>
      <c r="C192" s="18" t="str">
        <f aca="false">IF(B192="","",IFERROR(INDEX(NV_TEN,MATCH(B192,NV_MA,0)),"MÃ KHÔNG CÓ"))</f>
        <v/>
      </c>
      <c r="D192" s="16"/>
      <c r="E192" s="19"/>
      <c r="F192" s="16"/>
      <c r="G192" s="16"/>
      <c r="H192" s="16"/>
      <c r="I192" s="16"/>
      <c r="J192" s="18" t="str">
        <f aca="false">IF(B192="","",IF(AND(F192&lt;=TEXT(DATE(NAM,THANG,1),"yyyy-mm"),OR(G192="",G192&gt;=TEXT(DATE(NAM,THANG,1),"yyyy-mm"))),"Có","Không"))</f>
        <v/>
      </c>
    </row>
    <row r="193" customFormat="false" ht="15" hidden="false" customHeight="false" outlineLevel="0" collapsed="false">
      <c r="A193" s="18"/>
      <c r="B193" s="16"/>
      <c r="C193" s="18" t="str">
        <f aca="false">IF(B193="","",IFERROR(INDEX(NV_TEN,MATCH(B193,NV_MA,0)),"MÃ KHÔNG CÓ"))</f>
        <v/>
      </c>
      <c r="D193" s="16"/>
      <c r="E193" s="19"/>
      <c r="F193" s="16"/>
      <c r="G193" s="16"/>
      <c r="H193" s="16"/>
      <c r="I193" s="16"/>
      <c r="J193" s="18" t="str">
        <f aca="false">IF(B193="","",IF(AND(F193&lt;=TEXT(DATE(NAM,THANG,1),"yyyy-mm"),OR(G193="",G193&gt;=TEXT(DATE(NAM,THANG,1),"yyyy-mm"))),"Có","Không"))</f>
        <v/>
      </c>
    </row>
    <row r="194" customFormat="false" ht="15" hidden="false" customHeight="false" outlineLevel="0" collapsed="false">
      <c r="A194" s="18"/>
      <c r="B194" s="16"/>
      <c r="C194" s="18" t="str">
        <f aca="false">IF(B194="","",IFERROR(INDEX(NV_TEN,MATCH(B194,NV_MA,0)),"MÃ KHÔNG CÓ"))</f>
        <v/>
      </c>
      <c r="D194" s="16"/>
      <c r="E194" s="19"/>
      <c r="F194" s="16"/>
      <c r="G194" s="16"/>
      <c r="H194" s="16"/>
      <c r="I194" s="16"/>
      <c r="J194" s="18" t="str">
        <f aca="false">IF(B194="","",IF(AND(F194&lt;=TEXT(DATE(NAM,THANG,1),"yyyy-mm"),OR(G194="",G194&gt;=TEXT(DATE(NAM,THANG,1),"yyyy-mm"))),"Có","Không"))</f>
        <v/>
      </c>
    </row>
    <row r="195" customFormat="false" ht="15" hidden="false" customHeight="false" outlineLevel="0" collapsed="false">
      <c r="A195" s="18"/>
      <c r="B195" s="16"/>
      <c r="C195" s="18" t="str">
        <f aca="false">IF(B195="","",IFERROR(INDEX(NV_TEN,MATCH(B195,NV_MA,0)),"MÃ KHÔNG CÓ"))</f>
        <v/>
      </c>
      <c r="D195" s="16"/>
      <c r="E195" s="19"/>
      <c r="F195" s="16"/>
      <c r="G195" s="16"/>
      <c r="H195" s="16"/>
      <c r="I195" s="16"/>
      <c r="J195" s="18" t="str">
        <f aca="false">IF(B195="","",IF(AND(F195&lt;=TEXT(DATE(NAM,THANG,1),"yyyy-mm"),OR(G195="",G195&gt;=TEXT(DATE(NAM,THANG,1),"yyyy-mm"))),"Có","Không"))</f>
        <v/>
      </c>
    </row>
    <row r="196" customFormat="false" ht="15" hidden="false" customHeight="false" outlineLevel="0" collapsed="false">
      <c r="A196" s="18"/>
      <c r="B196" s="16"/>
      <c r="C196" s="18" t="str">
        <f aca="false">IF(B196="","",IFERROR(INDEX(NV_TEN,MATCH(B196,NV_MA,0)),"MÃ KHÔNG CÓ"))</f>
        <v/>
      </c>
      <c r="D196" s="16"/>
      <c r="E196" s="19"/>
      <c r="F196" s="16"/>
      <c r="G196" s="16"/>
      <c r="H196" s="16"/>
      <c r="I196" s="16"/>
      <c r="J196" s="18" t="str">
        <f aca="false">IF(B196="","",IF(AND(F196&lt;=TEXT(DATE(NAM,THANG,1),"yyyy-mm"),OR(G196="",G196&gt;=TEXT(DATE(NAM,THANG,1),"yyyy-mm"))),"Có","Không"))</f>
        <v/>
      </c>
    </row>
    <row r="197" customFormat="false" ht="15" hidden="false" customHeight="false" outlineLevel="0" collapsed="false">
      <c r="A197" s="18"/>
      <c r="B197" s="16"/>
      <c r="C197" s="18" t="str">
        <f aca="false">IF(B197="","",IFERROR(INDEX(NV_TEN,MATCH(B197,NV_MA,0)),"MÃ KHÔNG CÓ"))</f>
        <v/>
      </c>
      <c r="D197" s="16"/>
      <c r="E197" s="19"/>
      <c r="F197" s="16"/>
      <c r="G197" s="16"/>
      <c r="H197" s="16"/>
      <c r="I197" s="16"/>
      <c r="J197" s="18" t="str">
        <f aca="false">IF(B197="","",IF(AND(F197&lt;=TEXT(DATE(NAM,THANG,1),"yyyy-mm"),OR(G197="",G197&gt;=TEXT(DATE(NAM,THANG,1),"yyyy-mm"))),"Có","Không"))</f>
        <v/>
      </c>
    </row>
    <row r="198" customFormat="false" ht="15" hidden="false" customHeight="false" outlineLevel="0" collapsed="false">
      <c r="A198" s="18"/>
      <c r="B198" s="16"/>
      <c r="C198" s="18" t="str">
        <f aca="false">IF(B198="","",IFERROR(INDEX(NV_TEN,MATCH(B198,NV_MA,0)),"MÃ KHÔNG CÓ"))</f>
        <v/>
      </c>
      <c r="D198" s="16"/>
      <c r="E198" s="19"/>
      <c r="F198" s="16"/>
      <c r="G198" s="16"/>
      <c r="H198" s="16"/>
      <c r="I198" s="16"/>
      <c r="J198" s="18" t="str">
        <f aca="false">IF(B198="","",IF(AND(F198&lt;=TEXT(DATE(NAM,THANG,1),"yyyy-mm"),OR(G198="",G198&gt;=TEXT(DATE(NAM,THANG,1),"yyyy-mm"))),"Có","Không"))</f>
        <v/>
      </c>
    </row>
    <row r="199" customFormat="false" ht="15" hidden="false" customHeight="false" outlineLevel="0" collapsed="false">
      <c r="A199" s="18"/>
      <c r="B199" s="16"/>
      <c r="C199" s="18" t="str">
        <f aca="false">IF(B199="","",IFERROR(INDEX(NV_TEN,MATCH(B199,NV_MA,0)),"MÃ KHÔNG CÓ"))</f>
        <v/>
      </c>
      <c r="D199" s="16"/>
      <c r="E199" s="19"/>
      <c r="F199" s="16"/>
      <c r="G199" s="16"/>
      <c r="H199" s="16"/>
      <c r="I199" s="16"/>
      <c r="J199" s="18" t="str">
        <f aca="false">IF(B199="","",IF(AND(F199&lt;=TEXT(DATE(NAM,THANG,1),"yyyy-mm"),OR(G199="",G199&gt;=TEXT(DATE(NAM,THANG,1),"yyyy-mm"))),"Có","Không"))</f>
        <v/>
      </c>
    </row>
    <row r="202" customFormat="false" ht="15" hidden="false" customHeight="false" outlineLevel="0" collapsed="false">
      <c r="B202" s="2" t="s">
        <v>314</v>
      </c>
    </row>
  </sheetData>
  <sheetProtection sheet="true" formatColumns="false" formatRows="false" sort="false" autoFilter="false"/>
  <dataValidations count="1">
    <dataValidation allowBlank="true" errorStyle="stop" operator="between" showDropDown="false" showErrorMessage="false" showInputMessage="false" sqref="D5:D300" type="list">
      <formula1>"Tạm ứng,Trừ khác,Cộng khác,Truy lĩnh,Chuyên cần,KPI trừ"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3" min="12" style="0" width="8"/>
    <col collapsed="false" customWidth="true" hidden="false" outlineLevel="0" max="17" min="14" style="0" width="7"/>
    <col collapsed="false" customWidth="true" hidden="false" outlineLevel="0" max="18" min="18" style="0" width="13"/>
    <col collapsed="false" customWidth="true" hidden="false" outlineLevel="0" max="22" min="19" style="0" width="11"/>
    <col collapsed="false" customWidth="true" hidden="false" outlineLevel="0" max="23" min="23" style="0" width="10"/>
    <col collapsed="false" customWidth="true" hidden="false" outlineLevel="0" max="25" min="24" style="0" width="11"/>
    <col collapsed="false" customWidth="true" hidden="false" outlineLevel="0" max="26" min="26" style="0" width="14"/>
    <col collapsed="false" customWidth="true" hidden="false" outlineLevel="0" max="29" min="27" style="0" width="11"/>
    <col collapsed="false" customWidth="true" hidden="false" outlineLevel="0" max="30" min="30" style="0" width="9"/>
    <col collapsed="false" customWidth="true" hidden="false" outlineLevel="0" max="31" min="31" style="0" width="11"/>
    <col collapsed="false" customWidth="true" hidden="false" outlineLevel="0" max="32" min="32" style="0" width="14"/>
    <col collapsed="false" customWidth="true" hidden="false" outlineLevel="0" max="33" min="33" style="0" width="30"/>
  </cols>
  <sheetData>
    <row r="1" customFormat="false" ht="17.3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48" hidden="false" customHeight="true" outlineLevel="0" collapsed="false">
      <c r="A4" s="15" t="s">
        <v>154</v>
      </c>
      <c r="B4" s="15" t="s">
        <v>155</v>
      </c>
      <c r="C4" s="15" t="s">
        <v>156</v>
      </c>
      <c r="D4" s="15" t="s">
        <v>157</v>
      </c>
      <c r="E4" s="15" t="s">
        <v>160</v>
      </c>
      <c r="F4" s="15" t="s">
        <v>161</v>
      </c>
      <c r="G4" s="15" t="s">
        <v>162</v>
      </c>
      <c r="H4" s="15" t="s">
        <v>317</v>
      </c>
      <c r="I4" s="15" t="s">
        <v>164</v>
      </c>
      <c r="J4" s="15" t="s">
        <v>165</v>
      </c>
      <c r="K4" s="15" t="s">
        <v>318</v>
      </c>
      <c r="L4" s="15" t="s">
        <v>319</v>
      </c>
      <c r="M4" s="15" t="s">
        <v>282</v>
      </c>
      <c r="N4" s="15" t="s">
        <v>283</v>
      </c>
      <c r="O4" s="15" t="s">
        <v>284</v>
      </c>
      <c r="P4" s="15" t="s">
        <v>320</v>
      </c>
      <c r="Q4" s="15" t="s">
        <v>286</v>
      </c>
      <c r="R4" s="15" t="s">
        <v>321</v>
      </c>
      <c r="S4" s="15" t="s">
        <v>322</v>
      </c>
      <c r="T4" s="15" t="s">
        <v>323</v>
      </c>
      <c r="U4" s="15" t="s">
        <v>324</v>
      </c>
      <c r="V4" s="15" t="s">
        <v>325</v>
      </c>
      <c r="W4" s="15" t="s">
        <v>309</v>
      </c>
      <c r="X4" s="15" t="s">
        <v>326</v>
      </c>
      <c r="Y4" s="15" t="s">
        <v>327</v>
      </c>
      <c r="Z4" s="15" t="s">
        <v>328</v>
      </c>
      <c r="AA4" s="15" t="s">
        <v>329</v>
      </c>
      <c r="AB4" s="15" t="s">
        <v>300</v>
      </c>
      <c r="AC4" s="15" t="s">
        <v>330</v>
      </c>
      <c r="AD4" s="15" t="s">
        <v>331</v>
      </c>
      <c r="AE4" s="15" t="s">
        <v>332</v>
      </c>
      <c r="AF4" s="15" t="s">
        <v>333</v>
      </c>
      <c r="AG4" s="15" t="s">
        <v>72</v>
      </c>
    </row>
    <row r="5" customFormat="false" ht="15" hidden="false" customHeight="false" outlineLevel="0" collapsed="false">
      <c r="B5" s="22" t="s">
        <v>334</v>
      </c>
      <c r="C5" s="22" t="s">
        <v>335</v>
      </c>
      <c r="E5" s="22" t="s">
        <v>336</v>
      </c>
      <c r="F5" s="22" t="s">
        <v>337</v>
      </c>
      <c r="G5" s="22" t="s">
        <v>338</v>
      </c>
      <c r="H5" s="22" t="s">
        <v>339</v>
      </c>
      <c r="I5" s="22" t="s">
        <v>340</v>
      </c>
      <c r="K5" s="22" t="s">
        <v>341</v>
      </c>
      <c r="M5" s="22" t="s">
        <v>342</v>
      </c>
      <c r="N5" s="22" t="s">
        <v>343</v>
      </c>
      <c r="O5" s="22" t="s">
        <v>344</v>
      </c>
      <c r="R5" s="22" t="s">
        <v>345</v>
      </c>
      <c r="S5" s="22" t="s">
        <v>346</v>
      </c>
      <c r="T5" s="22" t="s">
        <v>347</v>
      </c>
      <c r="W5" s="22" t="s">
        <v>348</v>
      </c>
      <c r="X5" s="22" t="s">
        <v>341</v>
      </c>
      <c r="Y5" s="22" t="s">
        <v>349</v>
      </c>
      <c r="Z5" s="22" t="s">
        <v>350</v>
      </c>
      <c r="AA5" s="22" t="s">
        <v>351</v>
      </c>
      <c r="AB5" s="22" t="s">
        <v>352</v>
      </c>
      <c r="AC5" s="22" t="s">
        <v>353</v>
      </c>
      <c r="AD5" s="22" t="s">
        <v>354</v>
      </c>
      <c r="AE5" s="22" t="s">
        <v>355</v>
      </c>
      <c r="AF5" s="22" t="s">
        <v>356</v>
      </c>
      <c r="AG5" s="22" t="s">
        <v>357</v>
      </c>
    </row>
    <row r="6" customFormat="false" ht="15" hidden="false" customHeight="false" outlineLevel="0" collapsed="false">
      <c r="A6" s="18" t="n">
        <f aca="false">IF(B6="","",ROW()-5)</f>
        <v>1</v>
      </c>
      <c r="B6" s="28" t="str">
        <f aca="false">IF(BCC!B6="","",BCC!B6)</f>
        <v>046180000983</v>
      </c>
      <c r="C6" s="18" t="str">
        <f aca="false">IF(B6="","",IFERROR(INDEX(NV_TEN,MATCH(B6,NV_MA,0)),"MÃ KHÔNG CÓ"))</f>
        <v>Hồ Thị Ngọc Á</v>
      </c>
      <c r="D6" s="18" t="str">
        <f aca="false">IF(B6="","",IFERROR(INDEX(NV_PN,MATCH(B6,NV_MA,0)),""))</f>
        <v>APQT</v>
      </c>
      <c r="E6" s="18" t="str">
        <f aca="false">IF(B6="","",IFERROR(INDEX(NV_HT,MATCH(B6,NV_MA,0)),""))</f>
        <v>Khoán tháng</v>
      </c>
      <c r="F6" s="18" t="n">
        <f aca="false">IF(B6="","",IFERROR(INDEX(NV_CC,MATCH(B6,NV_MA,0)),""))</f>
        <v>26</v>
      </c>
      <c r="G6" s="29" t="n">
        <f aca="false">IF(B6="","",IFERROR(INDEX(NV_CB,MATCH(B6,NV_MA,0)),""))</f>
        <v>16000000</v>
      </c>
      <c r="H6" s="29" t="n">
        <f aca="false">IF(B6="","",IFERROR(INDEX(NV_TV,MATCH(B6,NV_MA,0)),""))</f>
        <v>0</v>
      </c>
      <c r="I6" s="29" t="n">
        <f aca="false">IF(B6="","",IFERROR(INDEX(NV_BHXH,MATCH(B6,NV_MA,0)),""))</f>
        <v>6928000</v>
      </c>
      <c r="J6" s="29" t="str">
        <f aca="false">IF(B6="","",IFERROR(INDEX(NV_DONG,MATCH(B6,NV_MA,0)),""))</f>
        <v>Có</v>
      </c>
      <c r="K6" s="29" t="n">
        <f aca="false">IF(B6="","",IFERROR(INDEX(NV_PC,MATCH(B6,NV_MA,0)),""))</f>
        <v>2000000</v>
      </c>
      <c r="L6" s="18" t="str">
        <f aca="false">IF(B6="","",IFERROR(INDEX(NV_NHOMCC,MATCH(B6,NV_MA,0)),""))</f>
        <v>Không</v>
      </c>
      <c r="M6" s="25" t="n">
        <f aca="false">IF(B6="","",IFERROR(INDEX(BCC_CONG,MATCH(B6,BCC_MA,0)),0))</f>
        <v>27</v>
      </c>
      <c r="N6" s="26" t="n">
        <f aca="false">IF(B6="","",IFERROR(INDEX(BCC_PHEP,MATCH(B6,BCC_MA,0)),0))</f>
        <v>0</v>
      </c>
      <c r="O6" s="26" t="n">
        <f aca="false">IF(B6="","",IFERROR(INDEX(BCC_LE,MATCH(B6,BCC_MA,0)),0))</f>
        <v>0</v>
      </c>
      <c r="P6" s="26" t="n">
        <f aca="false">IF(B6="","",IFERROR(INDEX(BCC_LEDL,MATCH(B6,BCC_MA,0)),0))</f>
        <v>0</v>
      </c>
      <c r="Q6" s="26" t="n">
        <f aca="false">IF(B6="","",IFERROR(INDEX(BCC_CD,MATCH(B6,BCC_MA,0)),0))</f>
        <v>0</v>
      </c>
      <c r="R6" s="29" t="n">
        <f aca="false">IF(B6="","",IF(E6="Khoán tháng",G6,IF(E6="Thử việc",IF(N(H6)&gt;0,H6,G6*TL_THUVIEC),G6)/F6*M6))</f>
        <v>16000000</v>
      </c>
      <c r="S6" s="29" t="n">
        <f aca="false">IF(B6="","",IF(E6="Khoán tháng",0,I6/NGAY_CHIA*N6))</f>
        <v>0</v>
      </c>
      <c r="T6" s="29" t="n">
        <f aca="false">IF(B6="","",IF(E6="Khoán tháng",0,I6/NGAY_CHIA*O6))</f>
        <v>0</v>
      </c>
      <c r="U6" s="29" t="n">
        <f aca="false">IF(B6="","",IF(E6="Khoán tháng",0,G6/F6/GIO_CONG*P6*HS_LE))</f>
        <v>0</v>
      </c>
      <c r="V6" s="29" t="n">
        <f aca="false">IF(B6="","",IF(E6="Khoán tháng",0,I6/NGAY_CHIA*Q6))</f>
        <v>0</v>
      </c>
      <c r="W6" s="29" t="n">
        <f aca="false">IF(B6="","",IF(L6="Chung",IF(M6&gt;=CC_NGUONG,CC_TIEN,0),IF(L6="Cơ điện",IF(M6&gt;CD_N2,CD_T2,IF(M6&gt;CD_N1,CD_T1,0)),0))+SUMIFS(DC_TIEN,DC_MA,$B6,DC_LOAI,"Chuyên cần",DC_AP,"Có"))</f>
        <v>0</v>
      </c>
      <c r="X6" s="29" t="n">
        <f aca="false">IF(B6="","",N(K6))</f>
        <v>2000000</v>
      </c>
      <c r="Y6" s="29" t="n">
        <f aca="false">IF(B6="","",SUMIFS(DC_TIEN,DC_MA,$B6,DC_LOAI,"Truy lĩnh",DC_AP,"Có")+SUMIFS(DC_TIEN,DC_MA,$B6,DC_LOAI,"Cộng khác",DC_AP,"Có"))</f>
        <v>0</v>
      </c>
      <c r="Z6" s="30" t="n">
        <f aca="false">IF(B6="","",SUM(R6:Y6))</f>
        <v>18000000</v>
      </c>
      <c r="AA6" s="29" t="n">
        <f aca="false">IF(B6="","",IF(J6="Có",I6*BHXH_NLD,0))</f>
        <v>727440</v>
      </c>
      <c r="AB6" s="29" t="n">
        <f aca="false">IF(B6="","",SUMIFS(DC_TIEN,DC_MA,$B6,DC_LOAI,"Tạm ứng",DC_AP,"Có"))</f>
        <v>0</v>
      </c>
      <c r="AC6" s="29" t="n">
        <f aca="false">IF(B6="","",SUMIFS(DC_TIEN,DC_MA,$B6,DC_LOAI,"Trừ khác",DC_AP,"Có"))</f>
        <v>0</v>
      </c>
      <c r="AD6" s="29" t="n">
        <f aca="false">IF(B6="","",SUMIFS(DC_TIEN,DC_MA,$B6,DC_LOAI,"KPI trừ",DC_AP,"Có"))</f>
        <v>0</v>
      </c>
      <c r="AE6" s="29" t="n">
        <f aca="false">IF(B6="","",SUM(AA6:AD6))</f>
        <v>727440</v>
      </c>
      <c r="AF6" s="30" t="n">
        <f aca="false">IF(B6="","",ROUNDDOWN(Z6-AE6,-3))</f>
        <v>17272000</v>
      </c>
      <c r="AG6" s="20"/>
    </row>
    <row r="7" customFormat="false" ht="15" hidden="false" customHeight="false" outlineLevel="0" collapsed="false">
      <c r="A7" s="18" t="n">
        <f aca="false">IF(B7="","",ROW()-5)</f>
        <v>2</v>
      </c>
      <c r="B7" s="28" t="str">
        <f aca="false">IF(BCC!B7="","",BCC!B7)</f>
        <v>045086000771</v>
      </c>
      <c r="C7" s="18" t="str">
        <f aca="false">IF(B7="","",IFERROR(INDEX(NV_TEN,MATCH(B7,NV_MA,0)),"MÃ KHÔNG CÓ"))</f>
        <v>Nguyễn Nhật Tân</v>
      </c>
      <c r="D7" s="18" t="str">
        <f aca="false">IF(B7="","",IFERROR(INDEX(NV_PN,MATCH(B7,NV_MA,0)),""))</f>
        <v>APQT</v>
      </c>
      <c r="E7" s="18" t="str">
        <f aca="false">IF(B7="","",IFERROR(INDEX(NV_HT,MATCH(B7,NV_MA,0)),""))</f>
        <v>Thời gian</v>
      </c>
      <c r="F7" s="18" t="n">
        <f aca="false">IF(B7="","",IFERROR(INDEX(NV_CC,MATCH(B7,NV_MA,0)),""))</f>
        <v>30</v>
      </c>
      <c r="G7" s="29" t="n">
        <f aca="false">IF(B7="","",IFERROR(INDEX(NV_CB,MATCH(B7,NV_MA,0)),""))</f>
        <v>15000000</v>
      </c>
      <c r="H7" s="29" t="n">
        <f aca="false">IF(B7="","",IFERROR(INDEX(NV_TV,MATCH(B7,NV_MA,0)),""))</f>
        <v>0</v>
      </c>
      <c r="I7" s="29" t="n">
        <f aca="false">IF(B7="","",IFERROR(INDEX(NV_BHXH,MATCH(B7,NV_MA,0)),""))</f>
        <v>6928000</v>
      </c>
      <c r="J7" s="29" t="str">
        <f aca="false">IF(B7="","",IFERROR(INDEX(NV_DONG,MATCH(B7,NV_MA,0)),""))</f>
        <v>Có</v>
      </c>
      <c r="K7" s="29" t="n">
        <f aca="false">IF(B7="","",IFERROR(INDEX(NV_PC,MATCH(B7,NV_MA,0)),""))</f>
        <v>2000000</v>
      </c>
      <c r="L7" s="18" t="str">
        <f aca="false">IF(B7="","",IFERROR(INDEX(NV_NHOMCC,MATCH(B7,NV_MA,0)),""))</f>
        <v>Không</v>
      </c>
      <c r="M7" s="25" t="n">
        <f aca="false">IF(B7="","",IFERROR(INDEX(BCC_CONG,MATCH(B7,BCC_MA,0)),0))</f>
        <v>31</v>
      </c>
      <c r="N7" s="26" t="n">
        <f aca="false">IF(B7="","",IFERROR(INDEX(BCC_PHEP,MATCH(B7,BCC_MA,0)),0))</f>
        <v>0</v>
      </c>
      <c r="O7" s="26" t="n">
        <f aca="false">IF(B7="","",IFERROR(INDEX(BCC_LE,MATCH(B7,BCC_MA,0)),0))</f>
        <v>0</v>
      </c>
      <c r="P7" s="26" t="n">
        <f aca="false">IF(B7="","",IFERROR(INDEX(BCC_LEDL,MATCH(B7,BCC_MA,0)),0))</f>
        <v>0</v>
      </c>
      <c r="Q7" s="26" t="n">
        <f aca="false">IF(B7="","",IFERROR(INDEX(BCC_CD,MATCH(B7,BCC_MA,0)),0))</f>
        <v>0</v>
      </c>
      <c r="R7" s="29" t="n">
        <f aca="false">IF(B7="","",IF(E7="Khoán tháng",G7,IF(E7="Thử việc",IF(N(H7)&gt;0,H7,G7*TL_THUVIEC),G7)/F7*M7))</f>
        <v>15500000</v>
      </c>
      <c r="S7" s="29" t="n">
        <f aca="false">IF(B7="","",IF(E7="Khoán tháng",0,I7/NGAY_CHIA*N7))</f>
        <v>0</v>
      </c>
      <c r="T7" s="29" t="n">
        <f aca="false">IF(B7="","",IF(E7="Khoán tháng",0,I7/NGAY_CHIA*O7))</f>
        <v>0</v>
      </c>
      <c r="U7" s="29" t="n">
        <f aca="false">IF(B7="","",IF(E7="Khoán tháng",0,G7/F7/GIO_CONG*P7*HS_LE))</f>
        <v>0</v>
      </c>
      <c r="V7" s="29" t="n">
        <f aca="false">IF(B7="","",IF(E7="Khoán tháng",0,I7/NGAY_CHIA*Q7))</f>
        <v>0</v>
      </c>
      <c r="W7" s="29" t="n">
        <f aca="false">IF(B7="","",IF(L7="Chung",IF(M7&gt;=CC_NGUONG,CC_TIEN,0),IF(L7="Cơ điện",IF(M7&gt;CD_N2,CD_T2,IF(M7&gt;CD_N1,CD_T1,0)),0))+SUMIFS(DC_TIEN,DC_MA,$B7,DC_LOAI,"Chuyên cần",DC_AP,"Có"))</f>
        <v>0</v>
      </c>
      <c r="X7" s="29" t="n">
        <f aca="false">IF(B7="","",N(K7))</f>
        <v>2000000</v>
      </c>
      <c r="Y7" s="29" t="n">
        <f aca="false">IF(B7="","",SUMIFS(DC_TIEN,DC_MA,$B7,DC_LOAI,"Truy lĩnh",DC_AP,"Có")+SUMIFS(DC_TIEN,DC_MA,$B7,DC_LOAI,"Cộng khác",DC_AP,"Có"))</f>
        <v>0</v>
      </c>
      <c r="Z7" s="30" t="n">
        <f aca="false">IF(B7="","",SUM(R7:Y7))</f>
        <v>17500000</v>
      </c>
      <c r="AA7" s="29" t="n">
        <f aca="false">IF(B7="","",IF(J7="Có",I7*BHXH_NLD,0))</f>
        <v>727440</v>
      </c>
      <c r="AB7" s="29" t="n">
        <f aca="false">IF(B7="","",SUMIFS(DC_TIEN,DC_MA,$B7,DC_LOAI,"Tạm ứng",DC_AP,"Có"))</f>
        <v>0</v>
      </c>
      <c r="AC7" s="29" t="n">
        <f aca="false">IF(B7="","",SUMIFS(DC_TIEN,DC_MA,$B7,DC_LOAI,"Trừ khác",DC_AP,"Có"))</f>
        <v>0</v>
      </c>
      <c r="AD7" s="29" t="n">
        <f aca="false">IF(B7="","",SUMIFS(DC_TIEN,DC_MA,$B7,DC_LOAI,"KPI trừ",DC_AP,"Có"))</f>
        <v>0</v>
      </c>
      <c r="AE7" s="29" t="n">
        <f aca="false">IF(B7="","",SUM(AA7:AD7))</f>
        <v>727440</v>
      </c>
      <c r="AF7" s="30" t="n">
        <f aca="false">IF(B7="","",ROUNDDOWN(Z7-AE7,-3))</f>
        <v>16772000</v>
      </c>
      <c r="AG7" s="20"/>
    </row>
    <row r="8" customFormat="false" ht="15" hidden="false" customHeight="false" outlineLevel="0" collapsed="false">
      <c r="A8" s="18" t="n">
        <f aca="false">IF(B8="","",ROW()-5)</f>
        <v>3</v>
      </c>
      <c r="B8" s="28" t="str">
        <f aca="false">IF(BCC!B8="","",BCC!B8)</f>
        <v>046077009424</v>
      </c>
      <c r="C8" s="18" t="str">
        <f aca="false">IF(B8="","",IFERROR(INDEX(NV_TEN,MATCH(B8,NV_MA,0)),"MÃ KHÔNG CÓ"))</f>
        <v>Đặng Quang Chung</v>
      </c>
      <c r="D8" s="18" t="str">
        <f aca="false">IF(B8="","",IFERROR(INDEX(NV_PN,MATCH(B8,NV_MA,0)),""))</f>
        <v>APQT</v>
      </c>
      <c r="E8" s="18" t="str">
        <f aca="false">IF(B8="","",IFERROR(INDEX(NV_HT,MATCH(B8,NV_MA,0)),""))</f>
        <v>Thời gian</v>
      </c>
      <c r="F8" s="18" t="n">
        <f aca="false">IF(B8="","",IFERROR(INDEX(NV_CC,MATCH(B8,NV_MA,0)),""))</f>
        <v>30</v>
      </c>
      <c r="G8" s="29" t="n">
        <f aca="false">IF(B8="","",IFERROR(INDEX(NV_CB,MATCH(B8,NV_MA,0)),""))</f>
        <v>17000000</v>
      </c>
      <c r="H8" s="29" t="n">
        <f aca="false">IF(B8="","",IFERROR(INDEX(NV_TV,MATCH(B8,NV_MA,0)),""))</f>
        <v>0</v>
      </c>
      <c r="I8" s="29" t="n">
        <f aca="false">IF(B8="","",IFERROR(INDEX(NV_BHXH,MATCH(B8,NV_MA,0)),""))</f>
        <v>6928000</v>
      </c>
      <c r="J8" s="29" t="str">
        <f aca="false">IF(B8="","",IFERROR(INDEX(NV_DONG,MATCH(B8,NV_MA,0)),""))</f>
        <v>Có</v>
      </c>
      <c r="K8" s="29" t="n">
        <f aca="false">IF(B8="","",IFERROR(INDEX(NV_PC,MATCH(B8,NV_MA,0)),""))</f>
        <v>0</v>
      </c>
      <c r="L8" s="18" t="str">
        <f aca="false">IF(B8="","",IFERROR(INDEX(NV_NHOMCC,MATCH(B8,NV_MA,0)),""))</f>
        <v>Không</v>
      </c>
      <c r="M8" s="25" t="n">
        <f aca="false">IF(B8="","",IFERROR(INDEX(BCC_CONG,MATCH(B8,BCC_MA,0)),0))</f>
        <v>31</v>
      </c>
      <c r="N8" s="26" t="n">
        <f aca="false">IF(B8="","",IFERROR(INDEX(BCC_PHEP,MATCH(B8,BCC_MA,0)),0))</f>
        <v>1</v>
      </c>
      <c r="O8" s="26" t="n">
        <f aca="false">IF(B8="","",IFERROR(INDEX(BCC_LE,MATCH(B8,BCC_MA,0)),0))</f>
        <v>0</v>
      </c>
      <c r="P8" s="26" t="n">
        <f aca="false">IF(B8="","",IFERROR(INDEX(BCC_LEDL,MATCH(B8,BCC_MA,0)),0))</f>
        <v>0</v>
      </c>
      <c r="Q8" s="26" t="n">
        <f aca="false">IF(B8="","",IFERROR(INDEX(BCC_CD,MATCH(B8,BCC_MA,0)),0))</f>
        <v>0</v>
      </c>
      <c r="R8" s="29" t="n">
        <f aca="false">IF(B8="","",IF(E8="Khoán tháng",G8,IF(E8="Thử việc",IF(N(H8)&gt;0,H8,G8*TL_THUVIEC),G8)/F8*M8))</f>
        <v>17566666.6666667</v>
      </c>
      <c r="S8" s="29" t="n">
        <f aca="false">IF(B8="","",IF(E8="Khoán tháng",0,I8/NGAY_CHIA*N8))</f>
        <v>266461.538461538</v>
      </c>
      <c r="T8" s="29" t="n">
        <f aca="false">IF(B8="","",IF(E8="Khoán tháng",0,I8/NGAY_CHIA*O8))</f>
        <v>0</v>
      </c>
      <c r="U8" s="29" t="n">
        <f aca="false">IF(B8="","",IF(E8="Khoán tháng",0,G8/F8/GIO_CONG*P8*HS_LE))</f>
        <v>0</v>
      </c>
      <c r="V8" s="29" t="n">
        <f aca="false">IF(B8="","",IF(E8="Khoán tháng",0,I8/NGAY_CHIA*Q8))</f>
        <v>0</v>
      </c>
      <c r="W8" s="29" t="n">
        <f aca="false">IF(B8="","",IF(L8="Chung",IF(M8&gt;=CC_NGUONG,CC_TIEN,0),IF(L8="Cơ điện",IF(M8&gt;CD_N2,CD_T2,IF(M8&gt;CD_N1,CD_T1,0)),0))+SUMIFS(DC_TIEN,DC_MA,$B8,DC_LOAI,"Chuyên cần",DC_AP,"Có"))</f>
        <v>0</v>
      </c>
      <c r="X8" s="29" t="n">
        <f aca="false">IF(B8="","",N(K8))</f>
        <v>0</v>
      </c>
      <c r="Y8" s="29" t="n">
        <f aca="false">IF(B8="","",SUMIFS(DC_TIEN,DC_MA,$B8,DC_LOAI,"Truy lĩnh",DC_AP,"Có")+SUMIFS(DC_TIEN,DC_MA,$B8,DC_LOAI,"Cộng khác",DC_AP,"Có"))</f>
        <v>0</v>
      </c>
      <c r="Z8" s="30" t="n">
        <f aca="false">IF(B8="","",SUM(R8:Y8))</f>
        <v>17833128.2051282</v>
      </c>
      <c r="AA8" s="29" t="n">
        <f aca="false">IF(B8="","",IF(J8="Có",I8*BHXH_NLD,0))</f>
        <v>727440</v>
      </c>
      <c r="AB8" s="29" t="n">
        <f aca="false">IF(B8="","",SUMIFS(DC_TIEN,DC_MA,$B8,DC_LOAI,"Tạm ứng",DC_AP,"Có"))</f>
        <v>0</v>
      </c>
      <c r="AC8" s="29" t="n">
        <f aca="false">IF(B8="","",SUMIFS(DC_TIEN,DC_MA,$B8,DC_LOAI,"Trừ khác",DC_AP,"Có"))</f>
        <v>0</v>
      </c>
      <c r="AD8" s="29" t="n">
        <f aca="false">IF(B8="","",SUMIFS(DC_TIEN,DC_MA,$B8,DC_LOAI,"KPI trừ",DC_AP,"Có"))</f>
        <v>0</v>
      </c>
      <c r="AE8" s="29" t="n">
        <f aca="false">IF(B8="","",SUM(AA8:AD8))</f>
        <v>727440</v>
      </c>
      <c r="AF8" s="30" t="n">
        <f aca="false">IF(B8="","",ROUNDDOWN(Z8-AE8,-3))</f>
        <v>17105000</v>
      </c>
      <c r="AG8" s="20"/>
    </row>
    <row r="9" customFormat="false" ht="15" hidden="false" customHeight="false" outlineLevel="0" collapsed="false">
      <c r="A9" s="18" t="n">
        <f aca="false">IF(B9="","",ROW()-5)</f>
        <v>4</v>
      </c>
      <c r="B9" s="28" t="str">
        <f aca="false">IF(BCC!B9="","",BCC!B9)</f>
        <v>046086012110</v>
      </c>
      <c r="C9" s="18" t="str">
        <f aca="false">IF(B9="","",IFERROR(INDEX(NV_TEN,MATCH(B9,NV_MA,0)),"MÃ KHÔNG CÓ"))</f>
        <v>Nguyễn Hào</v>
      </c>
      <c r="D9" s="18" t="str">
        <f aca="false">IF(B9="","",IFERROR(INDEX(NV_PN,MATCH(B9,NV_MA,0)),""))</f>
        <v>APQT</v>
      </c>
      <c r="E9" s="18" t="str">
        <f aca="false">IF(B9="","",IFERROR(INDEX(NV_HT,MATCH(B9,NV_MA,0)),""))</f>
        <v>Thời gian</v>
      </c>
      <c r="F9" s="18" t="n">
        <f aca="false">IF(B9="","",IFERROR(INDEX(NV_CC,MATCH(B9,NV_MA,0)),""))</f>
        <v>26</v>
      </c>
      <c r="G9" s="29" t="n">
        <f aca="false">IF(B9="","",IFERROR(INDEX(NV_CB,MATCH(B9,NV_MA,0)),""))</f>
        <v>9620000</v>
      </c>
      <c r="H9" s="29" t="n">
        <f aca="false">IF(B9="","",IFERROR(INDEX(NV_TV,MATCH(B9,NV_MA,0)),""))</f>
        <v>0</v>
      </c>
      <c r="I9" s="29" t="n">
        <f aca="false">IF(B9="","",IFERROR(INDEX(NV_BHXH,MATCH(B9,NV_MA,0)),""))</f>
        <v>4375000</v>
      </c>
      <c r="J9" s="29" t="str">
        <f aca="false">IF(B9="","",IFERROR(INDEX(NV_DONG,MATCH(B9,NV_MA,0)),""))</f>
        <v>Có</v>
      </c>
      <c r="K9" s="29" t="n">
        <f aca="false">IF(B9="","",IFERROR(INDEX(NV_PC,MATCH(B9,NV_MA,0)),""))</f>
        <v>0</v>
      </c>
      <c r="L9" s="18" t="str">
        <f aca="false">IF(B9="","",IFERROR(INDEX(NV_NHOMCC,MATCH(B9,NV_MA,0)),""))</f>
        <v>Chung</v>
      </c>
      <c r="M9" s="25" t="n">
        <f aca="false">IF(B9="","",IFERROR(INDEX(BCC_CONG,MATCH(B9,BCC_MA,0)),0))</f>
        <v>29</v>
      </c>
      <c r="N9" s="26" t="n">
        <f aca="false">IF(B9="","",IFERROR(INDEX(BCC_PHEP,MATCH(B9,BCC_MA,0)),0))</f>
        <v>0</v>
      </c>
      <c r="O9" s="26" t="n">
        <f aca="false">IF(B9="","",IFERROR(INDEX(BCC_LE,MATCH(B9,BCC_MA,0)),0))</f>
        <v>0</v>
      </c>
      <c r="P9" s="26" t="n">
        <f aca="false">IF(B9="","",IFERROR(INDEX(BCC_LEDL,MATCH(B9,BCC_MA,0)),0))</f>
        <v>0</v>
      </c>
      <c r="Q9" s="26" t="n">
        <f aca="false">IF(B9="","",IFERROR(INDEX(BCC_CD,MATCH(B9,BCC_MA,0)),0))</f>
        <v>0</v>
      </c>
      <c r="R9" s="29" t="n">
        <f aca="false">IF(B9="","",IF(E9="Khoán tháng",G9,IF(E9="Thử việc",IF(N(H9)&gt;0,H9,G9*TL_THUVIEC),G9)/F9*M9))</f>
        <v>10730000</v>
      </c>
      <c r="S9" s="29" t="n">
        <f aca="false">IF(B9="","",IF(E9="Khoán tháng",0,I9/NGAY_CHIA*N9))</f>
        <v>0</v>
      </c>
      <c r="T9" s="29" t="n">
        <f aca="false">IF(B9="","",IF(E9="Khoán tháng",0,I9/NGAY_CHIA*O9))</f>
        <v>0</v>
      </c>
      <c r="U9" s="29" t="n">
        <f aca="false">IF(B9="","",IF(E9="Khoán tháng",0,G9/F9/GIO_CONG*P9*HS_LE))</f>
        <v>0</v>
      </c>
      <c r="V9" s="29" t="n">
        <f aca="false">IF(B9="","",IF(E9="Khoán tháng",0,I9/NGAY_CHIA*Q9))</f>
        <v>0</v>
      </c>
      <c r="W9" s="29" t="n">
        <f aca="false">IF(B9="","",IF(L9="Chung",IF(M9&gt;=CC_NGUONG,CC_TIEN,0),IF(L9="Cơ điện",IF(M9&gt;CD_N2,CD_T2,IF(M9&gt;CD_N1,CD_T1,0)),0))+SUMIFS(DC_TIEN,DC_MA,$B9,DC_LOAI,"Chuyên cần",DC_AP,"Có"))</f>
        <v>0</v>
      </c>
      <c r="X9" s="29" t="n">
        <f aca="false">IF(B9="","",N(K9))</f>
        <v>0</v>
      </c>
      <c r="Y9" s="29" t="n">
        <f aca="false">IF(B9="","",SUMIFS(DC_TIEN,DC_MA,$B9,DC_LOAI,"Truy lĩnh",DC_AP,"Có")+SUMIFS(DC_TIEN,DC_MA,$B9,DC_LOAI,"Cộng khác",DC_AP,"Có"))</f>
        <v>0</v>
      </c>
      <c r="Z9" s="30" t="n">
        <f aca="false">IF(B9="","",SUM(R9:Y9))</f>
        <v>10730000</v>
      </c>
      <c r="AA9" s="29" t="n">
        <f aca="false">IF(B9="","",IF(J9="Có",I9*BHXH_NLD,0))</f>
        <v>459375</v>
      </c>
      <c r="AB9" s="29" t="n">
        <f aca="false">IF(B9="","",SUMIFS(DC_TIEN,DC_MA,$B9,DC_LOAI,"Tạm ứng",DC_AP,"Có"))</f>
        <v>0</v>
      </c>
      <c r="AC9" s="29" t="n">
        <f aca="false">IF(B9="","",SUMIFS(DC_TIEN,DC_MA,$B9,DC_LOAI,"Trừ khác",DC_AP,"Có"))</f>
        <v>0</v>
      </c>
      <c r="AD9" s="29" t="n">
        <f aca="false">IF(B9="","",SUMIFS(DC_TIEN,DC_MA,$B9,DC_LOAI,"KPI trừ",DC_AP,"Có"))</f>
        <v>0</v>
      </c>
      <c r="AE9" s="29" t="n">
        <f aca="false">IF(B9="","",SUM(AA9:AD9))</f>
        <v>459375</v>
      </c>
      <c r="AF9" s="30" t="n">
        <f aca="false">IF(B9="","",ROUNDDOWN(Z9-AE9,-3))</f>
        <v>10270000</v>
      </c>
      <c r="AG9" s="20"/>
    </row>
    <row r="10" customFormat="false" ht="15" hidden="false" customHeight="false" outlineLevel="0" collapsed="false">
      <c r="A10" s="18" t="n">
        <f aca="false">IF(B10="","",ROW()-5)</f>
        <v>5</v>
      </c>
      <c r="B10" s="28" t="str">
        <f aca="false">IF(BCC!B10="","",BCC!B10)</f>
        <v>046485004744</v>
      </c>
      <c r="C10" s="18" t="str">
        <f aca="false">IF(B10="","",IFERROR(INDEX(NV_TEN,MATCH(B10,NV_MA,0)),"MÃ KHÔNG CÓ"))</f>
        <v>Nguyễn Mạnh Thắng</v>
      </c>
      <c r="D10" s="18" t="str">
        <f aca="false">IF(B10="","",IFERROR(INDEX(NV_PN,MATCH(B10,NV_MA,0)),""))</f>
        <v>APQT</v>
      </c>
      <c r="E10" s="18" t="str">
        <f aca="false">IF(B10="","",IFERROR(INDEX(NV_HT,MATCH(B10,NV_MA,0)),""))</f>
        <v>Thời gian</v>
      </c>
      <c r="F10" s="18" t="n">
        <f aca="false">IF(B10="","",IFERROR(INDEX(NV_CC,MATCH(B10,NV_MA,0)),""))</f>
        <v>26</v>
      </c>
      <c r="G10" s="29" t="n">
        <f aca="false">IF(B10="","",IFERROR(INDEX(NV_CB,MATCH(B10,NV_MA,0)),""))</f>
        <v>9620000</v>
      </c>
      <c r="H10" s="29" t="n">
        <f aca="false">IF(B10="","",IFERROR(INDEX(NV_TV,MATCH(B10,NV_MA,0)),""))</f>
        <v>0</v>
      </c>
      <c r="I10" s="29" t="n">
        <f aca="false">IF(B10="","",IFERROR(INDEX(NV_BHXH,MATCH(B10,NV_MA,0)),""))</f>
        <v>4163000</v>
      </c>
      <c r="J10" s="29" t="str">
        <f aca="false">IF(B10="","",IFERROR(INDEX(NV_DONG,MATCH(B10,NV_MA,0)),""))</f>
        <v>Có</v>
      </c>
      <c r="K10" s="29" t="n">
        <f aca="false">IF(B10="","",IFERROR(INDEX(NV_PC,MATCH(B10,NV_MA,0)),""))</f>
        <v>0</v>
      </c>
      <c r="L10" s="18" t="str">
        <f aca="false">IF(B10="","",IFERROR(INDEX(NV_NHOMCC,MATCH(B10,NV_MA,0)),""))</f>
        <v>Chung</v>
      </c>
      <c r="M10" s="25" t="n">
        <f aca="false">IF(B10="","",IFERROR(INDEX(BCC_CONG,MATCH(B10,BCC_MA,0)),0))</f>
        <v>25.5</v>
      </c>
      <c r="N10" s="26" t="n">
        <f aca="false">IF(B10="","",IFERROR(INDEX(BCC_PHEP,MATCH(B10,BCC_MA,0)),0))</f>
        <v>0</v>
      </c>
      <c r="O10" s="26" t="n">
        <f aca="false">IF(B10="","",IFERROR(INDEX(BCC_LE,MATCH(B10,BCC_MA,0)),0))</f>
        <v>0</v>
      </c>
      <c r="P10" s="26" t="n">
        <f aca="false">IF(B10="","",IFERROR(INDEX(BCC_LEDL,MATCH(B10,BCC_MA,0)),0))</f>
        <v>0</v>
      </c>
      <c r="Q10" s="26" t="n">
        <f aca="false">IF(B10="","",IFERROR(INDEX(BCC_CD,MATCH(B10,BCC_MA,0)),0))</f>
        <v>0</v>
      </c>
      <c r="R10" s="29" t="n">
        <f aca="false">IF(B10="","",IF(E10="Khoán tháng",G10,IF(E10="Thử việc",IF(N(H10)&gt;0,H10,G10*TL_THUVIEC),G10)/F10*M10))</f>
        <v>9435000</v>
      </c>
      <c r="S10" s="29" t="n">
        <f aca="false">IF(B10="","",IF(E10="Khoán tháng",0,I10/NGAY_CHIA*N10))</f>
        <v>0</v>
      </c>
      <c r="T10" s="29" t="n">
        <f aca="false">IF(B10="","",IF(E10="Khoán tháng",0,I10/NGAY_CHIA*O10))</f>
        <v>0</v>
      </c>
      <c r="U10" s="29" t="n">
        <f aca="false">IF(B10="","",IF(E10="Khoán tháng",0,G10/F10/GIO_CONG*P10*HS_LE))</f>
        <v>0</v>
      </c>
      <c r="V10" s="29" t="n">
        <f aca="false">IF(B10="","",IF(E10="Khoán tháng",0,I10/NGAY_CHIA*Q10))</f>
        <v>0</v>
      </c>
      <c r="W10" s="29" t="n">
        <f aca="false">IF(B10="","",IF(L10="Chung",IF(M10&gt;=CC_NGUONG,CC_TIEN,0),IF(L10="Cơ điện",IF(M10&gt;CD_N2,CD_T2,IF(M10&gt;CD_N1,CD_T1,0)),0))+SUMIFS(DC_TIEN,DC_MA,$B10,DC_LOAI,"Chuyên cần",DC_AP,"Có"))</f>
        <v>0</v>
      </c>
      <c r="X10" s="29" t="n">
        <f aca="false">IF(B10="","",N(K10))</f>
        <v>0</v>
      </c>
      <c r="Y10" s="29" t="n">
        <f aca="false">IF(B10="","",SUMIFS(DC_TIEN,DC_MA,$B10,DC_LOAI,"Truy lĩnh",DC_AP,"Có")+SUMIFS(DC_TIEN,DC_MA,$B10,DC_LOAI,"Cộng khác",DC_AP,"Có"))</f>
        <v>0</v>
      </c>
      <c r="Z10" s="30" t="n">
        <f aca="false">IF(B10="","",SUM(R10:Y10))</f>
        <v>9435000</v>
      </c>
      <c r="AA10" s="29" t="n">
        <f aca="false">IF(B10="","",IF(J10="Có",I10*BHXH_NLD,0))</f>
        <v>437115</v>
      </c>
      <c r="AB10" s="29" t="n">
        <f aca="false">IF(B10="","",SUMIFS(DC_TIEN,DC_MA,$B10,DC_LOAI,"Tạm ứng",DC_AP,"Có"))</f>
        <v>0</v>
      </c>
      <c r="AC10" s="29" t="n">
        <f aca="false">IF(B10="","",SUMIFS(DC_TIEN,DC_MA,$B10,DC_LOAI,"Trừ khác",DC_AP,"Có"))</f>
        <v>0</v>
      </c>
      <c r="AD10" s="29" t="n">
        <f aca="false">IF(B10="","",SUMIFS(DC_TIEN,DC_MA,$B10,DC_LOAI,"KPI trừ",DC_AP,"Có"))</f>
        <v>0</v>
      </c>
      <c r="AE10" s="29" t="n">
        <f aca="false">IF(B10="","",SUM(AA10:AD10))</f>
        <v>437115</v>
      </c>
      <c r="AF10" s="30" t="n">
        <f aca="false">IF(B10="","",ROUNDDOWN(Z10-AE10,-3))</f>
        <v>8997000</v>
      </c>
      <c r="AG10" s="20"/>
    </row>
    <row r="11" customFormat="false" ht="15" hidden="false" customHeight="false" outlineLevel="0" collapsed="false">
      <c r="A11" s="18" t="n">
        <f aca="false">IF(B11="","",ROW()-5)</f>
        <v>6</v>
      </c>
      <c r="B11" s="28" t="str">
        <f aca="false">IF(BCC!B11="","",BCC!B11)</f>
        <v>046092012558</v>
      </c>
      <c r="C11" s="18" t="str">
        <f aca="false">IF(B11="","",IFERROR(INDEX(NV_TEN,MATCH(B11,NV_MA,0)),"MÃ KHÔNG CÓ"))</f>
        <v>Nguyễn Quang Quốc</v>
      </c>
      <c r="D11" s="18" t="str">
        <f aca="false">IF(B11="","",IFERROR(INDEX(NV_PN,MATCH(B11,NV_MA,0)),""))</f>
        <v>APQT</v>
      </c>
      <c r="E11" s="18" t="str">
        <f aca="false">IF(B11="","",IFERROR(INDEX(NV_HT,MATCH(B11,NV_MA,0)),""))</f>
        <v>Thời gian</v>
      </c>
      <c r="F11" s="18" t="n">
        <f aca="false">IF(B11="","",IFERROR(INDEX(NV_CC,MATCH(B11,NV_MA,0)),""))</f>
        <v>26</v>
      </c>
      <c r="G11" s="29" t="n">
        <f aca="false">IF(B11="","",IFERROR(INDEX(NV_CB,MATCH(B11,NV_MA,0)),""))</f>
        <v>9620000</v>
      </c>
      <c r="H11" s="29" t="n">
        <f aca="false">IF(B11="","",IFERROR(INDEX(NV_TV,MATCH(B11,NV_MA,0)),""))</f>
        <v>0</v>
      </c>
      <c r="I11" s="29" t="n">
        <f aca="false">IF(B11="","",IFERROR(INDEX(NV_BHXH,MATCH(B11,NV_MA,0)),""))</f>
        <v>4163000</v>
      </c>
      <c r="J11" s="29" t="str">
        <f aca="false">IF(B11="","",IFERROR(INDEX(NV_DONG,MATCH(B11,NV_MA,0)),""))</f>
        <v>Có</v>
      </c>
      <c r="K11" s="29" t="n">
        <f aca="false">IF(B11="","",IFERROR(INDEX(NV_PC,MATCH(B11,NV_MA,0)),""))</f>
        <v>0</v>
      </c>
      <c r="L11" s="18" t="str">
        <f aca="false">IF(B11="","",IFERROR(INDEX(NV_NHOMCC,MATCH(B11,NV_MA,0)),""))</f>
        <v>Chung</v>
      </c>
      <c r="M11" s="25" t="n">
        <f aca="false">IF(B11="","",IFERROR(INDEX(BCC_CONG,MATCH(B11,BCC_MA,0)),0))</f>
        <v>36</v>
      </c>
      <c r="N11" s="26" t="n">
        <f aca="false">IF(B11="","",IFERROR(INDEX(BCC_PHEP,MATCH(B11,BCC_MA,0)),0))</f>
        <v>1</v>
      </c>
      <c r="O11" s="26" t="n">
        <f aca="false">IF(B11="","",IFERROR(INDEX(BCC_LE,MATCH(B11,BCC_MA,0)),0))</f>
        <v>0</v>
      </c>
      <c r="P11" s="26" t="n">
        <f aca="false">IF(B11="","",IFERROR(INDEX(BCC_LEDL,MATCH(B11,BCC_MA,0)),0))</f>
        <v>0</v>
      </c>
      <c r="Q11" s="26" t="n">
        <f aca="false">IF(B11="","",IFERROR(INDEX(BCC_CD,MATCH(B11,BCC_MA,0)),0))</f>
        <v>0</v>
      </c>
      <c r="R11" s="29" t="n">
        <f aca="false">IF(B11="","",IF(E11="Khoán tháng",G11,IF(E11="Thử việc",IF(N(H11)&gt;0,H11,G11*TL_THUVIEC),G11)/F11*M11))</f>
        <v>13320000</v>
      </c>
      <c r="S11" s="29" t="n">
        <f aca="false">IF(B11="","",IF(E11="Khoán tháng",0,I11/NGAY_CHIA*N11))</f>
        <v>160115.384615385</v>
      </c>
      <c r="T11" s="29" t="n">
        <f aca="false">IF(B11="","",IF(E11="Khoán tháng",0,I11/NGAY_CHIA*O11))</f>
        <v>0</v>
      </c>
      <c r="U11" s="29" t="n">
        <f aca="false">IF(B11="","",IF(E11="Khoán tháng",0,G11/F11/GIO_CONG*P11*HS_LE))</f>
        <v>0</v>
      </c>
      <c r="V11" s="29" t="n">
        <f aca="false">IF(B11="","",IF(E11="Khoán tháng",0,I11/NGAY_CHIA*Q11))</f>
        <v>0</v>
      </c>
      <c r="W11" s="29" t="n">
        <f aca="false">IF(B11="","",IF(L11="Chung",IF(M11&gt;=CC_NGUONG,CC_TIEN,0),IF(L11="Cơ điện",IF(M11&gt;CD_N2,CD_T2,IF(M11&gt;CD_N1,CD_T1,0)),0))+SUMIFS(DC_TIEN,DC_MA,$B11,DC_LOAI,"Chuyên cần",DC_AP,"Có"))</f>
        <v>300000</v>
      </c>
      <c r="X11" s="29" t="n">
        <f aca="false">IF(B11="","",N(K11))</f>
        <v>0</v>
      </c>
      <c r="Y11" s="29" t="n">
        <f aca="false">IF(B11="","",SUMIFS(DC_TIEN,DC_MA,$B11,DC_LOAI,"Truy lĩnh",DC_AP,"Có")+SUMIFS(DC_TIEN,DC_MA,$B11,DC_LOAI,"Cộng khác",DC_AP,"Có"))</f>
        <v>0</v>
      </c>
      <c r="Z11" s="30" t="n">
        <f aca="false">IF(B11="","",SUM(R11:Y11))</f>
        <v>13780115.3846154</v>
      </c>
      <c r="AA11" s="29" t="n">
        <f aca="false">IF(B11="","",IF(J11="Có",I11*BHXH_NLD,0))</f>
        <v>437115</v>
      </c>
      <c r="AB11" s="29" t="n">
        <f aca="false">IF(B11="","",SUMIFS(DC_TIEN,DC_MA,$B11,DC_LOAI,"Tạm ứng",DC_AP,"Có"))</f>
        <v>0</v>
      </c>
      <c r="AC11" s="29" t="n">
        <f aca="false">IF(B11="","",SUMIFS(DC_TIEN,DC_MA,$B11,DC_LOAI,"Trừ khác",DC_AP,"Có"))</f>
        <v>0</v>
      </c>
      <c r="AD11" s="29" t="n">
        <f aca="false">IF(B11="","",SUMIFS(DC_TIEN,DC_MA,$B11,DC_LOAI,"KPI trừ",DC_AP,"Có"))</f>
        <v>0</v>
      </c>
      <c r="AE11" s="29" t="n">
        <f aca="false">IF(B11="","",SUM(AA11:AD11))</f>
        <v>437115</v>
      </c>
      <c r="AF11" s="30" t="n">
        <f aca="false">IF(B11="","",ROUNDDOWN(Z11-AE11,-3))</f>
        <v>13343000</v>
      </c>
      <c r="AG11" s="20"/>
    </row>
    <row r="12" customFormat="false" ht="15" hidden="false" customHeight="false" outlineLevel="0" collapsed="false">
      <c r="A12" s="18" t="n">
        <f aca="false">IF(B12="","",ROW()-5)</f>
        <v>7</v>
      </c>
      <c r="B12" s="28" t="str">
        <f aca="false">IF(BCC!B12="","",BCC!B12)</f>
        <v>046066004079</v>
      </c>
      <c r="C12" s="18" t="str">
        <f aca="false">IF(B12="","",IFERROR(INDEX(NV_TEN,MATCH(B12,NV_MA,0)),"MÃ KHÔNG CÓ"))</f>
        <v>Trần Đình Chiến</v>
      </c>
      <c r="D12" s="18" t="str">
        <f aca="false">IF(B12="","",IFERROR(INDEX(NV_PN,MATCH(B12,NV_MA,0)),""))</f>
        <v>APQT</v>
      </c>
      <c r="E12" s="18" t="str">
        <f aca="false">IF(B12="","",IFERROR(INDEX(NV_HT,MATCH(B12,NV_MA,0)),""))</f>
        <v>Thời gian</v>
      </c>
      <c r="F12" s="18" t="n">
        <f aca="false">IF(B12="","",IFERROR(INDEX(NV_CC,MATCH(B12,NV_MA,0)),""))</f>
        <v>30</v>
      </c>
      <c r="G12" s="29" t="n">
        <f aca="false">IF(B12="","",IFERROR(INDEX(NV_CB,MATCH(B12,NV_MA,0)),""))</f>
        <v>15000000</v>
      </c>
      <c r="H12" s="29" t="n">
        <f aca="false">IF(B12="","",IFERROR(INDEX(NV_TV,MATCH(B12,NV_MA,0)),""))</f>
        <v>0</v>
      </c>
      <c r="I12" s="29" t="n">
        <f aca="false">IF(B12="","",IFERROR(INDEX(NV_BHXH,MATCH(B12,NV_MA,0)),""))</f>
        <v>4163000</v>
      </c>
      <c r="J12" s="29" t="str">
        <f aca="false">IF(B12="","",IFERROR(INDEX(NV_DONG,MATCH(B12,NV_MA,0)),""))</f>
        <v>Có</v>
      </c>
      <c r="K12" s="29" t="n">
        <f aca="false">IF(B12="","",IFERROR(INDEX(NV_PC,MATCH(B12,NV_MA,0)),""))</f>
        <v>500000</v>
      </c>
      <c r="L12" s="18" t="str">
        <f aca="false">IF(B12="","",IFERROR(INDEX(NV_NHOMCC,MATCH(B12,NV_MA,0)),""))</f>
        <v>Không</v>
      </c>
      <c r="M12" s="25" t="n">
        <f aca="false">IF(B12="","",IFERROR(INDEX(BCC_CONG,MATCH(B12,BCC_MA,0)),0))</f>
        <v>25</v>
      </c>
      <c r="N12" s="26" t="n">
        <f aca="false">IF(B12="","",IFERROR(INDEX(BCC_PHEP,MATCH(B12,BCC_MA,0)),0))</f>
        <v>2</v>
      </c>
      <c r="O12" s="26" t="n">
        <f aca="false">IF(B12="","",IFERROR(INDEX(BCC_LE,MATCH(B12,BCC_MA,0)),0))</f>
        <v>0</v>
      </c>
      <c r="P12" s="26" t="n">
        <f aca="false">IF(B12="","",IFERROR(INDEX(BCC_LEDL,MATCH(B12,BCC_MA,0)),0))</f>
        <v>0</v>
      </c>
      <c r="Q12" s="26" t="n">
        <f aca="false">IF(B12="","",IFERROR(INDEX(BCC_CD,MATCH(B12,BCC_MA,0)),0))</f>
        <v>0</v>
      </c>
      <c r="R12" s="29" t="n">
        <f aca="false">IF(B12="","",IF(E12="Khoán tháng",G12,IF(E12="Thử việc",IF(N(H12)&gt;0,H12,G12*TL_THUVIEC),G12)/F12*M12))</f>
        <v>12500000</v>
      </c>
      <c r="S12" s="29" t="n">
        <f aca="false">IF(B12="","",IF(E12="Khoán tháng",0,I12/NGAY_CHIA*N12))</f>
        <v>320230.769230769</v>
      </c>
      <c r="T12" s="29" t="n">
        <f aca="false">IF(B12="","",IF(E12="Khoán tháng",0,I12/NGAY_CHIA*O12))</f>
        <v>0</v>
      </c>
      <c r="U12" s="29" t="n">
        <f aca="false">IF(B12="","",IF(E12="Khoán tháng",0,G12/F12/GIO_CONG*P12*HS_LE))</f>
        <v>0</v>
      </c>
      <c r="V12" s="29" t="n">
        <f aca="false">IF(B12="","",IF(E12="Khoán tháng",0,I12/NGAY_CHIA*Q12))</f>
        <v>0</v>
      </c>
      <c r="W12" s="29" t="n">
        <f aca="false">IF(B12="","",IF(L12="Chung",IF(M12&gt;=CC_NGUONG,CC_TIEN,0),IF(L12="Cơ điện",IF(M12&gt;CD_N2,CD_T2,IF(M12&gt;CD_N1,CD_T1,0)),0))+SUMIFS(DC_TIEN,DC_MA,$B12,DC_LOAI,"Chuyên cần",DC_AP,"Có"))</f>
        <v>0</v>
      </c>
      <c r="X12" s="29" t="n">
        <f aca="false">IF(B12="","",N(K12))</f>
        <v>500000</v>
      </c>
      <c r="Y12" s="29" t="n">
        <f aca="false">IF(B12="","",SUMIFS(DC_TIEN,DC_MA,$B12,DC_LOAI,"Truy lĩnh",DC_AP,"Có")+SUMIFS(DC_TIEN,DC_MA,$B12,DC_LOAI,"Cộng khác",DC_AP,"Có"))</f>
        <v>0</v>
      </c>
      <c r="Z12" s="30" t="n">
        <f aca="false">IF(B12="","",SUM(R12:Y12))</f>
        <v>13320230.7692308</v>
      </c>
      <c r="AA12" s="29" t="n">
        <f aca="false">IF(B12="","",IF(J12="Có",I12*BHXH_NLD,0))</f>
        <v>437115</v>
      </c>
      <c r="AB12" s="29" t="n">
        <f aca="false">IF(B12="","",SUMIFS(DC_TIEN,DC_MA,$B12,DC_LOAI,"Tạm ứng",DC_AP,"Có"))</f>
        <v>0</v>
      </c>
      <c r="AC12" s="29" t="n">
        <f aca="false">IF(B12="","",SUMIFS(DC_TIEN,DC_MA,$B12,DC_LOAI,"Trừ khác",DC_AP,"Có"))</f>
        <v>0</v>
      </c>
      <c r="AD12" s="29" t="n">
        <f aca="false">IF(B12="","",SUMIFS(DC_TIEN,DC_MA,$B12,DC_LOAI,"KPI trừ",DC_AP,"Có"))</f>
        <v>0</v>
      </c>
      <c r="AE12" s="29" t="n">
        <f aca="false">IF(B12="","",SUM(AA12:AD12))</f>
        <v>437115</v>
      </c>
      <c r="AF12" s="30" t="n">
        <f aca="false">IF(B12="","",ROUNDDOWN(Z12-AE12,-3))</f>
        <v>12883000</v>
      </c>
      <c r="AG12" s="20"/>
    </row>
    <row r="13" customFormat="false" ht="15" hidden="false" customHeight="false" outlineLevel="0" collapsed="false">
      <c r="A13" s="18" t="n">
        <f aca="false">IF(B13="","",ROW()-5)</f>
        <v>8</v>
      </c>
      <c r="B13" s="28" t="str">
        <f aca="false">IF(BCC!B13="","",BCC!B13)</f>
        <v>046078005974</v>
      </c>
      <c r="C13" s="18" t="str">
        <f aca="false">IF(B13="","",IFERROR(INDEX(NV_TEN,MATCH(B13,NV_MA,0)),"MÃ KHÔNG CÓ"))</f>
        <v>Phạm Bá Vinh</v>
      </c>
      <c r="D13" s="18" t="str">
        <f aca="false">IF(B13="","",IFERROR(INDEX(NV_PN,MATCH(B13,NV_MA,0)),""))</f>
        <v>APQT</v>
      </c>
      <c r="E13" s="18" t="str">
        <f aca="false">IF(B13="","",IFERROR(INDEX(NV_HT,MATCH(B13,NV_MA,0)),""))</f>
        <v>Thời gian</v>
      </c>
      <c r="F13" s="18" t="n">
        <f aca="false">IF(B13="","",IFERROR(INDEX(NV_CC,MATCH(B13,NV_MA,0)),""))</f>
        <v>26</v>
      </c>
      <c r="G13" s="29" t="n">
        <f aca="false">IF(B13="","",IFERROR(INDEX(NV_CB,MATCH(B13,NV_MA,0)),""))</f>
        <v>9620000</v>
      </c>
      <c r="H13" s="29" t="n">
        <f aca="false">IF(B13="","",IFERROR(INDEX(NV_TV,MATCH(B13,NV_MA,0)),""))</f>
        <v>0</v>
      </c>
      <c r="I13" s="29" t="n">
        <f aca="false">IF(B13="","",IFERROR(INDEX(NV_BHXH,MATCH(B13,NV_MA,0)),""))</f>
        <v>4163000</v>
      </c>
      <c r="J13" s="29" t="str">
        <f aca="false">IF(B13="","",IFERROR(INDEX(NV_DONG,MATCH(B13,NV_MA,0)),""))</f>
        <v>Có</v>
      </c>
      <c r="K13" s="29" t="n">
        <f aca="false">IF(B13="","",IFERROR(INDEX(NV_PC,MATCH(B13,NV_MA,0)),""))</f>
        <v>500000</v>
      </c>
      <c r="L13" s="18" t="str">
        <f aca="false">IF(B13="","",IFERROR(INDEX(NV_NHOMCC,MATCH(B13,NV_MA,0)),""))</f>
        <v>Chung</v>
      </c>
      <c r="M13" s="25" t="n">
        <f aca="false">IF(B13="","",IFERROR(INDEX(BCC_CONG,MATCH(B13,BCC_MA,0)),0))</f>
        <v>34.5</v>
      </c>
      <c r="N13" s="26" t="n">
        <f aca="false">IF(B13="","",IFERROR(INDEX(BCC_PHEP,MATCH(B13,BCC_MA,0)),0))</f>
        <v>0</v>
      </c>
      <c r="O13" s="26" t="n">
        <f aca="false">IF(B13="","",IFERROR(INDEX(BCC_LE,MATCH(B13,BCC_MA,0)),0))</f>
        <v>0</v>
      </c>
      <c r="P13" s="26" t="n">
        <f aca="false">IF(B13="","",IFERROR(INDEX(BCC_LEDL,MATCH(B13,BCC_MA,0)),0))</f>
        <v>0</v>
      </c>
      <c r="Q13" s="26" t="n">
        <f aca="false">IF(B13="","",IFERROR(INDEX(BCC_CD,MATCH(B13,BCC_MA,0)),0))</f>
        <v>0</v>
      </c>
      <c r="R13" s="29" t="n">
        <f aca="false">IF(B13="","",IF(E13="Khoán tháng",G13,IF(E13="Thử việc",IF(N(H13)&gt;0,H13,G13*TL_THUVIEC),G13)/F13*M13))</f>
        <v>12765000</v>
      </c>
      <c r="S13" s="29" t="n">
        <f aca="false">IF(B13="","",IF(E13="Khoán tháng",0,I13/NGAY_CHIA*N13))</f>
        <v>0</v>
      </c>
      <c r="T13" s="29" t="n">
        <f aca="false">IF(B13="","",IF(E13="Khoán tháng",0,I13/NGAY_CHIA*O13))</f>
        <v>0</v>
      </c>
      <c r="U13" s="29" t="n">
        <f aca="false">IF(B13="","",IF(E13="Khoán tháng",0,G13/F13/GIO_CONG*P13*HS_LE))</f>
        <v>0</v>
      </c>
      <c r="V13" s="29" t="n">
        <f aca="false">IF(B13="","",IF(E13="Khoán tháng",0,I13/NGAY_CHIA*Q13))</f>
        <v>0</v>
      </c>
      <c r="W13" s="29" t="n">
        <f aca="false">IF(B13="","",IF(L13="Chung",IF(M13&gt;=CC_NGUONG,CC_TIEN,0),IF(L13="Cơ điện",IF(M13&gt;CD_N2,CD_T2,IF(M13&gt;CD_N1,CD_T1,0)),0))+SUMIFS(DC_TIEN,DC_MA,$B13,DC_LOAI,"Chuyên cần",DC_AP,"Có"))</f>
        <v>0</v>
      </c>
      <c r="X13" s="29" t="n">
        <f aca="false">IF(B13="","",N(K13))</f>
        <v>500000</v>
      </c>
      <c r="Y13" s="29" t="n">
        <f aca="false">IF(B13="","",SUMIFS(DC_TIEN,DC_MA,$B13,DC_LOAI,"Truy lĩnh",DC_AP,"Có")+SUMIFS(DC_TIEN,DC_MA,$B13,DC_LOAI,"Cộng khác",DC_AP,"Có"))</f>
        <v>0</v>
      </c>
      <c r="Z13" s="30" t="n">
        <f aca="false">IF(B13="","",SUM(R13:Y13))</f>
        <v>13265000</v>
      </c>
      <c r="AA13" s="29" t="n">
        <f aca="false">IF(B13="","",IF(J13="Có",I13*BHXH_NLD,0))</f>
        <v>437115</v>
      </c>
      <c r="AB13" s="29" t="n">
        <f aca="false">IF(B13="","",SUMIFS(DC_TIEN,DC_MA,$B13,DC_LOAI,"Tạm ứng",DC_AP,"Có"))</f>
        <v>0</v>
      </c>
      <c r="AC13" s="29" t="n">
        <f aca="false">IF(B13="","",SUMIFS(DC_TIEN,DC_MA,$B13,DC_LOAI,"Trừ khác",DC_AP,"Có"))</f>
        <v>0</v>
      </c>
      <c r="AD13" s="29" t="n">
        <f aca="false">IF(B13="","",SUMIFS(DC_TIEN,DC_MA,$B13,DC_LOAI,"KPI trừ",DC_AP,"Có"))</f>
        <v>0</v>
      </c>
      <c r="AE13" s="29" t="n">
        <f aca="false">IF(B13="","",SUM(AA13:AD13))</f>
        <v>437115</v>
      </c>
      <c r="AF13" s="30" t="n">
        <f aca="false">IF(B13="","",ROUNDDOWN(Z13-AE13,-3))</f>
        <v>12827000</v>
      </c>
      <c r="AG13" s="20"/>
    </row>
    <row r="14" customFormat="false" ht="15" hidden="false" customHeight="false" outlineLevel="0" collapsed="false">
      <c r="A14" s="18" t="n">
        <f aca="false">IF(B14="","",ROW()-5)</f>
        <v>9</v>
      </c>
      <c r="B14" s="28" t="str">
        <f aca="false">IF(BCC!B14="","",BCC!B14)</f>
        <v>046080010214</v>
      </c>
      <c r="C14" s="18" t="str">
        <f aca="false">IF(B14="","",IFERROR(INDEX(NV_TEN,MATCH(B14,NV_MA,0)),"MÃ KHÔNG CÓ"))</f>
        <v>Nguyễn Văn Cường</v>
      </c>
      <c r="D14" s="18" t="str">
        <f aca="false">IF(B14="","",IFERROR(INDEX(NV_PN,MATCH(B14,NV_MA,0)),""))</f>
        <v>APQT</v>
      </c>
      <c r="E14" s="18" t="str">
        <f aca="false">IF(B14="","",IFERROR(INDEX(NV_HT,MATCH(B14,NV_MA,0)),""))</f>
        <v>Thời gian</v>
      </c>
      <c r="F14" s="18" t="n">
        <f aca="false">IF(B14="","",IFERROR(INDEX(NV_CC,MATCH(B14,NV_MA,0)),""))</f>
        <v>26</v>
      </c>
      <c r="G14" s="29" t="n">
        <f aca="false">IF(B14="","",IFERROR(INDEX(NV_CB,MATCH(B14,NV_MA,0)),""))</f>
        <v>9620000</v>
      </c>
      <c r="H14" s="29" t="n">
        <f aca="false">IF(B14="","",IFERROR(INDEX(NV_TV,MATCH(B14,NV_MA,0)),""))</f>
        <v>0</v>
      </c>
      <c r="I14" s="29" t="n">
        <f aca="false">IF(B14="","",IFERROR(INDEX(NV_BHXH,MATCH(B14,NV_MA,0)),""))</f>
        <v>4163000</v>
      </c>
      <c r="J14" s="29" t="str">
        <f aca="false">IF(B14="","",IFERROR(INDEX(NV_DONG,MATCH(B14,NV_MA,0)),""))</f>
        <v>Có</v>
      </c>
      <c r="K14" s="29" t="n">
        <f aca="false">IF(B14="","",IFERROR(INDEX(NV_PC,MATCH(B14,NV_MA,0)),""))</f>
        <v>500000</v>
      </c>
      <c r="L14" s="18" t="str">
        <f aca="false">IF(B14="","",IFERROR(INDEX(NV_NHOMCC,MATCH(B14,NV_MA,0)),""))</f>
        <v>Chung</v>
      </c>
      <c r="M14" s="25" t="n">
        <f aca="false">IF(B14="","",IFERROR(INDEX(BCC_CONG,MATCH(B14,BCC_MA,0)),0))</f>
        <v>34.5</v>
      </c>
      <c r="N14" s="26" t="n">
        <f aca="false">IF(B14="","",IFERROR(INDEX(BCC_PHEP,MATCH(B14,BCC_MA,0)),0))</f>
        <v>4</v>
      </c>
      <c r="O14" s="26" t="n">
        <f aca="false">IF(B14="","",IFERROR(INDEX(BCC_LE,MATCH(B14,BCC_MA,0)),0))</f>
        <v>0</v>
      </c>
      <c r="P14" s="26" t="n">
        <f aca="false">IF(B14="","",IFERROR(INDEX(BCC_LEDL,MATCH(B14,BCC_MA,0)),0))</f>
        <v>0</v>
      </c>
      <c r="Q14" s="26" t="n">
        <f aca="false">IF(B14="","",IFERROR(INDEX(BCC_CD,MATCH(B14,BCC_MA,0)),0))</f>
        <v>0</v>
      </c>
      <c r="R14" s="29" t="n">
        <f aca="false">IF(B14="","",IF(E14="Khoán tháng",G14,IF(E14="Thử việc",IF(N(H14)&gt;0,H14,G14*TL_THUVIEC),G14)/F14*M14))</f>
        <v>12765000</v>
      </c>
      <c r="S14" s="29" t="n">
        <f aca="false">IF(B14="","",IF(E14="Khoán tháng",0,I14/NGAY_CHIA*N14))</f>
        <v>640461.538461539</v>
      </c>
      <c r="T14" s="29" t="n">
        <f aca="false">IF(B14="","",IF(E14="Khoán tháng",0,I14/NGAY_CHIA*O14))</f>
        <v>0</v>
      </c>
      <c r="U14" s="29" t="n">
        <f aca="false">IF(B14="","",IF(E14="Khoán tháng",0,G14/F14/GIO_CONG*P14*HS_LE))</f>
        <v>0</v>
      </c>
      <c r="V14" s="29" t="n">
        <f aca="false">IF(B14="","",IF(E14="Khoán tháng",0,I14/NGAY_CHIA*Q14))</f>
        <v>0</v>
      </c>
      <c r="W14" s="29" t="n">
        <f aca="false">IF(B14="","",IF(L14="Chung",IF(M14&gt;=CC_NGUONG,CC_TIEN,0),IF(L14="Cơ điện",IF(M14&gt;CD_N2,CD_T2,IF(M14&gt;CD_N1,CD_T1,0)),0))+SUMIFS(DC_TIEN,DC_MA,$B14,DC_LOAI,"Chuyên cần",DC_AP,"Có"))</f>
        <v>300000</v>
      </c>
      <c r="X14" s="29" t="n">
        <f aca="false">IF(B14="","",N(K14))</f>
        <v>500000</v>
      </c>
      <c r="Y14" s="29" t="n">
        <f aca="false">IF(B14="","",SUMIFS(DC_TIEN,DC_MA,$B14,DC_LOAI,"Truy lĩnh",DC_AP,"Có")+SUMIFS(DC_TIEN,DC_MA,$B14,DC_LOAI,"Cộng khác",DC_AP,"Có"))</f>
        <v>0</v>
      </c>
      <c r="Z14" s="30" t="n">
        <f aca="false">IF(B14="","",SUM(R14:Y14))</f>
        <v>14205461.5384615</v>
      </c>
      <c r="AA14" s="29" t="n">
        <f aca="false">IF(B14="","",IF(J14="Có",I14*BHXH_NLD,0))</f>
        <v>437115</v>
      </c>
      <c r="AB14" s="29" t="n">
        <f aca="false">IF(B14="","",SUMIFS(DC_TIEN,DC_MA,$B14,DC_LOAI,"Tạm ứng",DC_AP,"Có"))</f>
        <v>0</v>
      </c>
      <c r="AC14" s="29" t="n">
        <f aca="false">IF(B14="","",SUMIFS(DC_TIEN,DC_MA,$B14,DC_LOAI,"Trừ khác",DC_AP,"Có"))</f>
        <v>0</v>
      </c>
      <c r="AD14" s="29" t="n">
        <f aca="false">IF(B14="","",SUMIFS(DC_TIEN,DC_MA,$B14,DC_LOAI,"KPI trừ",DC_AP,"Có"))</f>
        <v>0</v>
      </c>
      <c r="AE14" s="29" t="n">
        <f aca="false">IF(B14="","",SUM(AA14:AD14))</f>
        <v>437115</v>
      </c>
      <c r="AF14" s="30" t="n">
        <f aca="false">IF(B14="","",ROUNDDOWN(Z14-AE14,-3))</f>
        <v>13768000</v>
      </c>
      <c r="AG14" s="20"/>
    </row>
    <row r="15" customFormat="false" ht="15" hidden="false" customHeight="false" outlineLevel="0" collapsed="false">
      <c r="A15" s="18" t="n">
        <f aca="false">IF(B15="","",ROW()-5)</f>
        <v>10</v>
      </c>
      <c r="B15" s="28" t="str">
        <f aca="false">IF(BCC!B15="","",BCC!B15)</f>
        <v>046097006456</v>
      </c>
      <c r="C15" s="18" t="str">
        <f aca="false">IF(B15="","",IFERROR(INDEX(NV_TEN,MATCH(B15,NV_MA,0)),"MÃ KHÔNG CÓ"))</f>
        <v>Mai Bá Trung</v>
      </c>
      <c r="D15" s="18" t="str">
        <f aca="false">IF(B15="","",IFERROR(INDEX(NV_PN,MATCH(B15,NV_MA,0)),""))</f>
        <v>APQT</v>
      </c>
      <c r="E15" s="18" t="str">
        <f aca="false">IF(B15="","",IFERROR(INDEX(NV_HT,MATCH(B15,NV_MA,0)),""))</f>
        <v>Thời gian</v>
      </c>
      <c r="F15" s="18" t="n">
        <f aca="false">IF(B15="","",IFERROR(INDEX(NV_CC,MATCH(B15,NV_MA,0)),""))</f>
        <v>26</v>
      </c>
      <c r="G15" s="29" t="n">
        <f aca="false">IF(B15="","",IFERROR(INDEX(NV_CB,MATCH(B15,NV_MA,0)),""))</f>
        <v>9620000</v>
      </c>
      <c r="H15" s="29" t="n">
        <f aca="false">IF(B15="","",IFERROR(INDEX(NV_TV,MATCH(B15,NV_MA,0)),""))</f>
        <v>0</v>
      </c>
      <c r="I15" s="29" t="n">
        <f aca="false">IF(B15="","",IFERROR(INDEX(NV_BHXH,MATCH(B15,NV_MA,0)),""))</f>
        <v>4163000</v>
      </c>
      <c r="J15" s="29" t="str">
        <f aca="false">IF(B15="","",IFERROR(INDEX(NV_DONG,MATCH(B15,NV_MA,0)),""))</f>
        <v>Có</v>
      </c>
      <c r="K15" s="29" t="n">
        <f aca="false">IF(B15="","",IFERROR(INDEX(NV_PC,MATCH(B15,NV_MA,0)),""))</f>
        <v>0</v>
      </c>
      <c r="L15" s="18" t="str">
        <f aca="false">IF(B15="","",IFERROR(INDEX(NV_NHOMCC,MATCH(B15,NV_MA,0)),""))</f>
        <v>Chung</v>
      </c>
      <c r="M15" s="25" t="n">
        <f aca="false">IF(B15="","",IFERROR(INDEX(BCC_CONG,MATCH(B15,BCC_MA,0)),0))</f>
        <v>35</v>
      </c>
      <c r="N15" s="26" t="n">
        <f aca="false">IF(B15="","",IFERROR(INDEX(BCC_PHEP,MATCH(B15,BCC_MA,0)),0))</f>
        <v>3</v>
      </c>
      <c r="O15" s="26" t="n">
        <f aca="false">IF(B15="","",IFERROR(INDEX(BCC_LE,MATCH(B15,BCC_MA,0)),0))</f>
        <v>0</v>
      </c>
      <c r="P15" s="26" t="n">
        <f aca="false">IF(B15="","",IFERROR(INDEX(BCC_LEDL,MATCH(B15,BCC_MA,0)),0))</f>
        <v>0</v>
      </c>
      <c r="Q15" s="26" t="n">
        <f aca="false">IF(B15="","",IFERROR(INDEX(BCC_CD,MATCH(B15,BCC_MA,0)),0))</f>
        <v>0</v>
      </c>
      <c r="R15" s="29" t="n">
        <f aca="false">IF(B15="","",IF(E15="Khoán tháng",G15,IF(E15="Thử việc",IF(N(H15)&gt;0,H15,G15*TL_THUVIEC),G15)/F15*M15))</f>
        <v>12950000</v>
      </c>
      <c r="S15" s="29" t="n">
        <f aca="false">IF(B15="","",IF(E15="Khoán tháng",0,I15/NGAY_CHIA*N15))</f>
        <v>480346.153846154</v>
      </c>
      <c r="T15" s="29" t="n">
        <f aca="false">IF(B15="","",IF(E15="Khoán tháng",0,I15/NGAY_CHIA*O15))</f>
        <v>0</v>
      </c>
      <c r="U15" s="29" t="n">
        <f aca="false">IF(B15="","",IF(E15="Khoán tháng",0,G15/F15/GIO_CONG*P15*HS_LE))</f>
        <v>0</v>
      </c>
      <c r="V15" s="29" t="n">
        <f aca="false">IF(B15="","",IF(E15="Khoán tháng",0,I15/NGAY_CHIA*Q15))</f>
        <v>0</v>
      </c>
      <c r="W15" s="29" t="n">
        <f aca="false">IF(B15="","",IF(L15="Chung",IF(M15&gt;=CC_NGUONG,CC_TIEN,0),IF(L15="Cơ điện",IF(M15&gt;CD_N2,CD_T2,IF(M15&gt;CD_N1,CD_T1,0)),0))+SUMIFS(DC_TIEN,DC_MA,$B15,DC_LOAI,"Chuyên cần",DC_AP,"Có"))</f>
        <v>300000</v>
      </c>
      <c r="X15" s="29" t="n">
        <f aca="false">IF(B15="","",N(K15))</f>
        <v>0</v>
      </c>
      <c r="Y15" s="29" t="n">
        <f aca="false">IF(B15="","",SUMIFS(DC_TIEN,DC_MA,$B15,DC_LOAI,"Truy lĩnh",DC_AP,"Có")+SUMIFS(DC_TIEN,DC_MA,$B15,DC_LOAI,"Cộng khác",DC_AP,"Có"))</f>
        <v>0</v>
      </c>
      <c r="Z15" s="30" t="n">
        <f aca="false">IF(B15="","",SUM(R15:Y15))</f>
        <v>13730346.1538462</v>
      </c>
      <c r="AA15" s="29" t="n">
        <f aca="false">IF(B15="","",IF(J15="Có",I15*BHXH_NLD,0))</f>
        <v>437115</v>
      </c>
      <c r="AB15" s="29" t="n">
        <f aca="false">IF(B15="","",SUMIFS(DC_TIEN,DC_MA,$B15,DC_LOAI,"Tạm ứng",DC_AP,"Có"))</f>
        <v>0</v>
      </c>
      <c r="AC15" s="29" t="n">
        <f aca="false">IF(B15="","",SUMIFS(DC_TIEN,DC_MA,$B15,DC_LOAI,"Trừ khác",DC_AP,"Có"))</f>
        <v>0</v>
      </c>
      <c r="AD15" s="29" t="n">
        <f aca="false">IF(B15="","",SUMIFS(DC_TIEN,DC_MA,$B15,DC_LOAI,"KPI trừ",DC_AP,"Có"))</f>
        <v>0</v>
      </c>
      <c r="AE15" s="29" t="n">
        <f aca="false">IF(B15="","",SUM(AA15:AD15))</f>
        <v>437115</v>
      </c>
      <c r="AF15" s="30" t="n">
        <f aca="false">IF(B15="","",ROUNDDOWN(Z15-AE15,-3))</f>
        <v>13293000</v>
      </c>
      <c r="AG15" s="20"/>
    </row>
    <row r="16" customFormat="false" ht="15" hidden="false" customHeight="false" outlineLevel="0" collapsed="false">
      <c r="A16" s="18" t="n">
        <f aca="false">IF(B16="","",ROW()-5)</f>
        <v>11</v>
      </c>
      <c r="B16" s="28" t="str">
        <f aca="false">IF(BCC!B16="","",BCC!B16)</f>
        <v>046078006770</v>
      </c>
      <c r="C16" s="18" t="str">
        <f aca="false">IF(B16="","",IFERROR(INDEX(NV_TEN,MATCH(B16,NV_MA,0)),"MÃ KHÔNG CÓ"))</f>
        <v>Cao Phước Tiến</v>
      </c>
      <c r="D16" s="18" t="str">
        <f aca="false">IF(B16="","",IFERROR(INDEX(NV_PN,MATCH(B16,NV_MA,0)),""))</f>
        <v>APQT</v>
      </c>
      <c r="E16" s="18" t="str">
        <f aca="false">IF(B16="","",IFERROR(INDEX(NV_HT,MATCH(B16,NV_MA,0)),""))</f>
        <v>Thời gian</v>
      </c>
      <c r="F16" s="18" t="n">
        <f aca="false">IF(B16="","",IFERROR(INDEX(NV_CC,MATCH(B16,NV_MA,0)),""))</f>
        <v>26</v>
      </c>
      <c r="G16" s="29" t="n">
        <f aca="false">IF(B16="","",IFERROR(INDEX(NV_CB,MATCH(B16,NV_MA,0)),""))</f>
        <v>10000000</v>
      </c>
      <c r="H16" s="29" t="n">
        <f aca="false">IF(B16="","",IFERROR(INDEX(NV_TV,MATCH(B16,NV_MA,0)),""))</f>
        <v>0</v>
      </c>
      <c r="I16" s="29" t="n">
        <f aca="false">IF(B16="","",IFERROR(INDEX(NV_BHXH,MATCH(B16,NV_MA,0)),""))</f>
        <v>4163000</v>
      </c>
      <c r="J16" s="29" t="str">
        <f aca="false">IF(B16="","",IFERROR(INDEX(NV_DONG,MATCH(B16,NV_MA,0)),""))</f>
        <v>Có</v>
      </c>
      <c r="K16" s="29" t="n">
        <f aca="false">IF(B16="","",IFERROR(INDEX(NV_PC,MATCH(B16,NV_MA,0)),""))</f>
        <v>1000000</v>
      </c>
      <c r="L16" s="18" t="str">
        <f aca="false">IF(B16="","",IFERROR(INDEX(NV_NHOMCC,MATCH(B16,NV_MA,0)),""))</f>
        <v>Chung</v>
      </c>
      <c r="M16" s="25" t="n">
        <f aca="false">IF(B16="","",IFERROR(INDEX(BCC_CONG,MATCH(B16,BCC_MA,0)),0))</f>
        <v>28</v>
      </c>
      <c r="N16" s="26" t="n">
        <f aca="false">IF(B16="","",IFERROR(INDEX(BCC_PHEP,MATCH(B16,BCC_MA,0)),0))</f>
        <v>0</v>
      </c>
      <c r="O16" s="26" t="n">
        <f aca="false">IF(B16="","",IFERROR(INDEX(BCC_LE,MATCH(B16,BCC_MA,0)),0))</f>
        <v>0</v>
      </c>
      <c r="P16" s="26" t="n">
        <f aca="false">IF(B16="","",IFERROR(INDEX(BCC_LEDL,MATCH(B16,BCC_MA,0)),0))</f>
        <v>0</v>
      </c>
      <c r="Q16" s="26" t="n">
        <f aca="false">IF(B16="","",IFERROR(INDEX(BCC_CD,MATCH(B16,BCC_MA,0)),0))</f>
        <v>0</v>
      </c>
      <c r="R16" s="29" t="n">
        <f aca="false">IF(B16="","",IF(E16="Khoán tháng",G16,IF(E16="Thử việc",IF(N(H16)&gt;0,H16,G16*TL_THUVIEC),G16)/F16*M16))</f>
        <v>10769230.7692308</v>
      </c>
      <c r="S16" s="29" t="n">
        <f aca="false">IF(B16="","",IF(E16="Khoán tháng",0,I16/NGAY_CHIA*N16))</f>
        <v>0</v>
      </c>
      <c r="T16" s="29" t="n">
        <f aca="false">IF(B16="","",IF(E16="Khoán tháng",0,I16/NGAY_CHIA*O16))</f>
        <v>0</v>
      </c>
      <c r="U16" s="29" t="n">
        <f aca="false">IF(B16="","",IF(E16="Khoán tháng",0,G16/F16/GIO_CONG*P16*HS_LE))</f>
        <v>0</v>
      </c>
      <c r="V16" s="29" t="n">
        <f aca="false">IF(B16="","",IF(E16="Khoán tháng",0,I16/NGAY_CHIA*Q16))</f>
        <v>0</v>
      </c>
      <c r="W16" s="29" t="n">
        <f aca="false">IF(B16="","",IF(L16="Chung",IF(M16&gt;=CC_NGUONG,CC_TIEN,0),IF(L16="Cơ điện",IF(M16&gt;CD_N2,CD_T2,IF(M16&gt;CD_N1,CD_T1,0)),0))+SUMIFS(DC_TIEN,DC_MA,$B16,DC_LOAI,"Chuyên cần",DC_AP,"Có"))</f>
        <v>0</v>
      </c>
      <c r="X16" s="29" t="n">
        <f aca="false">IF(B16="","",N(K16))</f>
        <v>1000000</v>
      </c>
      <c r="Y16" s="29" t="n">
        <f aca="false">IF(B16="","",SUMIFS(DC_TIEN,DC_MA,$B16,DC_LOAI,"Truy lĩnh",DC_AP,"Có")+SUMIFS(DC_TIEN,DC_MA,$B16,DC_LOAI,"Cộng khác",DC_AP,"Có"))</f>
        <v>0</v>
      </c>
      <c r="Z16" s="30" t="n">
        <f aca="false">IF(B16="","",SUM(R16:Y16))</f>
        <v>11769230.7692308</v>
      </c>
      <c r="AA16" s="29" t="n">
        <f aca="false">IF(B16="","",IF(J16="Có",I16*BHXH_NLD,0))</f>
        <v>437115</v>
      </c>
      <c r="AB16" s="29" t="n">
        <f aca="false">IF(B16="","",SUMIFS(DC_TIEN,DC_MA,$B16,DC_LOAI,"Tạm ứng",DC_AP,"Có"))</f>
        <v>0</v>
      </c>
      <c r="AC16" s="29" t="n">
        <f aca="false">IF(B16="","",SUMIFS(DC_TIEN,DC_MA,$B16,DC_LOAI,"Trừ khác",DC_AP,"Có"))</f>
        <v>1500000</v>
      </c>
      <c r="AD16" s="29" t="n">
        <f aca="false">IF(B16="","",SUMIFS(DC_TIEN,DC_MA,$B16,DC_LOAI,"KPI trừ",DC_AP,"Có"))</f>
        <v>0</v>
      </c>
      <c r="AE16" s="29" t="n">
        <f aca="false">IF(B16="","",SUM(AA16:AD16))</f>
        <v>1937115</v>
      </c>
      <c r="AF16" s="30" t="n">
        <f aca="false">IF(B16="","",ROUNDDOWN(Z16-AE16,-3))</f>
        <v>9832000</v>
      </c>
      <c r="AG16" s="20"/>
    </row>
    <row r="17" customFormat="false" ht="15" hidden="false" customHeight="false" outlineLevel="0" collapsed="false">
      <c r="A17" s="18" t="n">
        <f aca="false">IF(B17="","",ROW()-5)</f>
        <v>12</v>
      </c>
      <c r="B17" s="28" t="str">
        <f aca="false">IF(BCC!B17="","",BCC!B17)</f>
        <v>046090009551</v>
      </c>
      <c r="C17" s="18" t="str">
        <f aca="false">IF(B17="","",IFERROR(INDEX(NV_TEN,MATCH(B17,NV_MA,0)),"MÃ KHÔNG CÓ"))</f>
        <v>Nguyễn Ngọc Thanh</v>
      </c>
      <c r="D17" s="18" t="str">
        <f aca="false">IF(B17="","",IFERROR(INDEX(NV_PN,MATCH(B17,NV_MA,0)),""))</f>
        <v>APQT</v>
      </c>
      <c r="E17" s="18" t="str">
        <f aca="false">IF(B17="","",IFERROR(INDEX(NV_HT,MATCH(B17,NV_MA,0)),""))</f>
        <v>Thời gian</v>
      </c>
      <c r="F17" s="18" t="n">
        <f aca="false">IF(B17="","",IFERROR(INDEX(NV_CC,MATCH(B17,NV_MA,0)),""))</f>
        <v>26</v>
      </c>
      <c r="G17" s="29" t="n">
        <f aca="false">IF(B17="","",IFERROR(INDEX(NV_CB,MATCH(B17,NV_MA,0)),""))</f>
        <v>11600000</v>
      </c>
      <c r="H17" s="29" t="n">
        <f aca="false">IF(B17="","",IFERROR(INDEX(NV_TV,MATCH(B17,NV_MA,0)),""))</f>
        <v>0</v>
      </c>
      <c r="I17" s="29" t="n">
        <f aca="false">IF(B17="","",IFERROR(INDEX(NV_BHXH,MATCH(B17,NV_MA,0)),""))</f>
        <v>4163000</v>
      </c>
      <c r="J17" s="29" t="str">
        <f aca="false">IF(B17="","",IFERROR(INDEX(NV_DONG,MATCH(B17,NV_MA,0)),""))</f>
        <v>Có</v>
      </c>
      <c r="K17" s="29" t="n">
        <f aca="false">IF(B17="","",IFERROR(INDEX(NV_PC,MATCH(B17,NV_MA,0)),""))</f>
        <v>1000000</v>
      </c>
      <c r="L17" s="18" t="str">
        <f aca="false">IF(B17="","",IFERROR(INDEX(NV_NHOMCC,MATCH(B17,NV_MA,0)),""))</f>
        <v>Chung</v>
      </c>
      <c r="M17" s="25" t="n">
        <f aca="false">IF(B17="","",IFERROR(INDEX(BCC_CONG,MATCH(B17,BCC_MA,0)),0))</f>
        <v>27</v>
      </c>
      <c r="N17" s="26" t="n">
        <f aca="false">IF(B17="","",IFERROR(INDEX(BCC_PHEP,MATCH(B17,BCC_MA,0)),0))</f>
        <v>0</v>
      </c>
      <c r="O17" s="26" t="n">
        <f aca="false">IF(B17="","",IFERROR(INDEX(BCC_LE,MATCH(B17,BCC_MA,0)),0))</f>
        <v>0</v>
      </c>
      <c r="P17" s="26" t="n">
        <f aca="false">IF(B17="","",IFERROR(INDEX(BCC_LEDL,MATCH(B17,BCC_MA,0)),0))</f>
        <v>0</v>
      </c>
      <c r="Q17" s="26" t="n">
        <f aca="false">IF(B17="","",IFERROR(INDEX(BCC_CD,MATCH(B17,BCC_MA,0)),0))</f>
        <v>0</v>
      </c>
      <c r="R17" s="29" t="n">
        <f aca="false">IF(B17="","",IF(E17="Khoán tháng",G17,IF(E17="Thử việc",IF(N(H17)&gt;0,H17,G17*TL_THUVIEC),G17)/F17*M17))</f>
        <v>12046153.8461538</v>
      </c>
      <c r="S17" s="29" t="n">
        <f aca="false">IF(B17="","",IF(E17="Khoán tháng",0,I17/NGAY_CHIA*N17))</f>
        <v>0</v>
      </c>
      <c r="T17" s="29" t="n">
        <f aca="false">IF(B17="","",IF(E17="Khoán tháng",0,I17/NGAY_CHIA*O17))</f>
        <v>0</v>
      </c>
      <c r="U17" s="29" t="n">
        <f aca="false">IF(B17="","",IF(E17="Khoán tháng",0,G17/F17/GIO_CONG*P17*HS_LE))</f>
        <v>0</v>
      </c>
      <c r="V17" s="29" t="n">
        <f aca="false">IF(B17="","",IF(E17="Khoán tháng",0,I17/NGAY_CHIA*Q17))</f>
        <v>0</v>
      </c>
      <c r="W17" s="29" t="n">
        <f aca="false">IF(B17="","",IF(L17="Chung",IF(M17&gt;=CC_NGUONG,CC_TIEN,0),IF(L17="Cơ điện",IF(M17&gt;CD_N2,CD_T2,IF(M17&gt;CD_N1,CD_T1,0)),0))+SUMIFS(DC_TIEN,DC_MA,$B17,DC_LOAI,"Chuyên cần",DC_AP,"Có"))</f>
        <v>0</v>
      </c>
      <c r="X17" s="29" t="n">
        <f aca="false">IF(B17="","",N(K17))</f>
        <v>1000000</v>
      </c>
      <c r="Y17" s="29" t="n">
        <f aca="false">IF(B17="","",SUMIFS(DC_TIEN,DC_MA,$B17,DC_LOAI,"Truy lĩnh",DC_AP,"Có")+SUMIFS(DC_TIEN,DC_MA,$B17,DC_LOAI,"Cộng khác",DC_AP,"Có"))</f>
        <v>0</v>
      </c>
      <c r="Z17" s="30" t="n">
        <f aca="false">IF(B17="","",SUM(R17:Y17))</f>
        <v>13046153.8461538</v>
      </c>
      <c r="AA17" s="29" t="n">
        <f aca="false">IF(B17="","",IF(J17="Có",I17*BHXH_NLD,0))</f>
        <v>437115</v>
      </c>
      <c r="AB17" s="29" t="n">
        <f aca="false">IF(B17="","",SUMIFS(DC_TIEN,DC_MA,$B17,DC_LOAI,"Tạm ứng",DC_AP,"Có"))</f>
        <v>3000000</v>
      </c>
      <c r="AC17" s="29" t="n">
        <f aca="false">IF(B17="","",SUMIFS(DC_TIEN,DC_MA,$B17,DC_LOAI,"Trừ khác",DC_AP,"Có"))</f>
        <v>0</v>
      </c>
      <c r="AD17" s="29" t="n">
        <f aca="false">IF(B17="","",SUMIFS(DC_TIEN,DC_MA,$B17,DC_LOAI,"KPI trừ",DC_AP,"Có"))</f>
        <v>0</v>
      </c>
      <c r="AE17" s="29" t="n">
        <f aca="false">IF(B17="","",SUM(AA17:AD17))</f>
        <v>3437115</v>
      </c>
      <c r="AF17" s="30" t="n">
        <f aca="false">IF(B17="","",ROUNDDOWN(Z17-AE17,-3))</f>
        <v>9609000</v>
      </c>
      <c r="AG17" s="20"/>
    </row>
    <row r="18" customFormat="false" ht="15" hidden="false" customHeight="false" outlineLevel="0" collapsed="false">
      <c r="A18" s="18" t="n">
        <f aca="false">IF(B18="","",ROW()-5)</f>
        <v>13</v>
      </c>
      <c r="B18" s="28" t="str">
        <f aca="false">IF(BCC!B18="","",BCC!B18)</f>
        <v>046208001119</v>
      </c>
      <c r="C18" s="18" t="str">
        <f aca="false">IF(B18="","",IFERROR(INDEX(NV_TEN,MATCH(B18,NV_MA,0)),"MÃ KHÔNG CÓ"))</f>
        <v>Dương Vinh Quang</v>
      </c>
      <c r="D18" s="18" t="str">
        <f aca="false">IF(B18="","",IFERROR(INDEX(NV_PN,MATCH(B18,NV_MA,0)),""))</f>
        <v>APQT</v>
      </c>
      <c r="E18" s="18" t="str">
        <f aca="false">IF(B18="","",IFERROR(INDEX(NV_HT,MATCH(B18,NV_MA,0)),""))</f>
        <v>Thời gian</v>
      </c>
      <c r="F18" s="18" t="n">
        <f aca="false">IF(B18="","",IFERROR(INDEX(NV_CC,MATCH(B18,NV_MA,0)),""))</f>
        <v>26</v>
      </c>
      <c r="G18" s="29" t="n">
        <f aca="false">IF(B18="","",IFERROR(INDEX(NV_CB,MATCH(B18,NV_MA,0)),""))</f>
        <v>8000000</v>
      </c>
      <c r="H18" s="29" t="n">
        <f aca="false">IF(B18="","",IFERROR(INDEX(NV_TV,MATCH(B18,NV_MA,0)),""))</f>
        <v>0</v>
      </c>
      <c r="I18" s="29" t="n">
        <f aca="false">IF(B18="","",IFERROR(INDEX(NV_BHXH,MATCH(B18,NV_MA,0)),""))</f>
        <v>4163000</v>
      </c>
      <c r="J18" s="29" t="str">
        <f aca="false">IF(B18="","",IFERROR(INDEX(NV_DONG,MATCH(B18,NV_MA,0)),""))</f>
        <v>Có</v>
      </c>
      <c r="K18" s="29" t="n">
        <f aca="false">IF(B18="","",IFERROR(INDEX(NV_PC,MATCH(B18,NV_MA,0)),""))</f>
        <v>0</v>
      </c>
      <c r="L18" s="18" t="str">
        <f aca="false">IF(B18="","",IFERROR(INDEX(NV_NHOMCC,MATCH(B18,NV_MA,0)),""))</f>
        <v>Chung</v>
      </c>
      <c r="M18" s="25" t="n">
        <f aca="false">IF(B18="","",IFERROR(INDEX(BCC_CONG,MATCH(B18,BCC_MA,0)),0))</f>
        <v>27</v>
      </c>
      <c r="N18" s="26" t="n">
        <f aca="false">IF(B18="","",IFERROR(INDEX(BCC_PHEP,MATCH(B18,BCC_MA,0)),0))</f>
        <v>0</v>
      </c>
      <c r="O18" s="26" t="n">
        <f aca="false">IF(B18="","",IFERROR(INDEX(BCC_LE,MATCH(B18,BCC_MA,0)),0))</f>
        <v>0</v>
      </c>
      <c r="P18" s="26" t="n">
        <f aca="false">IF(B18="","",IFERROR(INDEX(BCC_LEDL,MATCH(B18,BCC_MA,0)),0))</f>
        <v>0</v>
      </c>
      <c r="Q18" s="26" t="n">
        <f aca="false">IF(B18="","",IFERROR(INDEX(BCC_CD,MATCH(B18,BCC_MA,0)),0))</f>
        <v>0</v>
      </c>
      <c r="R18" s="29" t="n">
        <f aca="false">IF(B18="","",IF(E18="Khoán tháng",G18,IF(E18="Thử việc",IF(N(H18)&gt;0,H18,G18*TL_THUVIEC),G18)/F18*M18))</f>
        <v>8307692.30769231</v>
      </c>
      <c r="S18" s="29" t="n">
        <f aca="false">IF(B18="","",IF(E18="Khoán tháng",0,I18/NGAY_CHIA*N18))</f>
        <v>0</v>
      </c>
      <c r="T18" s="29" t="n">
        <f aca="false">IF(B18="","",IF(E18="Khoán tháng",0,I18/NGAY_CHIA*O18))</f>
        <v>0</v>
      </c>
      <c r="U18" s="29" t="n">
        <f aca="false">IF(B18="","",IF(E18="Khoán tháng",0,G18/F18/GIO_CONG*P18*HS_LE))</f>
        <v>0</v>
      </c>
      <c r="V18" s="29" t="n">
        <f aca="false">IF(B18="","",IF(E18="Khoán tháng",0,I18/NGAY_CHIA*Q18))</f>
        <v>0</v>
      </c>
      <c r="W18" s="29" t="n">
        <f aca="false">IF(B18="","",IF(L18="Chung",IF(M18&gt;=CC_NGUONG,CC_TIEN,0),IF(L18="Cơ điện",IF(M18&gt;CD_N2,CD_T2,IF(M18&gt;CD_N1,CD_T1,0)),0))+SUMIFS(DC_TIEN,DC_MA,$B18,DC_LOAI,"Chuyên cần",DC_AP,"Có"))</f>
        <v>300000</v>
      </c>
      <c r="X18" s="29" t="n">
        <f aca="false">IF(B18="","",N(K18))</f>
        <v>0</v>
      </c>
      <c r="Y18" s="29" t="n">
        <f aca="false">IF(B18="","",SUMIFS(DC_TIEN,DC_MA,$B18,DC_LOAI,"Truy lĩnh",DC_AP,"Có")+SUMIFS(DC_TIEN,DC_MA,$B18,DC_LOAI,"Cộng khác",DC_AP,"Có"))</f>
        <v>0</v>
      </c>
      <c r="Z18" s="30" t="n">
        <f aca="false">IF(B18="","",SUM(R18:Y18))</f>
        <v>8607692.30769231</v>
      </c>
      <c r="AA18" s="29" t="n">
        <f aca="false">IF(B18="","",IF(J18="Có",I18*BHXH_NLD,0))</f>
        <v>437115</v>
      </c>
      <c r="AB18" s="29" t="n">
        <f aca="false">IF(B18="","",SUMIFS(DC_TIEN,DC_MA,$B18,DC_LOAI,"Tạm ứng",DC_AP,"Có"))</f>
        <v>0</v>
      </c>
      <c r="AC18" s="29" t="n">
        <f aca="false">IF(B18="","",SUMIFS(DC_TIEN,DC_MA,$B18,DC_LOAI,"Trừ khác",DC_AP,"Có"))</f>
        <v>0</v>
      </c>
      <c r="AD18" s="29" t="n">
        <f aca="false">IF(B18="","",SUMIFS(DC_TIEN,DC_MA,$B18,DC_LOAI,"KPI trừ",DC_AP,"Có"))</f>
        <v>0</v>
      </c>
      <c r="AE18" s="29" t="n">
        <f aca="false">IF(B18="","",SUM(AA18:AD18))</f>
        <v>437115</v>
      </c>
      <c r="AF18" s="30" t="n">
        <f aca="false">IF(B18="","",ROUNDDOWN(Z18-AE18,-3))</f>
        <v>8170000</v>
      </c>
      <c r="AG18" s="20"/>
    </row>
    <row r="19" customFormat="false" ht="15" hidden="false" customHeight="false" outlineLevel="0" collapsed="false">
      <c r="A19" s="18" t="n">
        <f aca="false">IF(B19="","",ROW()-5)</f>
        <v>14</v>
      </c>
      <c r="B19" s="28" t="str">
        <f aca="false">IF(BCC!B19="","",BCC!B19)</f>
        <v>045086003213</v>
      </c>
      <c r="C19" s="18" t="str">
        <f aca="false">IF(B19="","",IFERROR(INDEX(NV_TEN,MATCH(B19,NV_MA,0)),"MÃ KHÔNG CÓ"))</f>
        <v>Hoàng Xuân Quang</v>
      </c>
      <c r="D19" s="18" t="str">
        <f aca="false">IF(B19="","",IFERROR(INDEX(NV_PN,MATCH(B19,NV_MA,0)),""))</f>
        <v>HAQT</v>
      </c>
      <c r="E19" s="18" t="str">
        <f aca="false">IF(B19="","",IFERROR(INDEX(NV_HT,MATCH(B19,NV_MA,0)),""))</f>
        <v>Thời gian</v>
      </c>
      <c r="F19" s="18" t="n">
        <f aca="false">IF(B19="","",IFERROR(INDEX(NV_CC,MATCH(B19,NV_MA,0)),""))</f>
        <v>26</v>
      </c>
      <c r="G19" s="29" t="n">
        <f aca="false">IF(B19="","",IFERROR(INDEX(NV_CB,MATCH(B19,NV_MA,0)),""))</f>
        <v>9832000</v>
      </c>
      <c r="H19" s="29" t="n">
        <f aca="false">IF(B19="","",IFERROR(INDEX(NV_TV,MATCH(B19,NV_MA,0)),""))</f>
        <v>0</v>
      </c>
      <c r="I19" s="29" t="n">
        <f aca="false">IF(B19="","",IFERROR(INDEX(NV_BHXH,MATCH(B19,NV_MA,0)),""))</f>
        <v>4920000</v>
      </c>
      <c r="J19" s="29" t="str">
        <f aca="false">IF(B19="","",IFERROR(INDEX(NV_DONG,MATCH(B19,NV_MA,0)),""))</f>
        <v>Có</v>
      </c>
      <c r="K19" s="29" t="n">
        <f aca="false">IF(B19="","",IFERROR(INDEX(NV_PC,MATCH(B19,NV_MA,0)),""))</f>
        <v>2000000</v>
      </c>
      <c r="L19" s="18" t="str">
        <f aca="false">IF(B19="","",IFERROR(INDEX(NV_NHOMCC,MATCH(B19,NV_MA,0)),""))</f>
        <v>Không</v>
      </c>
      <c r="M19" s="25" t="n">
        <f aca="false">IF(B19="","",IFERROR(INDEX(BCC_CONG,MATCH(B19,BCC_MA,0)),0))</f>
        <v>35</v>
      </c>
      <c r="N19" s="26" t="n">
        <f aca="false">IF(B19="","",IFERROR(INDEX(BCC_PHEP,MATCH(B19,BCC_MA,0)),0))</f>
        <v>0</v>
      </c>
      <c r="O19" s="26" t="n">
        <f aca="false">IF(B19="","",IFERROR(INDEX(BCC_LE,MATCH(B19,BCC_MA,0)),0))</f>
        <v>0</v>
      </c>
      <c r="P19" s="26" t="n">
        <f aca="false">IF(B19="","",IFERROR(INDEX(BCC_LEDL,MATCH(B19,BCC_MA,0)),0))</f>
        <v>0</v>
      </c>
      <c r="Q19" s="26" t="n">
        <f aca="false">IF(B19="","",IFERROR(INDEX(BCC_CD,MATCH(B19,BCC_MA,0)),0))</f>
        <v>0</v>
      </c>
      <c r="R19" s="29" t="n">
        <f aca="false">IF(B19="","",IF(E19="Khoán tháng",G19,IF(E19="Thử việc",IF(N(H19)&gt;0,H19,G19*TL_THUVIEC),G19)/F19*M19))</f>
        <v>13235384.6153846</v>
      </c>
      <c r="S19" s="29" t="n">
        <f aca="false">IF(B19="","",IF(E19="Khoán tháng",0,I19/NGAY_CHIA*N19))</f>
        <v>0</v>
      </c>
      <c r="T19" s="29" t="n">
        <f aca="false">IF(B19="","",IF(E19="Khoán tháng",0,I19/NGAY_CHIA*O19))</f>
        <v>0</v>
      </c>
      <c r="U19" s="29" t="n">
        <f aca="false">IF(B19="","",IF(E19="Khoán tháng",0,G19/F19/GIO_CONG*P19*HS_LE))</f>
        <v>0</v>
      </c>
      <c r="V19" s="29" t="n">
        <f aca="false">IF(B19="","",IF(E19="Khoán tháng",0,I19/NGAY_CHIA*Q19))</f>
        <v>0</v>
      </c>
      <c r="W19" s="29" t="n">
        <f aca="false">IF(B19="","",IF(L19="Chung",IF(M19&gt;=CC_NGUONG,CC_TIEN,0),IF(L19="Cơ điện",IF(M19&gt;CD_N2,CD_T2,IF(M19&gt;CD_N1,CD_T1,0)),0))+SUMIFS(DC_TIEN,DC_MA,$B19,DC_LOAI,"Chuyên cần",DC_AP,"Có"))</f>
        <v>0</v>
      </c>
      <c r="X19" s="29" t="n">
        <f aca="false">IF(B19="","",N(K19))</f>
        <v>2000000</v>
      </c>
      <c r="Y19" s="29" t="n">
        <f aca="false">IF(B19="","",SUMIFS(DC_TIEN,DC_MA,$B19,DC_LOAI,"Truy lĩnh",DC_AP,"Có")+SUMIFS(DC_TIEN,DC_MA,$B19,DC_LOAI,"Cộng khác",DC_AP,"Có"))</f>
        <v>0</v>
      </c>
      <c r="Z19" s="30" t="n">
        <f aca="false">IF(B19="","",SUM(R19:Y19))</f>
        <v>15235384.6153846</v>
      </c>
      <c r="AA19" s="29" t="n">
        <f aca="false">IF(B19="","",IF(J19="Có",I19*BHXH_NLD,0))</f>
        <v>516600</v>
      </c>
      <c r="AB19" s="29" t="n">
        <f aca="false">IF(B19="","",SUMIFS(DC_TIEN,DC_MA,$B19,DC_LOAI,"Tạm ứng",DC_AP,"Có"))</f>
        <v>0</v>
      </c>
      <c r="AC19" s="29" t="n">
        <f aca="false">IF(B19="","",SUMIFS(DC_TIEN,DC_MA,$B19,DC_LOAI,"Trừ khác",DC_AP,"Có"))</f>
        <v>0</v>
      </c>
      <c r="AD19" s="29" t="n">
        <f aca="false">IF(B19="","",SUMIFS(DC_TIEN,DC_MA,$B19,DC_LOAI,"KPI trừ",DC_AP,"Có"))</f>
        <v>0</v>
      </c>
      <c r="AE19" s="29" t="n">
        <f aca="false">IF(B19="","",SUM(AA19:AD19))</f>
        <v>516600</v>
      </c>
      <c r="AF19" s="30" t="n">
        <f aca="false">IF(B19="","",ROUNDDOWN(Z19-AE19,-3))</f>
        <v>14718000</v>
      </c>
      <c r="AG19" s="20"/>
    </row>
    <row r="20" customFormat="false" ht="15" hidden="false" customHeight="false" outlineLevel="0" collapsed="false">
      <c r="A20" s="18" t="n">
        <f aca="false">IF(B20="","",ROW()-5)</f>
        <v>15</v>
      </c>
      <c r="B20" s="28" t="str">
        <f aca="false">IF(BCC!B20="","",BCC!B20)</f>
        <v>044058002123</v>
      </c>
      <c r="C20" s="18" t="str">
        <f aca="false">IF(B20="","",IFERROR(INDEX(NV_TEN,MATCH(B20,NV_MA,0)),"MÃ KHÔNG CÓ"))</f>
        <v>Trần Văn Khai</v>
      </c>
      <c r="D20" s="18" t="str">
        <f aca="false">IF(B20="","",IFERROR(INDEX(NV_PN,MATCH(B20,NV_MA,0)),""))</f>
        <v>HAQT</v>
      </c>
      <c r="E20" s="18" t="str">
        <f aca="false">IF(B20="","",IFERROR(INDEX(NV_HT,MATCH(B20,NV_MA,0)),""))</f>
        <v>Khoán tháng</v>
      </c>
      <c r="F20" s="18" t="n">
        <f aca="false">IF(B20="","",IFERROR(INDEX(NV_CC,MATCH(B20,NV_MA,0)),""))</f>
        <v>26</v>
      </c>
      <c r="G20" s="29" t="n">
        <f aca="false">IF(B20="","",IFERROR(INDEX(NV_CB,MATCH(B20,NV_MA,0)),""))</f>
        <v>6000000</v>
      </c>
      <c r="H20" s="29" t="n">
        <f aca="false">IF(B20="","",IFERROR(INDEX(NV_TV,MATCH(B20,NV_MA,0)),""))</f>
        <v>0</v>
      </c>
      <c r="I20" s="29" t="n">
        <f aca="false">IF(B20="","",IFERROR(INDEX(NV_BHXH,MATCH(B20,NV_MA,0)),""))</f>
        <v>0</v>
      </c>
      <c r="J20" s="29" t="str">
        <f aca="false">IF(B20="","",IFERROR(INDEX(NV_DONG,MATCH(B20,NV_MA,0)),""))</f>
        <v>Không</v>
      </c>
      <c r="K20" s="29" t="n">
        <f aca="false">IF(B20="","",IFERROR(INDEX(NV_PC,MATCH(B20,NV_MA,0)),""))</f>
        <v>1260000</v>
      </c>
      <c r="L20" s="18" t="str">
        <f aca="false">IF(B20="","",IFERROR(INDEX(NV_NHOMCC,MATCH(B20,NV_MA,0)),""))</f>
        <v>Không</v>
      </c>
      <c r="M20" s="25" t="n">
        <f aca="false">IF(B20="","",IFERROR(INDEX(BCC_CONG,MATCH(B20,BCC_MA,0)),0))</f>
        <v>31</v>
      </c>
      <c r="N20" s="26" t="n">
        <f aca="false">IF(B20="","",IFERROR(INDEX(BCC_PHEP,MATCH(B20,BCC_MA,0)),0))</f>
        <v>0</v>
      </c>
      <c r="O20" s="26" t="n">
        <f aca="false">IF(B20="","",IFERROR(INDEX(BCC_LE,MATCH(B20,BCC_MA,0)),0))</f>
        <v>0</v>
      </c>
      <c r="P20" s="26" t="n">
        <f aca="false">IF(B20="","",IFERROR(INDEX(BCC_LEDL,MATCH(B20,BCC_MA,0)),0))</f>
        <v>0</v>
      </c>
      <c r="Q20" s="26" t="n">
        <f aca="false">IF(B20="","",IFERROR(INDEX(BCC_CD,MATCH(B20,BCC_MA,0)),0))</f>
        <v>0</v>
      </c>
      <c r="R20" s="29" t="n">
        <f aca="false">IF(B20="","",IF(E20="Khoán tháng",G20,IF(E20="Thử việc",IF(N(H20)&gt;0,H20,G20*TL_THUVIEC),G20)/F20*M20))</f>
        <v>6000000</v>
      </c>
      <c r="S20" s="29" t="n">
        <f aca="false">IF(B20="","",IF(E20="Khoán tháng",0,I20/NGAY_CHIA*N20))</f>
        <v>0</v>
      </c>
      <c r="T20" s="29" t="n">
        <f aca="false">IF(B20="","",IF(E20="Khoán tháng",0,I20/NGAY_CHIA*O20))</f>
        <v>0</v>
      </c>
      <c r="U20" s="29" t="n">
        <f aca="false">IF(B20="","",IF(E20="Khoán tháng",0,G20/F20/GIO_CONG*P20*HS_LE))</f>
        <v>0</v>
      </c>
      <c r="V20" s="29" t="n">
        <f aca="false">IF(B20="","",IF(E20="Khoán tháng",0,I20/NGAY_CHIA*Q20))</f>
        <v>0</v>
      </c>
      <c r="W20" s="29" t="n">
        <f aca="false">IF(B20="","",IF(L20="Chung",IF(M20&gt;=CC_NGUONG,CC_TIEN,0),IF(L20="Cơ điện",IF(M20&gt;CD_N2,CD_T2,IF(M20&gt;CD_N1,CD_T1,0)),0))+SUMIFS(DC_TIEN,DC_MA,$B20,DC_LOAI,"Chuyên cần",DC_AP,"Có"))</f>
        <v>0</v>
      </c>
      <c r="X20" s="29" t="n">
        <f aca="false">IF(B20="","",N(K20))</f>
        <v>1260000</v>
      </c>
      <c r="Y20" s="29" t="n">
        <f aca="false">IF(B20="","",SUMIFS(DC_TIEN,DC_MA,$B20,DC_LOAI,"Truy lĩnh",DC_AP,"Có")+SUMIFS(DC_TIEN,DC_MA,$B20,DC_LOAI,"Cộng khác",DC_AP,"Có"))</f>
        <v>0</v>
      </c>
      <c r="Z20" s="30" t="n">
        <f aca="false">IF(B20="","",SUM(R20:Y20))</f>
        <v>7260000</v>
      </c>
      <c r="AA20" s="29" t="n">
        <f aca="false">IF(B20="","",IF(J20="Có",I20*BHXH_NLD,0))</f>
        <v>0</v>
      </c>
      <c r="AB20" s="29" t="n">
        <f aca="false">IF(B20="","",SUMIFS(DC_TIEN,DC_MA,$B20,DC_LOAI,"Tạm ứng",DC_AP,"Có"))</f>
        <v>0</v>
      </c>
      <c r="AC20" s="29" t="n">
        <f aca="false">IF(B20="","",SUMIFS(DC_TIEN,DC_MA,$B20,DC_LOAI,"Trừ khác",DC_AP,"Có"))</f>
        <v>0</v>
      </c>
      <c r="AD20" s="29" t="n">
        <f aca="false">IF(B20="","",SUMIFS(DC_TIEN,DC_MA,$B20,DC_LOAI,"KPI trừ",DC_AP,"Có"))</f>
        <v>0</v>
      </c>
      <c r="AE20" s="29" t="n">
        <f aca="false">IF(B20="","",SUM(AA20:AD20))</f>
        <v>0</v>
      </c>
      <c r="AF20" s="30" t="n">
        <f aca="false">IF(B20="","",ROUNDDOWN(Z20-AE20,-3))</f>
        <v>7260000</v>
      </c>
      <c r="AG20" s="20"/>
    </row>
    <row r="21" customFormat="false" ht="15" hidden="false" customHeight="false" outlineLevel="0" collapsed="false">
      <c r="A21" s="18" t="n">
        <f aca="false">IF(B21="","",ROW()-5)</f>
        <v>16</v>
      </c>
      <c r="B21" s="28" t="str">
        <f aca="false">IF(BCC!B21="","",BCC!B21)</f>
        <v>045089005452</v>
      </c>
      <c r="C21" s="18" t="str">
        <f aca="false">IF(B21="","",IFERROR(INDEX(NV_TEN,MATCH(B21,NV_MA,0)),"MÃ KHÔNG CÓ"))</f>
        <v>Lê Văn Dũng</v>
      </c>
      <c r="D21" s="18" t="str">
        <f aca="false">IF(B21="","",IFERROR(INDEX(NV_PN,MATCH(B21,NV_MA,0)),""))</f>
        <v>HAQT</v>
      </c>
      <c r="E21" s="18" t="str">
        <f aca="false">IF(B21="","",IFERROR(INDEX(NV_HT,MATCH(B21,NV_MA,0)),""))</f>
        <v>Khoán tháng</v>
      </c>
      <c r="F21" s="18" t="n">
        <f aca="false">IF(B21="","",IFERROR(INDEX(NV_CC,MATCH(B21,NV_MA,0)),""))</f>
        <v>26</v>
      </c>
      <c r="G21" s="29" t="n">
        <f aca="false">IF(B21="","",IFERROR(INDEX(NV_CB,MATCH(B21,NV_MA,0)),""))</f>
        <v>6000000</v>
      </c>
      <c r="H21" s="29" t="n">
        <f aca="false">IF(B21="","",IFERROR(INDEX(NV_TV,MATCH(B21,NV_MA,0)),""))</f>
        <v>0</v>
      </c>
      <c r="I21" s="29" t="n">
        <f aca="false">IF(B21="","",IFERROR(INDEX(NV_BHXH,MATCH(B21,NV_MA,0)),""))</f>
        <v>0</v>
      </c>
      <c r="J21" s="29" t="str">
        <f aca="false">IF(B21="","",IFERROR(INDEX(NV_DONG,MATCH(B21,NV_MA,0)),""))</f>
        <v>Không</v>
      </c>
      <c r="K21" s="29" t="n">
        <f aca="false">IF(B21="","",IFERROR(INDEX(NV_PC,MATCH(B21,NV_MA,0)),""))</f>
        <v>260000</v>
      </c>
      <c r="L21" s="18" t="str">
        <f aca="false">IF(B21="","",IFERROR(INDEX(NV_NHOMCC,MATCH(B21,NV_MA,0)),""))</f>
        <v>Không</v>
      </c>
      <c r="M21" s="25" t="n">
        <f aca="false">IF(B21="","",IFERROR(INDEX(BCC_CONG,MATCH(B21,BCC_MA,0)),0))</f>
        <v>31</v>
      </c>
      <c r="N21" s="26" t="n">
        <f aca="false">IF(B21="","",IFERROR(INDEX(BCC_PHEP,MATCH(B21,BCC_MA,0)),0))</f>
        <v>0</v>
      </c>
      <c r="O21" s="26" t="n">
        <f aca="false">IF(B21="","",IFERROR(INDEX(BCC_LE,MATCH(B21,BCC_MA,0)),0))</f>
        <v>0</v>
      </c>
      <c r="P21" s="26" t="n">
        <f aca="false">IF(B21="","",IFERROR(INDEX(BCC_LEDL,MATCH(B21,BCC_MA,0)),0))</f>
        <v>0</v>
      </c>
      <c r="Q21" s="26" t="n">
        <f aca="false">IF(B21="","",IFERROR(INDEX(BCC_CD,MATCH(B21,BCC_MA,0)),0))</f>
        <v>0</v>
      </c>
      <c r="R21" s="29" t="n">
        <f aca="false">IF(B21="","",IF(E21="Khoán tháng",G21,IF(E21="Thử việc",IF(N(H21)&gt;0,H21,G21*TL_THUVIEC),G21)/F21*M21))</f>
        <v>6000000</v>
      </c>
      <c r="S21" s="29" t="n">
        <f aca="false">IF(B21="","",IF(E21="Khoán tháng",0,I21/NGAY_CHIA*N21))</f>
        <v>0</v>
      </c>
      <c r="T21" s="29" t="n">
        <f aca="false">IF(B21="","",IF(E21="Khoán tháng",0,I21/NGAY_CHIA*O21))</f>
        <v>0</v>
      </c>
      <c r="U21" s="29" t="n">
        <f aca="false">IF(B21="","",IF(E21="Khoán tháng",0,G21/F21/GIO_CONG*P21*HS_LE))</f>
        <v>0</v>
      </c>
      <c r="V21" s="29" t="n">
        <f aca="false">IF(B21="","",IF(E21="Khoán tháng",0,I21/NGAY_CHIA*Q21))</f>
        <v>0</v>
      </c>
      <c r="W21" s="29" t="n">
        <f aca="false">IF(B21="","",IF(L21="Chung",IF(M21&gt;=CC_NGUONG,CC_TIEN,0),IF(L21="Cơ điện",IF(M21&gt;CD_N2,CD_T2,IF(M21&gt;CD_N1,CD_T1,0)),0))+SUMIFS(DC_TIEN,DC_MA,$B21,DC_LOAI,"Chuyên cần",DC_AP,"Có"))</f>
        <v>0</v>
      </c>
      <c r="X21" s="29" t="n">
        <f aca="false">IF(B21="","",N(K21))</f>
        <v>260000</v>
      </c>
      <c r="Y21" s="29" t="n">
        <f aca="false">IF(B21="","",SUMIFS(DC_TIEN,DC_MA,$B21,DC_LOAI,"Truy lĩnh",DC_AP,"Có")+SUMIFS(DC_TIEN,DC_MA,$B21,DC_LOAI,"Cộng khác",DC_AP,"Có"))</f>
        <v>0</v>
      </c>
      <c r="Z21" s="30" t="n">
        <f aca="false">IF(B21="","",SUM(R21:Y21))</f>
        <v>6260000</v>
      </c>
      <c r="AA21" s="29" t="n">
        <f aca="false">IF(B21="","",IF(J21="Có",I21*BHXH_NLD,0))</f>
        <v>0</v>
      </c>
      <c r="AB21" s="29" t="n">
        <f aca="false">IF(B21="","",SUMIFS(DC_TIEN,DC_MA,$B21,DC_LOAI,"Tạm ứng",DC_AP,"Có"))</f>
        <v>0</v>
      </c>
      <c r="AC21" s="29" t="n">
        <f aca="false">IF(B21="","",SUMIFS(DC_TIEN,DC_MA,$B21,DC_LOAI,"Trừ khác",DC_AP,"Có"))</f>
        <v>0</v>
      </c>
      <c r="AD21" s="29" t="n">
        <f aca="false">IF(B21="","",SUMIFS(DC_TIEN,DC_MA,$B21,DC_LOAI,"KPI trừ",DC_AP,"Có"))</f>
        <v>0</v>
      </c>
      <c r="AE21" s="29" t="n">
        <f aca="false">IF(B21="","",SUM(AA21:AD21))</f>
        <v>0</v>
      </c>
      <c r="AF21" s="30" t="n">
        <f aca="false">IF(B21="","",ROUNDDOWN(Z21-AE21,-3))</f>
        <v>6260000</v>
      </c>
      <c r="AG21" s="20"/>
    </row>
    <row r="22" customFormat="false" ht="15" hidden="false" customHeight="false" outlineLevel="0" collapsed="false">
      <c r="A22" s="18" t="n">
        <f aca="false">IF(B22="","",ROW()-5)</f>
        <v>17</v>
      </c>
      <c r="B22" s="28" t="str">
        <f aca="false">IF(BCC!B22="","",BCC!B22)</f>
        <v>TV_MAU_01</v>
      </c>
      <c r="C22" s="18" t="str">
        <f aca="false">IF(B22="","",IFERROR(INDEX(NV_TEN,MATCH(B22,NV_MA,0)),"MÃ KHÔNG CÓ"))</f>
        <v>(Ví dụ) Nguyễn Văn B</v>
      </c>
      <c r="D22" s="18" t="str">
        <f aca="false">IF(B22="","",IFERROR(INDEX(NV_PN,MATCH(B22,NV_MA,0)),""))</f>
        <v>HAPD</v>
      </c>
      <c r="E22" s="18" t="str">
        <f aca="false">IF(B22="","",IFERROR(INDEX(NV_HT,MATCH(B22,NV_MA,0)),""))</f>
        <v>Thử việc</v>
      </c>
      <c r="F22" s="18" t="n">
        <f aca="false">IF(B22="","",IFERROR(INDEX(NV_CC,MATCH(B22,NV_MA,0)),""))</f>
        <v>26</v>
      </c>
      <c r="G22" s="29" t="n">
        <f aca="false">IF(B22="","",IFERROR(INDEX(NV_CB,MATCH(B22,NV_MA,0)),""))</f>
        <v>9000000</v>
      </c>
      <c r="H22" s="29" t="n">
        <f aca="false">IF(B22="","",IFERROR(INDEX(NV_TV,MATCH(B22,NV_MA,0)),""))</f>
        <v>0</v>
      </c>
      <c r="I22" s="29" t="n">
        <f aca="false">IF(B22="","",IFERROR(INDEX(NV_BHXH,MATCH(B22,NV_MA,0)),""))</f>
        <v>0</v>
      </c>
      <c r="J22" s="29" t="str">
        <f aca="false">IF(B22="","",IFERROR(INDEX(NV_DONG,MATCH(B22,NV_MA,0)),""))</f>
        <v>Không</v>
      </c>
      <c r="K22" s="29" t="n">
        <f aca="false">IF(B22="","",IFERROR(INDEX(NV_PC,MATCH(B22,NV_MA,0)),""))</f>
        <v>0</v>
      </c>
      <c r="L22" s="18" t="str">
        <f aca="false">IF(B22="","",IFERROR(INDEX(NV_NHOMCC,MATCH(B22,NV_MA,0)),""))</f>
        <v>Cơ điện</v>
      </c>
      <c r="M22" s="25" t="n">
        <f aca="false">IF(B22="","",IFERROR(INDEX(BCC_CONG,MATCH(B22,BCC_MA,0)),0))</f>
        <v>18.5</v>
      </c>
      <c r="N22" s="26" t="n">
        <f aca="false">IF(B22="","",IFERROR(INDEX(BCC_PHEP,MATCH(B22,BCC_MA,0)),0))</f>
        <v>1</v>
      </c>
      <c r="O22" s="26" t="n">
        <f aca="false">IF(B22="","",IFERROR(INDEX(BCC_LE,MATCH(B22,BCC_MA,0)),0))</f>
        <v>1</v>
      </c>
      <c r="P22" s="26" t="n">
        <f aca="false">IF(B22="","",IFERROR(INDEX(BCC_LEDL,MATCH(B22,BCC_MA,0)),0))</f>
        <v>4</v>
      </c>
      <c r="Q22" s="26" t="n">
        <f aca="false">IF(B22="","",IFERROR(INDEX(BCC_CD,MATCH(B22,BCC_MA,0)),0))</f>
        <v>0.5</v>
      </c>
      <c r="R22" s="29" t="n">
        <f aca="false">IF(B22="","",IF(E22="Khoán tháng",G22,IF(E22="Thử việc",IF(N(H22)&gt;0,H22,G22*TL_THUVIEC),G22)/F22*M22))</f>
        <v>5443269.23076923</v>
      </c>
      <c r="S22" s="29" t="n">
        <f aca="false">IF(B22="","",IF(E22="Khoán tháng",0,I22/NGAY_CHIA*N22))</f>
        <v>0</v>
      </c>
      <c r="T22" s="29" t="n">
        <f aca="false">IF(B22="","",IF(E22="Khoán tháng",0,I22/NGAY_CHIA*O22))</f>
        <v>0</v>
      </c>
      <c r="U22" s="29" t="n">
        <f aca="false">IF(B22="","",IF(E22="Khoán tháng",0,G22/F22/GIO_CONG*P22*HS_LE))</f>
        <v>259615.384615385</v>
      </c>
      <c r="V22" s="29" t="n">
        <f aca="false">IF(B22="","",IF(E22="Khoán tháng",0,I22/NGAY_CHIA*Q22))</f>
        <v>0</v>
      </c>
      <c r="W22" s="29" t="n">
        <f aca="false">IF(B22="","",IF(L22="Chung",IF(M22&gt;=CC_NGUONG,CC_TIEN,0),IF(L22="Cơ điện",IF(M22&gt;CD_N2,CD_T2,IF(M22&gt;CD_N1,CD_T1,0)),0))+SUMIFS(DC_TIEN,DC_MA,$B22,DC_LOAI,"Chuyên cần",DC_AP,"Có"))</f>
        <v>0</v>
      </c>
      <c r="X22" s="29" t="n">
        <f aca="false">IF(B22="","",N(K22))</f>
        <v>0</v>
      </c>
      <c r="Y22" s="29" t="n">
        <f aca="false">IF(B22="","",SUMIFS(DC_TIEN,DC_MA,$B22,DC_LOAI,"Truy lĩnh",DC_AP,"Có")+SUMIFS(DC_TIEN,DC_MA,$B22,DC_LOAI,"Cộng khác",DC_AP,"Có"))</f>
        <v>0</v>
      </c>
      <c r="Z22" s="30" t="n">
        <f aca="false">IF(B22="","",SUM(R22:Y22))</f>
        <v>5702884.61538462</v>
      </c>
      <c r="AA22" s="29" t="n">
        <f aca="false">IF(B22="","",IF(J22="Có",I22*BHXH_NLD,0))</f>
        <v>0</v>
      </c>
      <c r="AB22" s="29" t="n">
        <f aca="false">IF(B22="","",SUMIFS(DC_TIEN,DC_MA,$B22,DC_LOAI,"Tạm ứng",DC_AP,"Có"))</f>
        <v>0</v>
      </c>
      <c r="AC22" s="29" t="n">
        <f aca="false">IF(B22="","",SUMIFS(DC_TIEN,DC_MA,$B22,DC_LOAI,"Trừ khác",DC_AP,"Có"))</f>
        <v>0</v>
      </c>
      <c r="AD22" s="29" t="n">
        <f aca="false">IF(B22="","",SUMIFS(DC_TIEN,DC_MA,$B22,DC_LOAI,"KPI trừ",DC_AP,"Có"))</f>
        <v>0</v>
      </c>
      <c r="AE22" s="29" t="n">
        <f aca="false">IF(B22="","",SUM(AA22:AD22))</f>
        <v>0</v>
      </c>
      <c r="AF22" s="30" t="n">
        <f aca="false">IF(B22="","",ROUNDDOWN(Z22-AE22,-3))</f>
        <v>5702000</v>
      </c>
      <c r="AG22" s="20"/>
    </row>
    <row r="23" customFormat="false" ht="15" hidden="false" customHeight="false" outlineLevel="0" collapsed="false">
      <c r="A23" s="18" t="str">
        <f aca="false">IF(B23="","",ROW()-5)</f>
        <v/>
      </c>
      <c r="B23" s="28" t="str">
        <f aca="false">IF(BCC!B23="","",BCC!B23)</f>
        <v/>
      </c>
      <c r="C23" s="18" t="str">
        <f aca="false">IF(B23="","",IFERROR(INDEX(NV_TEN,MATCH(B23,NV_MA,0)),"MÃ KHÔNG CÓ"))</f>
        <v/>
      </c>
      <c r="D23" s="18" t="str">
        <f aca="false">IF(B23="","",IFERROR(INDEX(NV_PN,MATCH(B23,NV_MA,0)),""))</f>
        <v/>
      </c>
      <c r="E23" s="18" t="str">
        <f aca="false">IF(B23="","",IFERROR(INDEX(NV_HT,MATCH(B23,NV_MA,0)),""))</f>
        <v/>
      </c>
      <c r="F23" s="18" t="str">
        <f aca="false">IF(B23="","",IFERROR(INDEX(NV_CC,MATCH(B23,NV_MA,0)),""))</f>
        <v/>
      </c>
      <c r="G23" s="29" t="str">
        <f aca="false">IF(B23="","",IFERROR(INDEX(NV_CB,MATCH(B23,NV_MA,0)),""))</f>
        <v/>
      </c>
      <c r="H23" s="29" t="str">
        <f aca="false">IF(B23="","",IFERROR(INDEX(NV_TV,MATCH(B23,NV_MA,0)),""))</f>
        <v/>
      </c>
      <c r="I23" s="29" t="str">
        <f aca="false">IF(B23="","",IFERROR(INDEX(NV_BHXH,MATCH(B23,NV_MA,0)),""))</f>
        <v/>
      </c>
      <c r="J23" s="29" t="str">
        <f aca="false">IF(B23="","",IFERROR(INDEX(NV_DONG,MATCH(B23,NV_MA,0)),""))</f>
        <v/>
      </c>
      <c r="K23" s="29" t="str">
        <f aca="false">IF(B23="","",IFERROR(INDEX(NV_PC,MATCH(B23,NV_MA,0)),""))</f>
        <v/>
      </c>
      <c r="L23" s="18" t="str">
        <f aca="false">IF(B23="","",IFERROR(INDEX(NV_NHOMCC,MATCH(B23,NV_MA,0)),""))</f>
        <v/>
      </c>
      <c r="M23" s="25" t="str">
        <f aca="false">IF(B23="","",IFERROR(INDEX(BCC_CONG,MATCH(B23,BCC_MA,0)),0))</f>
        <v/>
      </c>
      <c r="N23" s="18" t="str">
        <f aca="false">IF(B23="","",IFERROR(INDEX(BCC_PHEP,MATCH(B23,BCC_MA,0)),0))</f>
        <v/>
      </c>
      <c r="O23" s="18" t="str">
        <f aca="false">IF(B23="","",IFERROR(INDEX(BCC_LE,MATCH(B23,BCC_MA,0)),0))</f>
        <v/>
      </c>
      <c r="P23" s="18" t="str">
        <f aca="false">IF(B23="","",IFERROR(INDEX(BCC_LEDL,MATCH(B23,BCC_MA,0)),0))</f>
        <v/>
      </c>
      <c r="Q23" s="18" t="str">
        <f aca="false">IF(B23="","",IFERROR(INDEX(BCC_CD,MATCH(B23,BCC_MA,0)),0))</f>
        <v/>
      </c>
      <c r="R23" s="29" t="str">
        <f aca="false">IF(B23="","",IF(E23="Khoán tháng",G23,IF(E23="Thử việc",IF(N(H23)&gt;0,H23,G23*TL_THUVIEC),G23)/F23*M23))</f>
        <v/>
      </c>
      <c r="S23" s="29" t="str">
        <f aca="false">IF(B23="","",IF(E23="Khoán tháng",0,I23/NGAY_CHIA*N23))</f>
        <v/>
      </c>
      <c r="T23" s="29" t="str">
        <f aca="false">IF(B23="","",IF(E23="Khoán tháng",0,I23/NGAY_CHIA*O23))</f>
        <v/>
      </c>
      <c r="U23" s="29" t="str">
        <f aca="false">IF(B23="","",IF(E23="Khoán tháng",0,G23/F23/GIO_CONG*P23*HS_LE))</f>
        <v/>
      </c>
      <c r="V23" s="29" t="str">
        <f aca="false">IF(B23="","",IF(E23="Khoán tháng",0,I23/NGAY_CHIA*Q23))</f>
        <v/>
      </c>
      <c r="W23" s="29" t="str">
        <f aca="false">IF(B23="","",IF(L23="Chung",IF(M23&gt;=CC_NGUONG,CC_TIEN,0),IF(L23="Cơ điện",IF(M23&gt;CD_N2,CD_T2,IF(M23&gt;CD_N1,CD_T1,0)),0))+SUMIFS(DC_TIEN,DC_MA,$B23,DC_LOAI,"Chuyên cần",DC_AP,"Có"))</f>
        <v/>
      </c>
      <c r="X23" s="29" t="str">
        <f aca="false">IF(B23="","",N(K23))</f>
        <v/>
      </c>
      <c r="Y23" s="29" t="str">
        <f aca="false">IF(B23="","",SUMIFS(DC_TIEN,DC_MA,$B23,DC_LOAI,"Truy lĩnh",DC_AP,"Có")+SUMIFS(DC_TIEN,DC_MA,$B23,DC_LOAI,"Cộng khác",DC_AP,"Có"))</f>
        <v/>
      </c>
      <c r="Z23" s="30" t="str">
        <f aca="false">IF(B23="","",SUM(R23:Y23))</f>
        <v/>
      </c>
      <c r="AA23" s="29" t="str">
        <f aca="false">IF(B23="","",IF(J23="Có",I23*BHXH_NLD,0))</f>
        <v/>
      </c>
      <c r="AB23" s="29" t="str">
        <f aca="false">IF(B23="","",SUMIFS(DC_TIEN,DC_MA,$B23,DC_LOAI,"Tạm ứng",DC_AP,"Có"))</f>
        <v/>
      </c>
      <c r="AC23" s="29" t="str">
        <f aca="false">IF(B23="","",SUMIFS(DC_TIEN,DC_MA,$B23,DC_LOAI,"Trừ khác",DC_AP,"Có"))</f>
        <v/>
      </c>
      <c r="AD23" s="29" t="str">
        <f aca="false">IF(B23="","",SUMIFS(DC_TIEN,DC_MA,$B23,DC_LOAI,"KPI trừ",DC_AP,"Có"))</f>
        <v/>
      </c>
      <c r="AE23" s="29" t="str">
        <f aca="false">IF(B23="","",SUM(AA23:AD23))</f>
        <v/>
      </c>
      <c r="AF23" s="30" t="str">
        <f aca="false">IF(B23="","",ROUNDDOWN(Z23-AE23,-3))</f>
        <v/>
      </c>
      <c r="AG23" s="20"/>
    </row>
    <row r="24" customFormat="false" ht="15" hidden="false" customHeight="false" outlineLevel="0" collapsed="false">
      <c r="A24" s="18" t="str">
        <f aca="false">IF(B24="","",ROW()-5)</f>
        <v/>
      </c>
      <c r="B24" s="28" t="str">
        <f aca="false">IF(BCC!B24="","",BCC!B24)</f>
        <v/>
      </c>
      <c r="C24" s="18" t="str">
        <f aca="false">IF(B24="","",IFERROR(INDEX(NV_TEN,MATCH(B24,NV_MA,0)),"MÃ KHÔNG CÓ"))</f>
        <v/>
      </c>
      <c r="D24" s="18" t="str">
        <f aca="false">IF(B24="","",IFERROR(INDEX(NV_PN,MATCH(B24,NV_MA,0)),""))</f>
        <v/>
      </c>
      <c r="E24" s="18" t="str">
        <f aca="false">IF(B24="","",IFERROR(INDEX(NV_HT,MATCH(B24,NV_MA,0)),""))</f>
        <v/>
      </c>
      <c r="F24" s="18" t="str">
        <f aca="false">IF(B24="","",IFERROR(INDEX(NV_CC,MATCH(B24,NV_MA,0)),""))</f>
        <v/>
      </c>
      <c r="G24" s="29" t="str">
        <f aca="false">IF(B24="","",IFERROR(INDEX(NV_CB,MATCH(B24,NV_MA,0)),""))</f>
        <v/>
      </c>
      <c r="H24" s="29" t="str">
        <f aca="false">IF(B24="","",IFERROR(INDEX(NV_TV,MATCH(B24,NV_MA,0)),""))</f>
        <v/>
      </c>
      <c r="I24" s="29" t="str">
        <f aca="false">IF(B24="","",IFERROR(INDEX(NV_BHXH,MATCH(B24,NV_MA,0)),""))</f>
        <v/>
      </c>
      <c r="J24" s="29" t="str">
        <f aca="false">IF(B24="","",IFERROR(INDEX(NV_DONG,MATCH(B24,NV_MA,0)),""))</f>
        <v/>
      </c>
      <c r="K24" s="29" t="str">
        <f aca="false">IF(B24="","",IFERROR(INDEX(NV_PC,MATCH(B24,NV_MA,0)),""))</f>
        <v/>
      </c>
      <c r="L24" s="18" t="str">
        <f aca="false">IF(B24="","",IFERROR(INDEX(NV_NHOMCC,MATCH(B24,NV_MA,0)),""))</f>
        <v/>
      </c>
      <c r="M24" s="25" t="str">
        <f aca="false">IF(B24="","",IFERROR(INDEX(BCC_CONG,MATCH(B24,BCC_MA,0)),0))</f>
        <v/>
      </c>
      <c r="N24" s="18" t="str">
        <f aca="false">IF(B24="","",IFERROR(INDEX(BCC_PHEP,MATCH(B24,BCC_MA,0)),0))</f>
        <v/>
      </c>
      <c r="O24" s="18" t="str">
        <f aca="false">IF(B24="","",IFERROR(INDEX(BCC_LE,MATCH(B24,BCC_MA,0)),0))</f>
        <v/>
      </c>
      <c r="P24" s="18" t="str">
        <f aca="false">IF(B24="","",IFERROR(INDEX(BCC_LEDL,MATCH(B24,BCC_MA,0)),0))</f>
        <v/>
      </c>
      <c r="Q24" s="18" t="str">
        <f aca="false">IF(B24="","",IFERROR(INDEX(BCC_CD,MATCH(B24,BCC_MA,0)),0))</f>
        <v/>
      </c>
      <c r="R24" s="29" t="str">
        <f aca="false">IF(B24="","",IF(E24="Khoán tháng",G24,IF(E24="Thử việc",IF(N(H24)&gt;0,H24,G24*TL_THUVIEC),G24)/F24*M24))</f>
        <v/>
      </c>
      <c r="S24" s="29" t="str">
        <f aca="false">IF(B24="","",IF(E24="Khoán tháng",0,I24/NGAY_CHIA*N24))</f>
        <v/>
      </c>
      <c r="T24" s="29" t="str">
        <f aca="false">IF(B24="","",IF(E24="Khoán tháng",0,I24/NGAY_CHIA*O24))</f>
        <v/>
      </c>
      <c r="U24" s="29" t="str">
        <f aca="false">IF(B24="","",IF(E24="Khoán tháng",0,G24/F24/GIO_CONG*P24*HS_LE))</f>
        <v/>
      </c>
      <c r="V24" s="29" t="str">
        <f aca="false">IF(B24="","",IF(E24="Khoán tháng",0,I24/NGAY_CHIA*Q24))</f>
        <v/>
      </c>
      <c r="W24" s="29" t="str">
        <f aca="false">IF(B24="","",IF(L24="Chung",IF(M24&gt;=CC_NGUONG,CC_TIEN,0),IF(L24="Cơ điện",IF(M24&gt;CD_N2,CD_T2,IF(M24&gt;CD_N1,CD_T1,0)),0))+SUMIFS(DC_TIEN,DC_MA,$B24,DC_LOAI,"Chuyên cần",DC_AP,"Có"))</f>
        <v/>
      </c>
      <c r="X24" s="29" t="str">
        <f aca="false">IF(B24="","",N(K24))</f>
        <v/>
      </c>
      <c r="Y24" s="29" t="str">
        <f aca="false">IF(B24="","",SUMIFS(DC_TIEN,DC_MA,$B24,DC_LOAI,"Truy lĩnh",DC_AP,"Có")+SUMIFS(DC_TIEN,DC_MA,$B24,DC_LOAI,"Cộng khác",DC_AP,"Có"))</f>
        <v/>
      </c>
      <c r="Z24" s="30" t="str">
        <f aca="false">IF(B24="","",SUM(R24:Y24))</f>
        <v/>
      </c>
      <c r="AA24" s="29" t="str">
        <f aca="false">IF(B24="","",IF(J24="Có",I24*BHXH_NLD,0))</f>
        <v/>
      </c>
      <c r="AB24" s="29" t="str">
        <f aca="false">IF(B24="","",SUMIFS(DC_TIEN,DC_MA,$B24,DC_LOAI,"Tạm ứng",DC_AP,"Có"))</f>
        <v/>
      </c>
      <c r="AC24" s="29" t="str">
        <f aca="false">IF(B24="","",SUMIFS(DC_TIEN,DC_MA,$B24,DC_LOAI,"Trừ khác",DC_AP,"Có"))</f>
        <v/>
      </c>
      <c r="AD24" s="29" t="str">
        <f aca="false">IF(B24="","",SUMIFS(DC_TIEN,DC_MA,$B24,DC_LOAI,"KPI trừ",DC_AP,"Có"))</f>
        <v/>
      </c>
      <c r="AE24" s="29" t="str">
        <f aca="false">IF(B24="","",SUM(AA24:AD24))</f>
        <v/>
      </c>
      <c r="AF24" s="30" t="str">
        <f aca="false">IF(B24="","",ROUNDDOWN(Z24-AE24,-3))</f>
        <v/>
      </c>
      <c r="AG24" s="20"/>
    </row>
    <row r="25" customFormat="false" ht="15" hidden="false" customHeight="false" outlineLevel="0" collapsed="false">
      <c r="A25" s="18" t="str">
        <f aca="false">IF(B25="","",ROW()-5)</f>
        <v/>
      </c>
      <c r="B25" s="28" t="str">
        <f aca="false">IF(BCC!B25="","",BCC!B25)</f>
        <v/>
      </c>
      <c r="C25" s="18" t="str">
        <f aca="false">IF(B25="","",IFERROR(INDEX(NV_TEN,MATCH(B25,NV_MA,0)),"MÃ KHÔNG CÓ"))</f>
        <v/>
      </c>
      <c r="D25" s="18" t="str">
        <f aca="false">IF(B25="","",IFERROR(INDEX(NV_PN,MATCH(B25,NV_MA,0)),""))</f>
        <v/>
      </c>
      <c r="E25" s="18" t="str">
        <f aca="false">IF(B25="","",IFERROR(INDEX(NV_HT,MATCH(B25,NV_MA,0)),""))</f>
        <v/>
      </c>
      <c r="F25" s="18" t="str">
        <f aca="false">IF(B25="","",IFERROR(INDEX(NV_CC,MATCH(B25,NV_MA,0)),""))</f>
        <v/>
      </c>
      <c r="G25" s="29" t="str">
        <f aca="false">IF(B25="","",IFERROR(INDEX(NV_CB,MATCH(B25,NV_MA,0)),""))</f>
        <v/>
      </c>
      <c r="H25" s="29" t="str">
        <f aca="false">IF(B25="","",IFERROR(INDEX(NV_TV,MATCH(B25,NV_MA,0)),""))</f>
        <v/>
      </c>
      <c r="I25" s="29" t="str">
        <f aca="false">IF(B25="","",IFERROR(INDEX(NV_BHXH,MATCH(B25,NV_MA,0)),""))</f>
        <v/>
      </c>
      <c r="J25" s="29" t="str">
        <f aca="false">IF(B25="","",IFERROR(INDEX(NV_DONG,MATCH(B25,NV_MA,0)),""))</f>
        <v/>
      </c>
      <c r="K25" s="29" t="str">
        <f aca="false">IF(B25="","",IFERROR(INDEX(NV_PC,MATCH(B25,NV_MA,0)),""))</f>
        <v/>
      </c>
      <c r="L25" s="18" t="str">
        <f aca="false">IF(B25="","",IFERROR(INDEX(NV_NHOMCC,MATCH(B25,NV_MA,0)),""))</f>
        <v/>
      </c>
      <c r="M25" s="25" t="str">
        <f aca="false">IF(B25="","",IFERROR(INDEX(BCC_CONG,MATCH(B25,BCC_MA,0)),0))</f>
        <v/>
      </c>
      <c r="N25" s="18" t="str">
        <f aca="false">IF(B25="","",IFERROR(INDEX(BCC_PHEP,MATCH(B25,BCC_MA,0)),0))</f>
        <v/>
      </c>
      <c r="O25" s="18" t="str">
        <f aca="false">IF(B25="","",IFERROR(INDEX(BCC_LE,MATCH(B25,BCC_MA,0)),0))</f>
        <v/>
      </c>
      <c r="P25" s="18" t="str">
        <f aca="false">IF(B25="","",IFERROR(INDEX(BCC_LEDL,MATCH(B25,BCC_MA,0)),0))</f>
        <v/>
      </c>
      <c r="Q25" s="18" t="str">
        <f aca="false">IF(B25="","",IFERROR(INDEX(BCC_CD,MATCH(B25,BCC_MA,0)),0))</f>
        <v/>
      </c>
      <c r="R25" s="29" t="str">
        <f aca="false">IF(B25="","",IF(E25="Khoán tháng",G25,IF(E25="Thử việc",IF(N(H25)&gt;0,H25,G25*TL_THUVIEC),G25)/F25*M25))</f>
        <v/>
      </c>
      <c r="S25" s="29" t="str">
        <f aca="false">IF(B25="","",IF(E25="Khoán tháng",0,I25/NGAY_CHIA*N25))</f>
        <v/>
      </c>
      <c r="T25" s="29" t="str">
        <f aca="false">IF(B25="","",IF(E25="Khoán tháng",0,I25/NGAY_CHIA*O25))</f>
        <v/>
      </c>
      <c r="U25" s="29" t="str">
        <f aca="false">IF(B25="","",IF(E25="Khoán tháng",0,G25/F25/GIO_CONG*P25*HS_LE))</f>
        <v/>
      </c>
      <c r="V25" s="29" t="str">
        <f aca="false">IF(B25="","",IF(E25="Khoán tháng",0,I25/NGAY_CHIA*Q25))</f>
        <v/>
      </c>
      <c r="W25" s="29" t="str">
        <f aca="false">IF(B25="","",IF(L25="Chung",IF(M25&gt;=CC_NGUONG,CC_TIEN,0),IF(L25="Cơ điện",IF(M25&gt;CD_N2,CD_T2,IF(M25&gt;CD_N1,CD_T1,0)),0))+SUMIFS(DC_TIEN,DC_MA,$B25,DC_LOAI,"Chuyên cần",DC_AP,"Có"))</f>
        <v/>
      </c>
      <c r="X25" s="29" t="str">
        <f aca="false">IF(B25="","",N(K25))</f>
        <v/>
      </c>
      <c r="Y25" s="29" t="str">
        <f aca="false">IF(B25="","",SUMIFS(DC_TIEN,DC_MA,$B25,DC_LOAI,"Truy lĩnh",DC_AP,"Có")+SUMIFS(DC_TIEN,DC_MA,$B25,DC_LOAI,"Cộng khác",DC_AP,"Có"))</f>
        <v/>
      </c>
      <c r="Z25" s="30" t="str">
        <f aca="false">IF(B25="","",SUM(R25:Y25))</f>
        <v/>
      </c>
      <c r="AA25" s="29" t="str">
        <f aca="false">IF(B25="","",IF(J25="Có",I25*BHXH_NLD,0))</f>
        <v/>
      </c>
      <c r="AB25" s="29" t="str">
        <f aca="false">IF(B25="","",SUMIFS(DC_TIEN,DC_MA,$B25,DC_LOAI,"Tạm ứng",DC_AP,"Có"))</f>
        <v/>
      </c>
      <c r="AC25" s="29" t="str">
        <f aca="false">IF(B25="","",SUMIFS(DC_TIEN,DC_MA,$B25,DC_LOAI,"Trừ khác",DC_AP,"Có"))</f>
        <v/>
      </c>
      <c r="AD25" s="29" t="str">
        <f aca="false">IF(B25="","",SUMIFS(DC_TIEN,DC_MA,$B25,DC_LOAI,"KPI trừ",DC_AP,"Có"))</f>
        <v/>
      </c>
      <c r="AE25" s="29" t="str">
        <f aca="false">IF(B25="","",SUM(AA25:AD25))</f>
        <v/>
      </c>
      <c r="AF25" s="30" t="str">
        <f aca="false">IF(B25="","",ROUNDDOWN(Z25-AE25,-3))</f>
        <v/>
      </c>
      <c r="AG25" s="20"/>
    </row>
    <row r="26" customFormat="false" ht="15" hidden="false" customHeight="false" outlineLevel="0" collapsed="false">
      <c r="A26" s="18" t="str">
        <f aca="false">IF(B26="","",ROW()-5)</f>
        <v/>
      </c>
      <c r="B26" s="28" t="str">
        <f aca="false">IF(BCC!B26="","",BCC!B26)</f>
        <v/>
      </c>
      <c r="C26" s="18" t="str">
        <f aca="false">IF(B26="","",IFERROR(INDEX(NV_TEN,MATCH(B26,NV_MA,0)),"MÃ KHÔNG CÓ"))</f>
        <v/>
      </c>
      <c r="D26" s="18" t="str">
        <f aca="false">IF(B26="","",IFERROR(INDEX(NV_PN,MATCH(B26,NV_MA,0)),""))</f>
        <v/>
      </c>
      <c r="E26" s="18" t="str">
        <f aca="false">IF(B26="","",IFERROR(INDEX(NV_HT,MATCH(B26,NV_MA,0)),""))</f>
        <v/>
      </c>
      <c r="F26" s="18" t="str">
        <f aca="false">IF(B26="","",IFERROR(INDEX(NV_CC,MATCH(B26,NV_MA,0)),""))</f>
        <v/>
      </c>
      <c r="G26" s="29" t="str">
        <f aca="false">IF(B26="","",IFERROR(INDEX(NV_CB,MATCH(B26,NV_MA,0)),""))</f>
        <v/>
      </c>
      <c r="H26" s="29" t="str">
        <f aca="false">IF(B26="","",IFERROR(INDEX(NV_TV,MATCH(B26,NV_MA,0)),""))</f>
        <v/>
      </c>
      <c r="I26" s="29" t="str">
        <f aca="false">IF(B26="","",IFERROR(INDEX(NV_BHXH,MATCH(B26,NV_MA,0)),""))</f>
        <v/>
      </c>
      <c r="J26" s="29" t="str">
        <f aca="false">IF(B26="","",IFERROR(INDEX(NV_DONG,MATCH(B26,NV_MA,0)),""))</f>
        <v/>
      </c>
      <c r="K26" s="29" t="str">
        <f aca="false">IF(B26="","",IFERROR(INDEX(NV_PC,MATCH(B26,NV_MA,0)),""))</f>
        <v/>
      </c>
      <c r="L26" s="18" t="str">
        <f aca="false">IF(B26="","",IFERROR(INDEX(NV_NHOMCC,MATCH(B26,NV_MA,0)),""))</f>
        <v/>
      </c>
      <c r="M26" s="25" t="str">
        <f aca="false">IF(B26="","",IFERROR(INDEX(BCC_CONG,MATCH(B26,BCC_MA,0)),0))</f>
        <v/>
      </c>
      <c r="N26" s="18" t="str">
        <f aca="false">IF(B26="","",IFERROR(INDEX(BCC_PHEP,MATCH(B26,BCC_MA,0)),0))</f>
        <v/>
      </c>
      <c r="O26" s="18" t="str">
        <f aca="false">IF(B26="","",IFERROR(INDEX(BCC_LE,MATCH(B26,BCC_MA,0)),0))</f>
        <v/>
      </c>
      <c r="P26" s="18" t="str">
        <f aca="false">IF(B26="","",IFERROR(INDEX(BCC_LEDL,MATCH(B26,BCC_MA,0)),0))</f>
        <v/>
      </c>
      <c r="Q26" s="18" t="str">
        <f aca="false">IF(B26="","",IFERROR(INDEX(BCC_CD,MATCH(B26,BCC_MA,0)),0))</f>
        <v/>
      </c>
      <c r="R26" s="29" t="str">
        <f aca="false">IF(B26="","",IF(E26="Khoán tháng",G26,IF(E26="Thử việc",IF(N(H26)&gt;0,H26,G26*TL_THUVIEC),G26)/F26*M26))</f>
        <v/>
      </c>
      <c r="S26" s="29" t="str">
        <f aca="false">IF(B26="","",IF(E26="Khoán tháng",0,I26/NGAY_CHIA*N26))</f>
        <v/>
      </c>
      <c r="T26" s="29" t="str">
        <f aca="false">IF(B26="","",IF(E26="Khoán tháng",0,I26/NGAY_CHIA*O26))</f>
        <v/>
      </c>
      <c r="U26" s="29" t="str">
        <f aca="false">IF(B26="","",IF(E26="Khoán tháng",0,G26/F26/GIO_CONG*P26*HS_LE))</f>
        <v/>
      </c>
      <c r="V26" s="29" t="str">
        <f aca="false">IF(B26="","",IF(E26="Khoán tháng",0,I26/NGAY_CHIA*Q26))</f>
        <v/>
      </c>
      <c r="W26" s="29" t="str">
        <f aca="false">IF(B26="","",IF(L26="Chung",IF(M26&gt;=CC_NGUONG,CC_TIEN,0),IF(L26="Cơ điện",IF(M26&gt;CD_N2,CD_T2,IF(M26&gt;CD_N1,CD_T1,0)),0))+SUMIFS(DC_TIEN,DC_MA,$B26,DC_LOAI,"Chuyên cần",DC_AP,"Có"))</f>
        <v/>
      </c>
      <c r="X26" s="29" t="str">
        <f aca="false">IF(B26="","",N(K26))</f>
        <v/>
      </c>
      <c r="Y26" s="29" t="str">
        <f aca="false">IF(B26="","",SUMIFS(DC_TIEN,DC_MA,$B26,DC_LOAI,"Truy lĩnh",DC_AP,"Có")+SUMIFS(DC_TIEN,DC_MA,$B26,DC_LOAI,"Cộng khác",DC_AP,"Có"))</f>
        <v/>
      </c>
      <c r="Z26" s="30" t="str">
        <f aca="false">IF(B26="","",SUM(R26:Y26))</f>
        <v/>
      </c>
      <c r="AA26" s="29" t="str">
        <f aca="false">IF(B26="","",IF(J26="Có",I26*BHXH_NLD,0))</f>
        <v/>
      </c>
      <c r="AB26" s="29" t="str">
        <f aca="false">IF(B26="","",SUMIFS(DC_TIEN,DC_MA,$B26,DC_LOAI,"Tạm ứng",DC_AP,"Có"))</f>
        <v/>
      </c>
      <c r="AC26" s="29" t="str">
        <f aca="false">IF(B26="","",SUMIFS(DC_TIEN,DC_MA,$B26,DC_LOAI,"Trừ khác",DC_AP,"Có"))</f>
        <v/>
      </c>
      <c r="AD26" s="29" t="str">
        <f aca="false">IF(B26="","",SUMIFS(DC_TIEN,DC_MA,$B26,DC_LOAI,"KPI trừ",DC_AP,"Có"))</f>
        <v/>
      </c>
      <c r="AE26" s="29" t="str">
        <f aca="false">IF(B26="","",SUM(AA26:AD26))</f>
        <v/>
      </c>
      <c r="AF26" s="30" t="str">
        <f aca="false">IF(B26="","",ROUNDDOWN(Z26-AE26,-3))</f>
        <v/>
      </c>
      <c r="AG26" s="20"/>
    </row>
    <row r="27" customFormat="false" ht="15" hidden="false" customHeight="false" outlineLevel="0" collapsed="false">
      <c r="A27" s="18" t="str">
        <f aca="false">IF(B27="","",ROW()-5)</f>
        <v/>
      </c>
      <c r="B27" s="28" t="str">
        <f aca="false">IF(BCC!B27="","",BCC!B27)</f>
        <v/>
      </c>
      <c r="C27" s="18" t="str">
        <f aca="false">IF(B27="","",IFERROR(INDEX(NV_TEN,MATCH(B27,NV_MA,0)),"MÃ KHÔNG CÓ"))</f>
        <v/>
      </c>
      <c r="D27" s="18" t="str">
        <f aca="false">IF(B27="","",IFERROR(INDEX(NV_PN,MATCH(B27,NV_MA,0)),""))</f>
        <v/>
      </c>
      <c r="E27" s="18" t="str">
        <f aca="false">IF(B27="","",IFERROR(INDEX(NV_HT,MATCH(B27,NV_MA,0)),""))</f>
        <v/>
      </c>
      <c r="F27" s="18" t="str">
        <f aca="false">IF(B27="","",IFERROR(INDEX(NV_CC,MATCH(B27,NV_MA,0)),""))</f>
        <v/>
      </c>
      <c r="G27" s="29" t="str">
        <f aca="false">IF(B27="","",IFERROR(INDEX(NV_CB,MATCH(B27,NV_MA,0)),""))</f>
        <v/>
      </c>
      <c r="H27" s="29" t="str">
        <f aca="false">IF(B27="","",IFERROR(INDEX(NV_TV,MATCH(B27,NV_MA,0)),""))</f>
        <v/>
      </c>
      <c r="I27" s="29" t="str">
        <f aca="false">IF(B27="","",IFERROR(INDEX(NV_BHXH,MATCH(B27,NV_MA,0)),""))</f>
        <v/>
      </c>
      <c r="J27" s="29" t="str">
        <f aca="false">IF(B27="","",IFERROR(INDEX(NV_DONG,MATCH(B27,NV_MA,0)),""))</f>
        <v/>
      </c>
      <c r="K27" s="29" t="str">
        <f aca="false">IF(B27="","",IFERROR(INDEX(NV_PC,MATCH(B27,NV_MA,0)),""))</f>
        <v/>
      </c>
      <c r="L27" s="18" t="str">
        <f aca="false">IF(B27="","",IFERROR(INDEX(NV_NHOMCC,MATCH(B27,NV_MA,0)),""))</f>
        <v/>
      </c>
      <c r="M27" s="25" t="str">
        <f aca="false">IF(B27="","",IFERROR(INDEX(BCC_CONG,MATCH(B27,BCC_MA,0)),0))</f>
        <v/>
      </c>
      <c r="N27" s="18" t="str">
        <f aca="false">IF(B27="","",IFERROR(INDEX(BCC_PHEP,MATCH(B27,BCC_MA,0)),0))</f>
        <v/>
      </c>
      <c r="O27" s="18" t="str">
        <f aca="false">IF(B27="","",IFERROR(INDEX(BCC_LE,MATCH(B27,BCC_MA,0)),0))</f>
        <v/>
      </c>
      <c r="P27" s="18" t="str">
        <f aca="false">IF(B27="","",IFERROR(INDEX(BCC_LEDL,MATCH(B27,BCC_MA,0)),0))</f>
        <v/>
      </c>
      <c r="Q27" s="18" t="str">
        <f aca="false">IF(B27="","",IFERROR(INDEX(BCC_CD,MATCH(B27,BCC_MA,0)),0))</f>
        <v/>
      </c>
      <c r="R27" s="29" t="str">
        <f aca="false">IF(B27="","",IF(E27="Khoán tháng",G27,IF(E27="Thử việc",IF(N(H27)&gt;0,H27,G27*TL_THUVIEC),G27)/F27*M27))</f>
        <v/>
      </c>
      <c r="S27" s="29" t="str">
        <f aca="false">IF(B27="","",IF(E27="Khoán tháng",0,I27/NGAY_CHIA*N27))</f>
        <v/>
      </c>
      <c r="T27" s="29" t="str">
        <f aca="false">IF(B27="","",IF(E27="Khoán tháng",0,I27/NGAY_CHIA*O27))</f>
        <v/>
      </c>
      <c r="U27" s="29" t="str">
        <f aca="false">IF(B27="","",IF(E27="Khoán tháng",0,G27/F27/GIO_CONG*P27*HS_LE))</f>
        <v/>
      </c>
      <c r="V27" s="29" t="str">
        <f aca="false">IF(B27="","",IF(E27="Khoán tháng",0,I27/NGAY_CHIA*Q27))</f>
        <v/>
      </c>
      <c r="W27" s="29" t="str">
        <f aca="false">IF(B27="","",IF(L27="Chung",IF(M27&gt;=CC_NGUONG,CC_TIEN,0),IF(L27="Cơ điện",IF(M27&gt;CD_N2,CD_T2,IF(M27&gt;CD_N1,CD_T1,0)),0))+SUMIFS(DC_TIEN,DC_MA,$B27,DC_LOAI,"Chuyên cần",DC_AP,"Có"))</f>
        <v/>
      </c>
      <c r="X27" s="29" t="str">
        <f aca="false">IF(B27="","",N(K27))</f>
        <v/>
      </c>
      <c r="Y27" s="29" t="str">
        <f aca="false">IF(B27="","",SUMIFS(DC_TIEN,DC_MA,$B27,DC_LOAI,"Truy lĩnh",DC_AP,"Có")+SUMIFS(DC_TIEN,DC_MA,$B27,DC_LOAI,"Cộng khác",DC_AP,"Có"))</f>
        <v/>
      </c>
      <c r="Z27" s="30" t="str">
        <f aca="false">IF(B27="","",SUM(R27:Y27))</f>
        <v/>
      </c>
      <c r="AA27" s="29" t="str">
        <f aca="false">IF(B27="","",IF(J27="Có",I27*BHXH_NLD,0))</f>
        <v/>
      </c>
      <c r="AB27" s="29" t="str">
        <f aca="false">IF(B27="","",SUMIFS(DC_TIEN,DC_MA,$B27,DC_LOAI,"Tạm ứng",DC_AP,"Có"))</f>
        <v/>
      </c>
      <c r="AC27" s="29" t="str">
        <f aca="false">IF(B27="","",SUMIFS(DC_TIEN,DC_MA,$B27,DC_LOAI,"Trừ khác",DC_AP,"Có"))</f>
        <v/>
      </c>
      <c r="AD27" s="29" t="str">
        <f aca="false">IF(B27="","",SUMIFS(DC_TIEN,DC_MA,$B27,DC_LOAI,"KPI trừ",DC_AP,"Có"))</f>
        <v/>
      </c>
      <c r="AE27" s="29" t="str">
        <f aca="false">IF(B27="","",SUM(AA27:AD27))</f>
        <v/>
      </c>
      <c r="AF27" s="30" t="str">
        <f aca="false">IF(B27="","",ROUNDDOWN(Z27-AE27,-3))</f>
        <v/>
      </c>
      <c r="AG27" s="20"/>
    </row>
    <row r="28" customFormat="false" ht="15" hidden="false" customHeight="false" outlineLevel="0" collapsed="false">
      <c r="A28" s="18" t="str">
        <f aca="false">IF(B28="","",ROW()-5)</f>
        <v/>
      </c>
      <c r="B28" s="28" t="str">
        <f aca="false">IF(BCC!B28="","",BCC!B28)</f>
        <v/>
      </c>
      <c r="C28" s="18" t="str">
        <f aca="false">IF(B28="","",IFERROR(INDEX(NV_TEN,MATCH(B28,NV_MA,0)),"MÃ KHÔNG CÓ"))</f>
        <v/>
      </c>
      <c r="D28" s="18" t="str">
        <f aca="false">IF(B28="","",IFERROR(INDEX(NV_PN,MATCH(B28,NV_MA,0)),""))</f>
        <v/>
      </c>
      <c r="E28" s="18" t="str">
        <f aca="false">IF(B28="","",IFERROR(INDEX(NV_HT,MATCH(B28,NV_MA,0)),""))</f>
        <v/>
      </c>
      <c r="F28" s="18" t="str">
        <f aca="false">IF(B28="","",IFERROR(INDEX(NV_CC,MATCH(B28,NV_MA,0)),""))</f>
        <v/>
      </c>
      <c r="G28" s="29" t="str">
        <f aca="false">IF(B28="","",IFERROR(INDEX(NV_CB,MATCH(B28,NV_MA,0)),""))</f>
        <v/>
      </c>
      <c r="H28" s="29" t="str">
        <f aca="false">IF(B28="","",IFERROR(INDEX(NV_TV,MATCH(B28,NV_MA,0)),""))</f>
        <v/>
      </c>
      <c r="I28" s="29" t="str">
        <f aca="false">IF(B28="","",IFERROR(INDEX(NV_BHXH,MATCH(B28,NV_MA,0)),""))</f>
        <v/>
      </c>
      <c r="J28" s="29" t="str">
        <f aca="false">IF(B28="","",IFERROR(INDEX(NV_DONG,MATCH(B28,NV_MA,0)),""))</f>
        <v/>
      </c>
      <c r="K28" s="29" t="str">
        <f aca="false">IF(B28="","",IFERROR(INDEX(NV_PC,MATCH(B28,NV_MA,0)),""))</f>
        <v/>
      </c>
      <c r="L28" s="18" t="str">
        <f aca="false">IF(B28="","",IFERROR(INDEX(NV_NHOMCC,MATCH(B28,NV_MA,0)),""))</f>
        <v/>
      </c>
      <c r="M28" s="25" t="str">
        <f aca="false">IF(B28="","",IFERROR(INDEX(BCC_CONG,MATCH(B28,BCC_MA,0)),0))</f>
        <v/>
      </c>
      <c r="N28" s="18" t="str">
        <f aca="false">IF(B28="","",IFERROR(INDEX(BCC_PHEP,MATCH(B28,BCC_MA,0)),0))</f>
        <v/>
      </c>
      <c r="O28" s="18" t="str">
        <f aca="false">IF(B28="","",IFERROR(INDEX(BCC_LE,MATCH(B28,BCC_MA,0)),0))</f>
        <v/>
      </c>
      <c r="P28" s="18" t="str">
        <f aca="false">IF(B28="","",IFERROR(INDEX(BCC_LEDL,MATCH(B28,BCC_MA,0)),0))</f>
        <v/>
      </c>
      <c r="Q28" s="18" t="str">
        <f aca="false">IF(B28="","",IFERROR(INDEX(BCC_CD,MATCH(B28,BCC_MA,0)),0))</f>
        <v/>
      </c>
      <c r="R28" s="29" t="str">
        <f aca="false">IF(B28="","",IF(E28="Khoán tháng",G28,IF(E28="Thử việc",IF(N(H28)&gt;0,H28,G28*TL_THUVIEC),G28)/F28*M28))</f>
        <v/>
      </c>
      <c r="S28" s="29" t="str">
        <f aca="false">IF(B28="","",IF(E28="Khoán tháng",0,I28/NGAY_CHIA*N28))</f>
        <v/>
      </c>
      <c r="T28" s="29" t="str">
        <f aca="false">IF(B28="","",IF(E28="Khoán tháng",0,I28/NGAY_CHIA*O28))</f>
        <v/>
      </c>
      <c r="U28" s="29" t="str">
        <f aca="false">IF(B28="","",IF(E28="Khoán tháng",0,G28/F28/GIO_CONG*P28*HS_LE))</f>
        <v/>
      </c>
      <c r="V28" s="29" t="str">
        <f aca="false">IF(B28="","",IF(E28="Khoán tháng",0,I28/NGAY_CHIA*Q28))</f>
        <v/>
      </c>
      <c r="W28" s="29" t="str">
        <f aca="false">IF(B28="","",IF(L28="Chung",IF(M28&gt;=CC_NGUONG,CC_TIEN,0),IF(L28="Cơ điện",IF(M28&gt;CD_N2,CD_T2,IF(M28&gt;CD_N1,CD_T1,0)),0))+SUMIFS(DC_TIEN,DC_MA,$B28,DC_LOAI,"Chuyên cần",DC_AP,"Có"))</f>
        <v/>
      </c>
      <c r="X28" s="29" t="str">
        <f aca="false">IF(B28="","",N(K28))</f>
        <v/>
      </c>
      <c r="Y28" s="29" t="str">
        <f aca="false">IF(B28="","",SUMIFS(DC_TIEN,DC_MA,$B28,DC_LOAI,"Truy lĩnh",DC_AP,"Có")+SUMIFS(DC_TIEN,DC_MA,$B28,DC_LOAI,"Cộng khác",DC_AP,"Có"))</f>
        <v/>
      </c>
      <c r="Z28" s="30" t="str">
        <f aca="false">IF(B28="","",SUM(R28:Y28))</f>
        <v/>
      </c>
      <c r="AA28" s="29" t="str">
        <f aca="false">IF(B28="","",IF(J28="Có",I28*BHXH_NLD,0))</f>
        <v/>
      </c>
      <c r="AB28" s="29" t="str">
        <f aca="false">IF(B28="","",SUMIFS(DC_TIEN,DC_MA,$B28,DC_LOAI,"Tạm ứng",DC_AP,"Có"))</f>
        <v/>
      </c>
      <c r="AC28" s="29" t="str">
        <f aca="false">IF(B28="","",SUMIFS(DC_TIEN,DC_MA,$B28,DC_LOAI,"Trừ khác",DC_AP,"Có"))</f>
        <v/>
      </c>
      <c r="AD28" s="29" t="str">
        <f aca="false">IF(B28="","",SUMIFS(DC_TIEN,DC_MA,$B28,DC_LOAI,"KPI trừ",DC_AP,"Có"))</f>
        <v/>
      </c>
      <c r="AE28" s="29" t="str">
        <f aca="false">IF(B28="","",SUM(AA28:AD28))</f>
        <v/>
      </c>
      <c r="AF28" s="30" t="str">
        <f aca="false">IF(B28="","",ROUNDDOWN(Z28-AE28,-3))</f>
        <v/>
      </c>
      <c r="AG28" s="20"/>
    </row>
    <row r="29" customFormat="false" ht="15" hidden="false" customHeight="false" outlineLevel="0" collapsed="false">
      <c r="A29" s="18" t="str">
        <f aca="false">IF(B29="","",ROW()-5)</f>
        <v/>
      </c>
      <c r="B29" s="28" t="str">
        <f aca="false">IF(BCC!B29="","",BCC!B29)</f>
        <v/>
      </c>
      <c r="C29" s="18" t="str">
        <f aca="false">IF(B29="","",IFERROR(INDEX(NV_TEN,MATCH(B29,NV_MA,0)),"MÃ KHÔNG CÓ"))</f>
        <v/>
      </c>
      <c r="D29" s="18" t="str">
        <f aca="false">IF(B29="","",IFERROR(INDEX(NV_PN,MATCH(B29,NV_MA,0)),""))</f>
        <v/>
      </c>
      <c r="E29" s="18" t="str">
        <f aca="false">IF(B29="","",IFERROR(INDEX(NV_HT,MATCH(B29,NV_MA,0)),""))</f>
        <v/>
      </c>
      <c r="F29" s="18" t="str">
        <f aca="false">IF(B29="","",IFERROR(INDEX(NV_CC,MATCH(B29,NV_MA,0)),""))</f>
        <v/>
      </c>
      <c r="G29" s="29" t="str">
        <f aca="false">IF(B29="","",IFERROR(INDEX(NV_CB,MATCH(B29,NV_MA,0)),""))</f>
        <v/>
      </c>
      <c r="H29" s="29" t="str">
        <f aca="false">IF(B29="","",IFERROR(INDEX(NV_TV,MATCH(B29,NV_MA,0)),""))</f>
        <v/>
      </c>
      <c r="I29" s="29" t="str">
        <f aca="false">IF(B29="","",IFERROR(INDEX(NV_BHXH,MATCH(B29,NV_MA,0)),""))</f>
        <v/>
      </c>
      <c r="J29" s="29" t="str">
        <f aca="false">IF(B29="","",IFERROR(INDEX(NV_DONG,MATCH(B29,NV_MA,0)),""))</f>
        <v/>
      </c>
      <c r="K29" s="29" t="str">
        <f aca="false">IF(B29="","",IFERROR(INDEX(NV_PC,MATCH(B29,NV_MA,0)),""))</f>
        <v/>
      </c>
      <c r="L29" s="18" t="str">
        <f aca="false">IF(B29="","",IFERROR(INDEX(NV_NHOMCC,MATCH(B29,NV_MA,0)),""))</f>
        <v/>
      </c>
      <c r="M29" s="25" t="str">
        <f aca="false">IF(B29="","",IFERROR(INDEX(BCC_CONG,MATCH(B29,BCC_MA,0)),0))</f>
        <v/>
      </c>
      <c r="N29" s="18" t="str">
        <f aca="false">IF(B29="","",IFERROR(INDEX(BCC_PHEP,MATCH(B29,BCC_MA,0)),0))</f>
        <v/>
      </c>
      <c r="O29" s="18" t="str">
        <f aca="false">IF(B29="","",IFERROR(INDEX(BCC_LE,MATCH(B29,BCC_MA,0)),0))</f>
        <v/>
      </c>
      <c r="P29" s="18" t="str">
        <f aca="false">IF(B29="","",IFERROR(INDEX(BCC_LEDL,MATCH(B29,BCC_MA,0)),0))</f>
        <v/>
      </c>
      <c r="Q29" s="18" t="str">
        <f aca="false">IF(B29="","",IFERROR(INDEX(BCC_CD,MATCH(B29,BCC_MA,0)),0))</f>
        <v/>
      </c>
      <c r="R29" s="29" t="str">
        <f aca="false">IF(B29="","",IF(E29="Khoán tháng",G29,IF(E29="Thử việc",IF(N(H29)&gt;0,H29,G29*TL_THUVIEC),G29)/F29*M29))</f>
        <v/>
      </c>
      <c r="S29" s="29" t="str">
        <f aca="false">IF(B29="","",IF(E29="Khoán tháng",0,I29/NGAY_CHIA*N29))</f>
        <v/>
      </c>
      <c r="T29" s="29" t="str">
        <f aca="false">IF(B29="","",IF(E29="Khoán tháng",0,I29/NGAY_CHIA*O29))</f>
        <v/>
      </c>
      <c r="U29" s="29" t="str">
        <f aca="false">IF(B29="","",IF(E29="Khoán tháng",0,G29/F29/GIO_CONG*P29*HS_LE))</f>
        <v/>
      </c>
      <c r="V29" s="29" t="str">
        <f aca="false">IF(B29="","",IF(E29="Khoán tháng",0,I29/NGAY_CHIA*Q29))</f>
        <v/>
      </c>
      <c r="W29" s="29" t="str">
        <f aca="false">IF(B29="","",IF(L29="Chung",IF(M29&gt;=CC_NGUONG,CC_TIEN,0),IF(L29="Cơ điện",IF(M29&gt;CD_N2,CD_T2,IF(M29&gt;CD_N1,CD_T1,0)),0))+SUMIFS(DC_TIEN,DC_MA,$B29,DC_LOAI,"Chuyên cần",DC_AP,"Có"))</f>
        <v/>
      </c>
      <c r="X29" s="29" t="str">
        <f aca="false">IF(B29="","",N(K29))</f>
        <v/>
      </c>
      <c r="Y29" s="29" t="str">
        <f aca="false">IF(B29="","",SUMIFS(DC_TIEN,DC_MA,$B29,DC_LOAI,"Truy lĩnh",DC_AP,"Có")+SUMIFS(DC_TIEN,DC_MA,$B29,DC_LOAI,"Cộng khác",DC_AP,"Có"))</f>
        <v/>
      </c>
      <c r="Z29" s="30" t="str">
        <f aca="false">IF(B29="","",SUM(R29:Y29))</f>
        <v/>
      </c>
      <c r="AA29" s="29" t="str">
        <f aca="false">IF(B29="","",IF(J29="Có",I29*BHXH_NLD,0))</f>
        <v/>
      </c>
      <c r="AB29" s="29" t="str">
        <f aca="false">IF(B29="","",SUMIFS(DC_TIEN,DC_MA,$B29,DC_LOAI,"Tạm ứng",DC_AP,"Có"))</f>
        <v/>
      </c>
      <c r="AC29" s="29" t="str">
        <f aca="false">IF(B29="","",SUMIFS(DC_TIEN,DC_MA,$B29,DC_LOAI,"Trừ khác",DC_AP,"Có"))</f>
        <v/>
      </c>
      <c r="AD29" s="29" t="str">
        <f aca="false">IF(B29="","",SUMIFS(DC_TIEN,DC_MA,$B29,DC_LOAI,"KPI trừ",DC_AP,"Có"))</f>
        <v/>
      </c>
      <c r="AE29" s="29" t="str">
        <f aca="false">IF(B29="","",SUM(AA29:AD29))</f>
        <v/>
      </c>
      <c r="AF29" s="30" t="str">
        <f aca="false">IF(B29="","",ROUNDDOWN(Z29-AE29,-3))</f>
        <v/>
      </c>
      <c r="AG29" s="20"/>
    </row>
    <row r="30" customFormat="false" ht="15" hidden="false" customHeight="false" outlineLevel="0" collapsed="false">
      <c r="A30" s="18" t="str">
        <f aca="false">IF(B30="","",ROW()-5)</f>
        <v/>
      </c>
      <c r="B30" s="28" t="str">
        <f aca="false">IF(BCC!B30="","",BCC!B30)</f>
        <v/>
      </c>
      <c r="C30" s="18" t="str">
        <f aca="false">IF(B30="","",IFERROR(INDEX(NV_TEN,MATCH(B30,NV_MA,0)),"MÃ KHÔNG CÓ"))</f>
        <v/>
      </c>
      <c r="D30" s="18" t="str">
        <f aca="false">IF(B30="","",IFERROR(INDEX(NV_PN,MATCH(B30,NV_MA,0)),""))</f>
        <v/>
      </c>
      <c r="E30" s="18" t="str">
        <f aca="false">IF(B30="","",IFERROR(INDEX(NV_HT,MATCH(B30,NV_MA,0)),""))</f>
        <v/>
      </c>
      <c r="F30" s="18" t="str">
        <f aca="false">IF(B30="","",IFERROR(INDEX(NV_CC,MATCH(B30,NV_MA,0)),""))</f>
        <v/>
      </c>
      <c r="G30" s="29" t="str">
        <f aca="false">IF(B30="","",IFERROR(INDEX(NV_CB,MATCH(B30,NV_MA,0)),""))</f>
        <v/>
      </c>
      <c r="H30" s="29" t="str">
        <f aca="false">IF(B30="","",IFERROR(INDEX(NV_TV,MATCH(B30,NV_MA,0)),""))</f>
        <v/>
      </c>
      <c r="I30" s="29" t="str">
        <f aca="false">IF(B30="","",IFERROR(INDEX(NV_BHXH,MATCH(B30,NV_MA,0)),""))</f>
        <v/>
      </c>
      <c r="J30" s="29" t="str">
        <f aca="false">IF(B30="","",IFERROR(INDEX(NV_DONG,MATCH(B30,NV_MA,0)),""))</f>
        <v/>
      </c>
      <c r="K30" s="29" t="str">
        <f aca="false">IF(B30="","",IFERROR(INDEX(NV_PC,MATCH(B30,NV_MA,0)),""))</f>
        <v/>
      </c>
      <c r="L30" s="18" t="str">
        <f aca="false">IF(B30="","",IFERROR(INDEX(NV_NHOMCC,MATCH(B30,NV_MA,0)),""))</f>
        <v/>
      </c>
      <c r="M30" s="25" t="str">
        <f aca="false">IF(B30="","",IFERROR(INDEX(BCC_CONG,MATCH(B30,BCC_MA,0)),0))</f>
        <v/>
      </c>
      <c r="N30" s="18" t="str">
        <f aca="false">IF(B30="","",IFERROR(INDEX(BCC_PHEP,MATCH(B30,BCC_MA,0)),0))</f>
        <v/>
      </c>
      <c r="O30" s="18" t="str">
        <f aca="false">IF(B30="","",IFERROR(INDEX(BCC_LE,MATCH(B30,BCC_MA,0)),0))</f>
        <v/>
      </c>
      <c r="P30" s="18" t="str">
        <f aca="false">IF(B30="","",IFERROR(INDEX(BCC_LEDL,MATCH(B30,BCC_MA,0)),0))</f>
        <v/>
      </c>
      <c r="Q30" s="18" t="str">
        <f aca="false">IF(B30="","",IFERROR(INDEX(BCC_CD,MATCH(B30,BCC_MA,0)),0))</f>
        <v/>
      </c>
      <c r="R30" s="29" t="str">
        <f aca="false">IF(B30="","",IF(E30="Khoán tháng",G30,IF(E30="Thử việc",IF(N(H30)&gt;0,H30,G30*TL_THUVIEC),G30)/F30*M30))</f>
        <v/>
      </c>
      <c r="S30" s="29" t="str">
        <f aca="false">IF(B30="","",IF(E30="Khoán tháng",0,I30/NGAY_CHIA*N30))</f>
        <v/>
      </c>
      <c r="T30" s="29" t="str">
        <f aca="false">IF(B30="","",IF(E30="Khoán tháng",0,I30/NGAY_CHIA*O30))</f>
        <v/>
      </c>
      <c r="U30" s="29" t="str">
        <f aca="false">IF(B30="","",IF(E30="Khoán tháng",0,G30/F30/GIO_CONG*P30*HS_LE))</f>
        <v/>
      </c>
      <c r="V30" s="29" t="str">
        <f aca="false">IF(B30="","",IF(E30="Khoán tháng",0,I30/NGAY_CHIA*Q30))</f>
        <v/>
      </c>
      <c r="W30" s="29" t="str">
        <f aca="false">IF(B30="","",IF(L30="Chung",IF(M30&gt;=CC_NGUONG,CC_TIEN,0),IF(L30="Cơ điện",IF(M30&gt;CD_N2,CD_T2,IF(M30&gt;CD_N1,CD_T1,0)),0))+SUMIFS(DC_TIEN,DC_MA,$B30,DC_LOAI,"Chuyên cần",DC_AP,"Có"))</f>
        <v/>
      </c>
      <c r="X30" s="29" t="str">
        <f aca="false">IF(B30="","",N(K30))</f>
        <v/>
      </c>
      <c r="Y30" s="29" t="str">
        <f aca="false">IF(B30="","",SUMIFS(DC_TIEN,DC_MA,$B30,DC_LOAI,"Truy lĩnh",DC_AP,"Có")+SUMIFS(DC_TIEN,DC_MA,$B30,DC_LOAI,"Cộng khác",DC_AP,"Có"))</f>
        <v/>
      </c>
      <c r="Z30" s="30" t="str">
        <f aca="false">IF(B30="","",SUM(R30:Y30))</f>
        <v/>
      </c>
      <c r="AA30" s="29" t="str">
        <f aca="false">IF(B30="","",IF(J30="Có",I30*BHXH_NLD,0))</f>
        <v/>
      </c>
      <c r="AB30" s="29" t="str">
        <f aca="false">IF(B30="","",SUMIFS(DC_TIEN,DC_MA,$B30,DC_LOAI,"Tạm ứng",DC_AP,"Có"))</f>
        <v/>
      </c>
      <c r="AC30" s="29" t="str">
        <f aca="false">IF(B30="","",SUMIFS(DC_TIEN,DC_MA,$B30,DC_LOAI,"Trừ khác",DC_AP,"Có"))</f>
        <v/>
      </c>
      <c r="AD30" s="29" t="str">
        <f aca="false">IF(B30="","",SUMIFS(DC_TIEN,DC_MA,$B30,DC_LOAI,"KPI trừ",DC_AP,"Có"))</f>
        <v/>
      </c>
      <c r="AE30" s="29" t="str">
        <f aca="false">IF(B30="","",SUM(AA30:AD30))</f>
        <v/>
      </c>
      <c r="AF30" s="30" t="str">
        <f aca="false">IF(B30="","",ROUNDDOWN(Z30-AE30,-3))</f>
        <v/>
      </c>
      <c r="AG30" s="20"/>
    </row>
    <row r="31" customFormat="false" ht="15" hidden="false" customHeight="false" outlineLevel="0" collapsed="false">
      <c r="A31" s="18" t="str">
        <f aca="false">IF(B31="","",ROW()-5)</f>
        <v/>
      </c>
      <c r="B31" s="28" t="str">
        <f aca="false">IF(BCC!B31="","",BCC!B31)</f>
        <v/>
      </c>
      <c r="C31" s="18" t="str">
        <f aca="false">IF(B31="","",IFERROR(INDEX(NV_TEN,MATCH(B31,NV_MA,0)),"MÃ KHÔNG CÓ"))</f>
        <v/>
      </c>
      <c r="D31" s="18" t="str">
        <f aca="false">IF(B31="","",IFERROR(INDEX(NV_PN,MATCH(B31,NV_MA,0)),""))</f>
        <v/>
      </c>
      <c r="E31" s="18" t="str">
        <f aca="false">IF(B31="","",IFERROR(INDEX(NV_HT,MATCH(B31,NV_MA,0)),""))</f>
        <v/>
      </c>
      <c r="F31" s="18" t="str">
        <f aca="false">IF(B31="","",IFERROR(INDEX(NV_CC,MATCH(B31,NV_MA,0)),""))</f>
        <v/>
      </c>
      <c r="G31" s="29" t="str">
        <f aca="false">IF(B31="","",IFERROR(INDEX(NV_CB,MATCH(B31,NV_MA,0)),""))</f>
        <v/>
      </c>
      <c r="H31" s="29" t="str">
        <f aca="false">IF(B31="","",IFERROR(INDEX(NV_TV,MATCH(B31,NV_MA,0)),""))</f>
        <v/>
      </c>
      <c r="I31" s="29" t="str">
        <f aca="false">IF(B31="","",IFERROR(INDEX(NV_BHXH,MATCH(B31,NV_MA,0)),""))</f>
        <v/>
      </c>
      <c r="J31" s="29" t="str">
        <f aca="false">IF(B31="","",IFERROR(INDEX(NV_DONG,MATCH(B31,NV_MA,0)),""))</f>
        <v/>
      </c>
      <c r="K31" s="29" t="str">
        <f aca="false">IF(B31="","",IFERROR(INDEX(NV_PC,MATCH(B31,NV_MA,0)),""))</f>
        <v/>
      </c>
      <c r="L31" s="18" t="str">
        <f aca="false">IF(B31="","",IFERROR(INDEX(NV_NHOMCC,MATCH(B31,NV_MA,0)),""))</f>
        <v/>
      </c>
      <c r="M31" s="25" t="str">
        <f aca="false">IF(B31="","",IFERROR(INDEX(BCC_CONG,MATCH(B31,BCC_MA,0)),0))</f>
        <v/>
      </c>
      <c r="N31" s="18" t="str">
        <f aca="false">IF(B31="","",IFERROR(INDEX(BCC_PHEP,MATCH(B31,BCC_MA,0)),0))</f>
        <v/>
      </c>
      <c r="O31" s="18" t="str">
        <f aca="false">IF(B31="","",IFERROR(INDEX(BCC_LE,MATCH(B31,BCC_MA,0)),0))</f>
        <v/>
      </c>
      <c r="P31" s="18" t="str">
        <f aca="false">IF(B31="","",IFERROR(INDEX(BCC_LEDL,MATCH(B31,BCC_MA,0)),0))</f>
        <v/>
      </c>
      <c r="Q31" s="18" t="str">
        <f aca="false">IF(B31="","",IFERROR(INDEX(BCC_CD,MATCH(B31,BCC_MA,0)),0))</f>
        <v/>
      </c>
      <c r="R31" s="29" t="str">
        <f aca="false">IF(B31="","",IF(E31="Khoán tháng",G31,IF(E31="Thử việc",IF(N(H31)&gt;0,H31,G31*TL_THUVIEC),G31)/F31*M31))</f>
        <v/>
      </c>
      <c r="S31" s="29" t="str">
        <f aca="false">IF(B31="","",IF(E31="Khoán tháng",0,I31/NGAY_CHIA*N31))</f>
        <v/>
      </c>
      <c r="T31" s="29" t="str">
        <f aca="false">IF(B31="","",IF(E31="Khoán tháng",0,I31/NGAY_CHIA*O31))</f>
        <v/>
      </c>
      <c r="U31" s="29" t="str">
        <f aca="false">IF(B31="","",IF(E31="Khoán tháng",0,G31/F31/GIO_CONG*P31*HS_LE))</f>
        <v/>
      </c>
      <c r="V31" s="29" t="str">
        <f aca="false">IF(B31="","",IF(E31="Khoán tháng",0,I31/NGAY_CHIA*Q31))</f>
        <v/>
      </c>
      <c r="W31" s="29" t="str">
        <f aca="false">IF(B31="","",IF(L31="Chung",IF(M31&gt;=CC_NGUONG,CC_TIEN,0),IF(L31="Cơ điện",IF(M31&gt;CD_N2,CD_T2,IF(M31&gt;CD_N1,CD_T1,0)),0))+SUMIFS(DC_TIEN,DC_MA,$B31,DC_LOAI,"Chuyên cần",DC_AP,"Có"))</f>
        <v/>
      </c>
      <c r="X31" s="29" t="str">
        <f aca="false">IF(B31="","",N(K31))</f>
        <v/>
      </c>
      <c r="Y31" s="29" t="str">
        <f aca="false">IF(B31="","",SUMIFS(DC_TIEN,DC_MA,$B31,DC_LOAI,"Truy lĩnh",DC_AP,"Có")+SUMIFS(DC_TIEN,DC_MA,$B31,DC_LOAI,"Cộng khác",DC_AP,"Có"))</f>
        <v/>
      </c>
      <c r="Z31" s="30" t="str">
        <f aca="false">IF(B31="","",SUM(R31:Y31))</f>
        <v/>
      </c>
      <c r="AA31" s="29" t="str">
        <f aca="false">IF(B31="","",IF(J31="Có",I31*BHXH_NLD,0))</f>
        <v/>
      </c>
      <c r="AB31" s="29" t="str">
        <f aca="false">IF(B31="","",SUMIFS(DC_TIEN,DC_MA,$B31,DC_LOAI,"Tạm ứng",DC_AP,"Có"))</f>
        <v/>
      </c>
      <c r="AC31" s="29" t="str">
        <f aca="false">IF(B31="","",SUMIFS(DC_TIEN,DC_MA,$B31,DC_LOAI,"Trừ khác",DC_AP,"Có"))</f>
        <v/>
      </c>
      <c r="AD31" s="29" t="str">
        <f aca="false">IF(B31="","",SUMIFS(DC_TIEN,DC_MA,$B31,DC_LOAI,"KPI trừ",DC_AP,"Có"))</f>
        <v/>
      </c>
      <c r="AE31" s="29" t="str">
        <f aca="false">IF(B31="","",SUM(AA31:AD31))</f>
        <v/>
      </c>
      <c r="AF31" s="30" t="str">
        <f aca="false">IF(B31="","",ROUNDDOWN(Z31-AE31,-3))</f>
        <v/>
      </c>
      <c r="AG31" s="20"/>
    </row>
    <row r="32" customFormat="false" ht="15" hidden="false" customHeight="false" outlineLevel="0" collapsed="false">
      <c r="A32" s="18" t="str">
        <f aca="false">IF(B32="","",ROW()-5)</f>
        <v/>
      </c>
      <c r="B32" s="28" t="str">
        <f aca="false">IF(BCC!B32="","",BCC!B32)</f>
        <v/>
      </c>
      <c r="C32" s="18" t="str">
        <f aca="false">IF(B32="","",IFERROR(INDEX(NV_TEN,MATCH(B32,NV_MA,0)),"MÃ KHÔNG CÓ"))</f>
        <v/>
      </c>
      <c r="D32" s="18" t="str">
        <f aca="false">IF(B32="","",IFERROR(INDEX(NV_PN,MATCH(B32,NV_MA,0)),""))</f>
        <v/>
      </c>
      <c r="E32" s="18" t="str">
        <f aca="false">IF(B32="","",IFERROR(INDEX(NV_HT,MATCH(B32,NV_MA,0)),""))</f>
        <v/>
      </c>
      <c r="F32" s="18" t="str">
        <f aca="false">IF(B32="","",IFERROR(INDEX(NV_CC,MATCH(B32,NV_MA,0)),""))</f>
        <v/>
      </c>
      <c r="G32" s="29" t="str">
        <f aca="false">IF(B32="","",IFERROR(INDEX(NV_CB,MATCH(B32,NV_MA,0)),""))</f>
        <v/>
      </c>
      <c r="H32" s="29" t="str">
        <f aca="false">IF(B32="","",IFERROR(INDEX(NV_TV,MATCH(B32,NV_MA,0)),""))</f>
        <v/>
      </c>
      <c r="I32" s="29" t="str">
        <f aca="false">IF(B32="","",IFERROR(INDEX(NV_BHXH,MATCH(B32,NV_MA,0)),""))</f>
        <v/>
      </c>
      <c r="J32" s="29" t="str">
        <f aca="false">IF(B32="","",IFERROR(INDEX(NV_DONG,MATCH(B32,NV_MA,0)),""))</f>
        <v/>
      </c>
      <c r="K32" s="29" t="str">
        <f aca="false">IF(B32="","",IFERROR(INDEX(NV_PC,MATCH(B32,NV_MA,0)),""))</f>
        <v/>
      </c>
      <c r="L32" s="18" t="str">
        <f aca="false">IF(B32="","",IFERROR(INDEX(NV_NHOMCC,MATCH(B32,NV_MA,0)),""))</f>
        <v/>
      </c>
      <c r="M32" s="25" t="str">
        <f aca="false">IF(B32="","",IFERROR(INDEX(BCC_CONG,MATCH(B32,BCC_MA,0)),0))</f>
        <v/>
      </c>
      <c r="N32" s="18" t="str">
        <f aca="false">IF(B32="","",IFERROR(INDEX(BCC_PHEP,MATCH(B32,BCC_MA,0)),0))</f>
        <v/>
      </c>
      <c r="O32" s="18" t="str">
        <f aca="false">IF(B32="","",IFERROR(INDEX(BCC_LE,MATCH(B32,BCC_MA,0)),0))</f>
        <v/>
      </c>
      <c r="P32" s="18" t="str">
        <f aca="false">IF(B32="","",IFERROR(INDEX(BCC_LEDL,MATCH(B32,BCC_MA,0)),0))</f>
        <v/>
      </c>
      <c r="Q32" s="18" t="str">
        <f aca="false">IF(B32="","",IFERROR(INDEX(BCC_CD,MATCH(B32,BCC_MA,0)),0))</f>
        <v/>
      </c>
      <c r="R32" s="29" t="str">
        <f aca="false">IF(B32="","",IF(E32="Khoán tháng",G32,IF(E32="Thử việc",IF(N(H32)&gt;0,H32,G32*TL_THUVIEC),G32)/F32*M32))</f>
        <v/>
      </c>
      <c r="S32" s="29" t="str">
        <f aca="false">IF(B32="","",IF(E32="Khoán tháng",0,I32/NGAY_CHIA*N32))</f>
        <v/>
      </c>
      <c r="T32" s="29" t="str">
        <f aca="false">IF(B32="","",IF(E32="Khoán tháng",0,I32/NGAY_CHIA*O32))</f>
        <v/>
      </c>
      <c r="U32" s="29" t="str">
        <f aca="false">IF(B32="","",IF(E32="Khoán tháng",0,G32/F32/GIO_CONG*P32*HS_LE))</f>
        <v/>
      </c>
      <c r="V32" s="29" t="str">
        <f aca="false">IF(B32="","",IF(E32="Khoán tháng",0,I32/NGAY_CHIA*Q32))</f>
        <v/>
      </c>
      <c r="W32" s="29" t="str">
        <f aca="false">IF(B32="","",IF(L32="Chung",IF(M32&gt;=CC_NGUONG,CC_TIEN,0),IF(L32="Cơ điện",IF(M32&gt;CD_N2,CD_T2,IF(M32&gt;CD_N1,CD_T1,0)),0))+SUMIFS(DC_TIEN,DC_MA,$B32,DC_LOAI,"Chuyên cần",DC_AP,"Có"))</f>
        <v/>
      </c>
      <c r="X32" s="29" t="str">
        <f aca="false">IF(B32="","",N(K32))</f>
        <v/>
      </c>
      <c r="Y32" s="29" t="str">
        <f aca="false">IF(B32="","",SUMIFS(DC_TIEN,DC_MA,$B32,DC_LOAI,"Truy lĩnh",DC_AP,"Có")+SUMIFS(DC_TIEN,DC_MA,$B32,DC_LOAI,"Cộng khác",DC_AP,"Có"))</f>
        <v/>
      </c>
      <c r="Z32" s="30" t="str">
        <f aca="false">IF(B32="","",SUM(R32:Y32))</f>
        <v/>
      </c>
      <c r="AA32" s="29" t="str">
        <f aca="false">IF(B32="","",IF(J32="Có",I32*BHXH_NLD,0))</f>
        <v/>
      </c>
      <c r="AB32" s="29" t="str">
        <f aca="false">IF(B32="","",SUMIFS(DC_TIEN,DC_MA,$B32,DC_LOAI,"Tạm ứng",DC_AP,"Có"))</f>
        <v/>
      </c>
      <c r="AC32" s="29" t="str">
        <f aca="false">IF(B32="","",SUMIFS(DC_TIEN,DC_MA,$B32,DC_LOAI,"Trừ khác",DC_AP,"Có"))</f>
        <v/>
      </c>
      <c r="AD32" s="29" t="str">
        <f aca="false">IF(B32="","",SUMIFS(DC_TIEN,DC_MA,$B32,DC_LOAI,"KPI trừ",DC_AP,"Có"))</f>
        <v/>
      </c>
      <c r="AE32" s="29" t="str">
        <f aca="false">IF(B32="","",SUM(AA32:AD32))</f>
        <v/>
      </c>
      <c r="AF32" s="30" t="str">
        <f aca="false">IF(B32="","",ROUNDDOWN(Z32-AE32,-3))</f>
        <v/>
      </c>
      <c r="AG32" s="20"/>
    </row>
    <row r="33" customFormat="false" ht="15" hidden="false" customHeight="false" outlineLevel="0" collapsed="false">
      <c r="A33" s="18" t="str">
        <f aca="false">IF(B33="","",ROW()-5)</f>
        <v/>
      </c>
      <c r="B33" s="28" t="str">
        <f aca="false">IF(BCC!B33="","",BCC!B33)</f>
        <v/>
      </c>
      <c r="C33" s="18" t="str">
        <f aca="false">IF(B33="","",IFERROR(INDEX(NV_TEN,MATCH(B33,NV_MA,0)),"MÃ KHÔNG CÓ"))</f>
        <v/>
      </c>
      <c r="D33" s="18" t="str">
        <f aca="false">IF(B33="","",IFERROR(INDEX(NV_PN,MATCH(B33,NV_MA,0)),""))</f>
        <v/>
      </c>
      <c r="E33" s="18" t="str">
        <f aca="false">IF(B33="","",IFERROR(INDEX(NV_HT,MATCH(B33,NV_MA,0)),""))</f>
        <v/>
      </c>
      <c r="F33" s="18" t="str">
        <f aca="false">IF(B33="","",IFERROR(INDEX(NV_CC,MATCH(B33,NV_MA,0)),""))</f>
        <v/>
      </c>
      <c r="G33" s="29" t="str">
        <f aca="false">IF(B33="","",IFERROR(INDEX(NV_CB,MATCH(B33,NV_MA,0)),""))</f>
        <v/>
      </c>
      <c r="H33" s="29" t="str">
        <f aca="false">IF(B33="","",IFERROR(INDEX(NV_TV,MATCH(B33,NV_MA,0)),""))</f>
        <v/>
      </c>
      <c r="I33" s="29" t="str">
        <f aca="false">IF(B33="","",IFERROR(INDEX(NV_BHXH,MATCH(B33,NV_MA,0)),""))</f>
        <v/>
      </c>
      <c r="J33" s="29" t="str">
        <f aca="false">IF(B33="","",IFERROR(INDEX(NV_DONG,MATCH(B33,NV_MA,0)),""))</f>
        <v/>
      </c>
      <c r="K33" s="29" t="str">
        <f aca="false">IF(B33="","",IFERROR(INDEX(NV_PC,MATCH(B33,NV_MA,0)),""))</f>
        <v/>
      </c>
      <c r="L33" s="18" t="str">
        <f aca="false">IF(B33="","",IFERROR(INDEX(NV_NHOMCC,MATCH(B33,NV_MA,0)),""))</f>
        <v/>
      </c>
      <c r="M33" s="25" t="str">
        <f aca="false">IF(B33="","",IFERROR(INDEX(BCC_CONG,MATCH(B33,BCC_MA,0)),0))</f>
        <v/>
      </c>
      <c r="N33" s="18" t="str">
        <f aca="false">IF(B33="","",IFERROR(INDEX(BCC_PHEP,MATCH(B33,BCC_MA,0)),0))</f>
        <v/>
      </c>
      <c r="O33" s="18" t="str">
        <f aca="false">IF(B33="","",IFERROR(INDEX(BCC_LE,MATCH(B33,BCC_MA,0)),0))</f>
        <v/>
      </c>
      <c r="P33" s="18" t="str">
        <f aca="false">IF(B33="","",IFERROR(INDEX(BCC_LEDL,MATCH(B33,BCC_MA,0)),0))</f>
        <v/>
      </c>
      <c r="Q33" s="18" t="str">
        <f aca="false">IF(B33="","",IFERROR(INDEX(BCC_CD,MATCH(B33,BCC_MA,0)),0))</f>
        <v/>
      </c>
      <c r="R33" s="29" t="str">
        <f aca="false">IF(B33="","",IF(E33="Khoán tháng",G33,IF(E33="Thử việc",IF(N(H33)&gt;0,H33,G33*TL_THUVIEC),G33)/F33*M33))</f>
        <v/>
      </c>
      <c r="S33" s="29" t="str">
        <f aca="false">IF(B33="","",IF(E33="Khoán tháng",0,I33/NGAY_CHIA*N33))</f>
        <v/>
      </c>
      <c r="T33" s="29" t="str">
        <f aca="false">IF(B33="","",IF(E33="Khoán tháng",0,I33/NGAY_CHIA*O33))</f>
        <v/>
      </c>
      <c r="U33" s="29" t="str">
        <f aca="false">IF(B33="","",IF(E33="Khoán tháng",0,G33/F33/GIO_CONG*P33*HS_LE))</f>
        <v/>
      </c>
      <c r="V33" s="29" t="str">
        <f aca="false">IF(B33="","",IF(E33="Khoán tháng",0,I33/NGAY_CHIA*Q33))</f>
        <v/>
      </c>
      <c r="W33" s="29" t="str">
        <f aca="false">IF(B33="","",IF(L33="Chung",IF(M33&gt;=CC_NGUONG,CC_TIEN,0),IF(L33="Cơ điện",IF(M33&gt;CD_N2,CD_T2,IF(M33&gt;CD_N1,CD_T1,0)),0))+SUMIFS(DC_TIEN,DC_MA,$B33,DC_LOAI,"Chuyên cần",DC_AP,"Có"))</f>
        <v/>
      </c>
      <c r="X33" s="29" t="str">
        <f aca="false">IF(B33="","",N(K33))</f>
        <v/>
      </c>
      <c r="Y33" s="29" t="str">
        <f aca="false">IF(B33="","",SUMIFS(DC_TIEN,DC_MA,$B33,DC_LOAI,"Truy lĩnh",DC_AP,"Có")+SUMIFS(DC_TIEN,DC_MA,$B33,DC_LOAI,"Cộng khác",DC_AP,"Có"))</f>
        <v/>
      </c>
      <c r="Z33" s="30" t="str">
        <f aca="false">IF(B33="","",SUM(R33:Y33))</f>
        <v/>
      </c>
      <c r="AA33" s="29" t="str">
        <f aca="false">IF(B33="","",IF(J33="Có",I33*BHXH_NLD,0))</f>
        <v/>
      </c>
      <c r="AB33" s="29" t="str">
        <f aca="false">IF(B33="","",SUMIFS(DC_TIEN,DC_MA,$B33,DC_LOAI,"Tạm ứng",DC_AP,"Có"))</f>
        <v/>
      </c>
      <c r="AC33" s="29" t="str">
        <f aca="false">IF(B33="","",SUMIFS(DC_TIEN,DC_MA,$B33,DC_LOAI,"Trừ khác",DC_AP,"Có"))</f>
        <v/>
      </c>
      <c r="AD33" s="29" t="str">
        <f aca="false">IF(B33="","",SUMIFS(DC_TIEN,DC_MA,$B33,DC_LOAI,"KPI trừ",DC_AP,"Có"))</f>
        <v/>
      </c>
      <c r="AE33" s="29" t="str">
        <f aca="false">IF(B33="","",SUM(AA33:AD33))</f>
        <v/>
      </c>
      <c r="AF33" s="30" t="str">
        <f aca="false">IF(B33="","",ROUNDDOWN(Z33-AE33,-3))</f>
        <v/>
      </c>
      <c r="AG33" s="20"/>
    </row>
    <row r="34" customFormat="false" ht="15" hidden="false" customHeight="false" outlineLevel="0" collapsed="false">
      <c r="A34" s="18" t="str">
        <f aca="false">IF(B34="","",ROW()-5)</f>
        <v/>
      </c>
      <c r="B34" s="28" t="str">
        <f aca="false">IF(BCC!B34="","",BCC!B34)</f>
        <v/>
      </c>
      <c r="C34" s="18" t="str">
        <f aca="false">IF(B34="","",IFERROR(INDEX(NV_TEN,MATCH(B34,NV_MA,0)),"MÃ KHÔNG CÓ"))</f>
        <v/>
      </c>
      <c r="D34" s="18" t="str">
        <f aca="false">IF(B34="","",IFERROR(INDEX(NV_PN,MATCH(B34,NV_MA,0)),""))</f>
        <v/>
      </c>
      <c r="E34" s="18" t="str">
        <f aca="false">IF(B34="","",IFERROR(INDEX(NV_HT,MATCH(B34,NV_MA,0)),""))</f>
        <v/>
      </c>
      <c r="F34" s="18" t="str">
        <f aca="false">IF(B34="","",IFERROR(INDEX(NV_CC,MATCH(B34,NV_MA,0)),""))</f>
        <v/>
      </c>
      <c r="G34" s="29" t="str">
        <f aca="false">IF(B34="","",IFERROR(INDEX(NV_CB,MATCH(B34,NV_MA,0)),""))</f>
        <v/>
      </c>
      <c r="H34" s="29" t="str">
        <f aca="false">IF(B34="","",IFERROR(INDEX(NV_TV,MATCH(B34,NV_MA,0)),""))</f>
        <v/>
      </c>
      <c r="I34" s="29" t="str">
        <f aca="false">IF(B34="","",IFERROR(INDEX(NV_BHXH,MATCH(B34,NV_MA,0)),""))</f>
        <v/>
      </c>
      <c r="J34" s="29" t="str">
        <f aca="false">IF(B34="","",IFERROR(INDEX(NV_DONG,MATCH(B34,NV_MA,0)),""))</f>
        <v/>
      </c>
      <c r="K34" s="29" t="str">
        <f aca="false">IF(B34="","",IFERROR(INDEX(NV_PC,MATCH(B34,NV_MA,0)),""))</f>
        <v/>
      </c>
      <c r="L34" s="18" t="str">
        <f aca="false">IF(B34="","",IFERROR(INDEX(NV_NHOMCC,MATCH(B34,NV_MA,0)),""))</f>
        <v/>
      </c>
      <c r="M34" s="25" t="str">
        <f aca="false">IF(B34="","",IFERROR(INDEX(BCC_CONG,MATCH(B34,BCC_MA,0)),0))</f>
        <v/>
      </c>
      <c r="N34" s="18" t="str">
        <f aca="false">IF(B34="","",IFERROR(INDEX(BCC_PHEP,MATCH(B34,BCC_MA,0)),0))</f>
        <v/>
      </c>
      <c r="O34" s="18" t="str">
        <f aca="false">IF(B34="","",IFERROR(INDEX(BCC_LE,MATCH(B34,BCC_MA,0)),0))</f>
        <v/>
      </c>
      <c r="P34" s="18" t="str">
        <f aca="false">IF(B34="","",IFERROR(INDEX(BCC_LEDL,MATCH(B34,BCC_MA,0)),0))</f>
        <v/>
      </c>
      <c r="Q34" s="18" t="str">
        <f aca="false">IF(B34="","",IFERROR(INDEX(BCC_CD,MATCH(B34,BCC_MA,0)),0))</f>
        <v/>
      </c>
      <c r="R34" s="29" t="str">
        <f aca="false">IF(B34="","",IF(E34="Khoán tháng",G34,IF(E34="Thử việc",IF(N(H34)&gt;0,H34,G34*TL_THUVIEC),G34)/F34*M34))</f>
        <v/>
      </c>
      <c r="S34" s="29" t="str">
        <f aca="false">IF(B34="","",IF(E34="Khoán tháng",0,I34/NGAY_CHIA*N34))</f>
        <v/>
      </c>
      <c r="T34" s="29" t="str">
        <f aca="false">IF(B34="","",IF(E34="Khoán tháng",0,I34/NGAY_CHIA*O34))</f>
        <v/>
      </c>
      <c r="U34" s="29" t="str">
        <f aca="false">IF(B34="","",IF(E34="Khoán tháng",0,G34/F34/GIO_CONG*P34*HS_LE))</f>
        <v/>
      </c>
      <c r="V34" s="29" t="str">
        <f aca="false">IF(B34="","",IF(E34="Khoán tháng",0,I34/NGAY_CHIA*Q34))</f>
        <v/>
      </c>
      <c r="W34" s="29" t="str">
        <f aca="false">IF(B34="","",IF(L34="Chung",IF(M34&gt;=CC_NGUONG,CC_TIEN,0),IF(L34="Cơ điện",IF(M34&gt;CD_N2,CD_T2,IF(M34&gt;CD_N1,CD_T1,0)),0))+SUMIFS(DC_TIEN,DC_MA,$B34,DC_LOAI,"Chuyên cần",DC_AP,"Có"))</f>
        <v/>
      </c>
      <c r="X34" s="29" t="str">
        <f aca="false">IF(B34="","",N(K34))</f>
        <v/>
      </c>
      <c r="Y34" s="29" t="str">
        <f aca="false">IF(B34="","",SUMIFS(DC_TIEN,DC_MA,$B34,DC_LOAI,"Truy lĩnh",DC_AP,"Có")+SUMIFS(DC_TIEN,DC_MA,$B34,DC_LOAI,"Cộng khác",DC_AP,"Có"))</f>
        <v/>
      </c>
      <c r="Z34" s="30" t="str">
        <f aca="false">IF(B34="","",SUM(R34:Y34))</f>
        <v/>
      </c>
      <c r="AA34" s="29" t="str">
        <f aca="false">IF(B34="","",IF(J34="Có",I34*BHXH_NLD,0))</f>
        <v/>
      </c>
      <c r="AB34" s="29" t="str">
        <f aca="false">IF(B34="","",SUMIFS(DC_TIEN,DC_MA,$B34,DC_LOAI,"Tạm ứng",DC_AP,"Có"))</f>
        <v/>
      </c>
      <c r="AC34" s="29" t="str">
        <f aca="false">IF(B34="","",SUMIFS(DC_TIEN,DC_MA,$B34,DC_LOAI,"Trừ khác",DC_AP,"Có"))</f>
        <v/>
      </c>
      <c r="AD34" s="29" t="str">
        <f aca="false">IF(B34="","",SUMIFS(DC_TIEN,DC_MA,$B34,DC_LOAI,"KPI trừ",DC_AP,"Có"))</f>
        <v/>
      </c>
      <c r="AE34" s="29" t="str">
        <f aca="false">IF(B34="","",SUM(AA34:AD34))</f>
        <v/>
      </c>
      <c r="AF34" s="30" t="str">
        <f aca="false">IF(B34="","",ROUNDDOWN(Z34-AE34,-3))</f>
        <v/>
      </c>
      <c r="AG34" s="20"/>
    </row>
    <row r="35" customFormat="false" ht="15" hidden="false" customHeight="false" outlineLevel="0" collapsed="false">
      <c r="A35" s="18" t="str">
        <f aca="false">IF(B35="","",ROW()-5)</f>
        <v/>
      </c>
      <c r="B35" s="28" t="str">
        <f aca="false">IF(BCC!B35="","",BCC!B35)</f>
        <v/>
      </c>
      <c r="C35" s="18" t="str">
        <f aca="false">IF(B35="","",IFERROR(INDEX(NV_TEN,MATCH(B35,NV_MA,0)),"MÃ KHÔNG CÓ"))</f>
        <v/>
      </c>
      <c r="D35" s="18" t="str">
        <f aca="false">IF(B35="","",IFERROR(INDEX(NV_PN,MATCH(B35,NV_MA,0)),""))</f>
        <v/>
      </c>
      <c r="E35" s="18" t="str">
        <f aca="false">IF(B35="","",IFERROR(INDEX(NV_HT,MATCH(B35,NV_MA,0)),""))</f>
        <v/>
      </c>
      <c r="F35" s="18" t="str">
        <f aca="false">IF(B35="","",IFERROR(INDEX(NV_CC,MATCH(B35,NV_MA,0)),""))</f>
        <v/>
      </c>
      <c r="G35" s="29" t="str">
        <f aca="false">IF(B35="","",IFERROR(INDEX(NV_CB,MATCH(B35,NV_MA,0)),""))</f>
        <v/>
      </c>
      <c r="H35" s="29" t="str">
        <f aca="false">IF(B35="","",IFERROR(INDEX(NV_TV,MATCH(B35,NV_MA,0)),""))</f>
        <v/>
      </c>
      <c r="I35" s="29" t="str">
        <f aca="false">IF(B35="","",IFERROR(INDEX(NV_BHXH,MATCH(B35,NV_MA,0)),""))</f>
        <v/>
      </c>
      <c r="J35" s="29" t="str">
        <f aca="false">IF(B35="","",IFERROR(INDEX(NV_DONG,MATCH(B35,NV_MA,0)),""))</f>
        <v/>
      </c>
      <c r="K35" s="29" t="str">
        <f aca="false">IF(B35="","",IFERROR(INDEX(NV_PC,MATCH(B35,NV_MA,0)),""))</f>
        <v/>
      </c>
      <c r="L35" s="18" t="str">
        <f aca="false">IF(B35="","",IFERROR(INDEX(NV_NHOMCC,MATCH(B35,NV_MA,0)),""))</f>
        <v/>
      </c>
      <c r="M35" s="25" t="str">
        <f aca="false">IF(B35="","",IFERROR(INDEX(BCC_CONG,MATCH(B35,BCC_MA,0)),0))</f>
        <v/>
      </c>
      <c r="N35" s="18" t="str">
        <f aca="false">IF(B35="","",IFERROR(INDEX(BCC_PHEP,MATCH(B35,BCC_MA,0)),0))</f>
        <v/>
      </c>
      <c r="O35" s="18" t="str">
        <f aca="false">IF(B35="","",IFERROR(INDEX(BCC_LE,MATCH(B35,BCC_MA,0)),0))</f>
        <v/>
      </c>
      <c r="P35" s="18" t="str">
        <f aca="false">IF(B35="","",IFERROR(INDEX(BCC_LEDL,MATCH(B35,BCC_MA,0)),0))</f>
        <v/>
      </c>
      <c r="Q35" s="18" t="str">
        <f aca="false">IF(B35="","",IFERROR(INDEX(BCC_CD,MATCH(B35,BCC_MA,0)),0))</f>
        <v/>
      </c>
      <c r="R35" s="29" t="str">
        <f aca="false">IF(B35="","",IF(E35="Khoán tháng",G35,IF(E35="Thử việc",IF(N(H35)&gt;0,H35,G35*TL_THUVIEC),G35)/F35*M35))</f>
        <v/>
      </c>
      <c r="S35" s="29" t="str">
        <f aca="false">IF(B35="","",IF(E35="Khoán tháng",0,I35/NGAY_CHIA*N35))</f>
        <v/>
      </c>
      <c r="T35" s="29" t="str">
        <f aca="false">IF(B35="","",IF(E35="Khoán tháng",0,I35/NGAY_CHIA*O35))</f>
        <v/>
      </c>
      <c r="U35" s="29" t="str">
        <f aca="false">IF(B35="","",IF(E35="Khoán tháng",0,G35/F35/GIO_CONG*P35*HS_LE))</f>
        <v/>
      </c>
      <c r="V35" s="29" t="str">
        <f aca="false">IF(B35="","",IF(E35="Khoán tháng",0,I35/NGAY_CHIA*Q35))</f>
        <v/>
      </c>
      <c r="W35" s="29" t="str">
        <f aca="false">IF(B35="","",IF(L35="Chung",IF(M35&gt;=CC_NGUONG,CC_TIEN,0),IF(L35="Cơ điện",IF(M35&gt;CD_N2,CD_T2,IF(M35&gt;CD_N1,CD_T1,0)),0))+SUMIFS(DC_TIEN,DC_MA,$B35,DC_LOAI,"Chuyên cần",DC_AP,"Có"))</f>
        <v/>
      </c>
      <c r="X35" s="29" t="str">
        <f aca="false">IF(B35="","",N(K35))</f>
        <v/>
      </c>
      <c r="Y35" s="29" t="str">
        <f aca="false">IF(B35="","",SUMIFS(DC_TIEN,DC_MA,$B35,DC_LOAI,"Truy lĩnh",DC_AP,"Có")+SUMIFS(DC_TIEN,DC_MA,$B35,DC_LOAI,"Cộng khác",DC_AP,"Có"))</f>
        <v/>
      </c>
      <c r="Z35" s="30" t="str">
        <f aca="false">IF(B35="","",SUM(R35:Y35))</f>
        <v/>
      </c>
      <c r="AA35" s="29" t="str">
        <f aca="false">IF(B35="","",IF(J35="Có",I35*BHXH_NLD,0))</f>
        <v/>
      </c>
      <c r="AB35" s="29" t="str">
        <f aca="false">IF(B35="","",SUMIFS(DC_TIEN,DC_MA,$B35,DC_LOAI,"Tạm ứng",DC_AP,"Có"))</f>
        <v/>
      </c>
      <c r="AC35" s="29" t="str">
        <f aca="false">IF(B35="","",SUMIFS(DC_TIEN,DC_MA,$B35,DC_LOAI,"Trừ khác",DC_AP,"Có"))</f>
        <v/>
      </c>
      <c r="AD35" s="29" t="str">
        <f aca="false">IF(B35="","",SUMIFS(DC_TIEN,DC_MA,$B35,DC_LOAI,"KPI trừ",DC_AP,"Có"))</f>
        <v/>
      </c>
      <c r="AE35" s="29" t="str">
        <f aca="false">IF(B35="","",SUM(AA35:AD35))</f>
        <v/>
      </c>
      <c r="AF35" s="30" t="str">
        <f aca="false">IF(B35="","",ROUNDDOWN(Z35-AE35,-3))</f>
        <v/>
      </c>
      <c r="AG35" s="20"/>
    </row>
    <row r="36" customFormat="false" ht="15" hidden="false" customHeight="false" outlineLevel="0" collapsed="false">
      <c r="A36" s="18" t="str">
        <f aca="false">IF(B36="","",ROW()-5)</f>
        <v/>
      </c>
      <c r="B36" s="28" t="str">
        <f aca="false">IF(BCC!B36="","",BCC!B36)</f>
        <v/>
      </c>
      <c r="C36" s="18" t="str">
        <f aca="false">IF(B36="","",IFERROR(INDEX(NV_TEN,MATCH(B36,NV_MA,0)),"MÃ KHÔNG CÓ"))</f>
        <v/>
      </c>
      <c r="D36" s="18" t="str">
        <f aca="false">IF(B36="","",IFERROR(INDEX(NV_PN,MATCH(B36,NV_MA,0)),""))</f>
        <v/>
      </c>
      <c r="E36" s="18" t="str">
        <f aca="false">IF(B36="","",IFERROR(INDEX(NV_HT,MATCH(B36,NV_MA,0)),""))</f>
        <v/>
      </c>
      <c r="F36" s="18" t="str">
        <f aca="false">IF(B36="","",IFERROR(INDEX(NV_CC,MATCH(B36,NV_MA,0)),""))</f>
        <v/>
      </c>
      <c r="G36" s="29" t="str">
        <f aca="false">IF(B36="","",IFERROR(INDEX(NV_CB,MATCH(B36,NV_MA,0)),""))</f>
        <v/>
      </c>
      <c r="H36" s="29" t="str">
        <f aca="false">IF(B36="","",IFERROR(INDEX(NV_TV,MATCH(B36,NV_MA,0)),""))</f>
        <v/>
      </c>
      <c r="I36" s="29" t="str">
        <f aca="false">IF(B36="","",IFERROR(INDEX(NV_BHXH,MATCH(B36,NV_MA,0)),""))</f>
        <v/>
      </c>
      <c r="J36" s="29" t="str">
        <f aca="false">IF(B36="","",IFERROR(INDEX(NV_DONG,MATCH(B36,NV_MA,0)),""))</f>
        <v/>
      </c>
      <c r="K36" s="29" t="str">
        <f aca="false">IF(B36="","",IFERROR(INDEX(NV_PC,MATCH(B36,NV_MA,0)),""))</f>
        <v/>
      </c>
      <c r="L36" s="18" t="str">
        <f aca="false">IF(B36="","",IFERROR(INDEX(NV_NHOMCC,MATCH(B36,NV_MA,0)),""))</f>
        <v/>
      </c>
      <c r="M36" s="25" t="str">
        <f aca="false">IF(B36="","",IFERROR(INDEX(BCC_CONG,MATCH(B36,BCC_MA,0)),0))</f>
        <v/>
      </c>
      <c r="N36" s="18" t="str">
        <f aca="false">IF(B36="","",IFERROR(INDEX(BCC_PHEP,MATCH(B36,BCC_MA,0)),0))</f>
        <v/>
      </c>
      <c r="O36" s="18" t="str">
        <f aca="false">IF(B36="","",IFERROR(INDEX(BCC_LE,MATCH(B36,BCC_MA,0)),0))</f>
        <v/>
      </c>
      <c r="P36" s="18" t="str">
        <f aca="false">IF(B36="","",IFERROR(INDEX(BCC_LEDL,MATCH(B36,BCC_MA,0)),0))</f>
        <v/>
      </c>
      <c r="Q36" s="18" t="str">
        <f aca="false">IF(B36="","",IFERROR(INDEX(BCC_CD,MATCH(B36,BCC_MA,0)),0))</f>
        <v/>
      </c>
      <c r="R36" s="29" t="str">
        <f aca="false">IF(B36="","",IF(E36="Khoán tháng",G36,IF(E36="Thử việc",IF(N(H36)&gt;0,H36,G36*TL_THUVIEC),G36)/F36*M36))</f>
        <v/>
      </c>
      <c r="S36" s="29" t="str">
        <f aca="false">IF(B36="","",IF(E36="Khoán tháng",0,I36/NGAY_CHIA*N36))</f>
        <v/>
      </c>
      <c r="T36" s="29" t="str">
        <f aca="false">IF(B36="","",IF(E36="Khoán tháng",0,I36/NGAY_CHIA*O36))</f>
        <v/>
      </c>
      <c r="U36" s="29" t="str">
        <f aca="false">IF(B36="","",IF(E36="Khoán tháng",0,G36/F36/GIO_CONG*P36*HS_LE))</f>
        <v/>
      </c>
      <c r="V36" s="29" t="str">
        <f aca="false">IF(B36="","",IF(E36="Khoán tháng",0,I36/NGAY_CHIA*Q36))</f>
        <v/>
      </c>
      <c r="W36" s="29" t="str">
        <f aca="false">IF(B36="","",IF(L36="Chung",IF(M36&gt;=CC_NGUONG,CC_TIEN,0),IF(L36="Cơ điện",IF(M36&gt;CD_N2,CD_T2,IF(M36&gt;CD_N1,CD_T1,0)),0))+SUMIFS(DC_TIEN,DC_MA,$B36,DC_LOAI,"Chuyên cần",DC_AP,"Có"))</f>
        <v/>
      </c>
      <c r="X36" s="29" t="str">
        <f aca="false">IF(B36="","",N(K36))</f>
        <v/>
      </c>
      <c r="Y36" s="29" t="str">
        <f aca="false">IF(B36="","",SUMIFS(DC_TIEN,DC_MA,$B36,DC_LOAI,"Truy lĩnh",DC_AP,"Có")+SUMIFS(DC_TIEN,DC_MA,$B36,DC_LOAI,"Cộng khác",DC_AP,"Có"))</f>
        <v/>
      </c>
      <c r="Z36" s="30" t="str">
        <f aca="false">IF(B36="","",SUM(R36:Y36))</f>
        <v/>
      </c>
      <c r="AA36" s="29" t="str">
        <f aca="false">IF(B36="","",IF(J36="Có",I36*BHXH_NLD,0))</f>
        <v/>
      </c>
      <c r="AB36" s="29" t="str">
        <f aca="false">IF(B36="","",SUMIFS(DC_TIEN,DC_MA,$B36,DC_LOAI,"Tạm ứng",DC_AP,"Có"))</f>
        <v/>
      </c>
      <c r="AC36" s="29" t="str">
        <f aca="false">IF(B36="","",SUMIFS(DC_TIEN,DC_MA,$B36,DC_LOAI,"Trừ khác",DC_AP,"Có"))</f>
        <v/>
      </c>
      <c r="AD36" s="29" t="str">
        <f aca="false">IF(B36="","",SUMIFS(DC_TIEN,DC_MA,$B36,DC_LOAI,"KPI trừ",DC_AP,"Có"))</f>
        <v/>
      </c>
      <c r="AE36" s="29" t="str">
        <f aca="false">IF(B36="","",SUM(AA36:AD36))</f>
        <v/>
      </c>
      <c r="AF36" s="30" t="str">
        <f aca="false">IF(B36="","",ROUNDDOWN(Z36-AE36,-3))</f>
        <v/>
      </c>
      <c r="AG36" s="20"/>
    </row>
    <row r="37" customFormat="false" ht="15" hidden="false" customHeight="false" outlineLevel="0" collapsed="false">
      <c r="A37" s="18" t="str">
        <f aca="false">IF(B37="","",ROW()-5)</f>
        <v/>
      </c>
      <c r="B37" s="28" t="str">
        <f aca="false">IF(BCC!B37="","",BCC!B37)</f>
        <v/>
      </c>
      <c r="C37" s="18" t="str">
        <f aca="false">IF(B37="","",IFERROR(INDEX(NV_TEN,MATCH(B37,NV_MA,0)),"MÃ KHÔNG CÓ"))</f>
        <v/>
      </c>
      <c r="D37" s="18" t="str">
        <f aca="false">IF(B37="","",IFERROR(INDEX(NV_PN,MATCH(B37,NV_MA,0)),""))</f>
        <v/>
      </c>
      <c r="E37" s="18" t="str">
        <f aca="false">IF(B37="","",IFERROR(INDEX(NV_HT,MATCH(B37,NV_MA,0)),""))</f>
        <v/>
      </c>
      <c r="F37" s="18" t="str">
        <f aca="false">IF(B37="","",IFERROR(INDEX(NV_CC,MATCH(B37,NV_MA,0)),""))</f>
        <v/>
      </c>
      <c r="G37" s="29" t="str">
        <f aca="false">IF(B37="","",IFERROR(INDEX(NV_CB,MATCH(B37,NV_MA,0)),""))</f>
        <v/>
      </c>
      <c r="H37" s="29" t="str">
        <f aca="false">IF(B37="","",IFERROR(INDEX(NV_TV,MATCH(B37,NV_MA,0)),""))</f>
        <v/>
      </c>
      <c r="I37" s="29" t="str">
        <f aca="false">IF(B37="","",IFERROR(INDEX(NV_BHXH,MATCH(B37,NV_MA,0)),""))</f>
        <v/>
      </c>
      <c r="J37" s="29" t="str">
        <f aca="false">IF(B37="","",IFERROR(INDEX(NV_DONG,MATCH(B37,NV_MA,0)),""))</f>
        <v/>
      </c>
      <c r="K37" s="29" t="str">
        <f aca="false">IF(B37="","",IFERROR(INDEX(NV_PC,MATCH(B37,NV_MA,0)),""))</f>
        <v/>
      </c>
      <c r="L37" s="18" t="str">
        <f aca="false">IF(B37="","",IFERROR(INDEX(NV_NHOMCC,MATCH(B37,NV_MA,0)),""))</f>
        <v/>
      </c>
      <c r="M37" s="25" t="str">
        <f aca="false">IF(B37="","",IFERROR(INDEX(BCC_CONG,MATCH(B37,BCC_MA,0)),0))</f>
        <v/>
      </c>
      <c r="N37" s="18" t="str">
        <f aca="false">IF(B37="","",IFERROR(INDEX(BCC_PHEP,MATCH(B37,BCC_MA,0)),0))</f>
        <v/>
      </c>
      <c r="O37" s="18" t="str">
        <f aca="false">IF(B37="","",IFERROR(INDEX(BCC_LE,MATCH(B37,BCC_MA,0)),0))</f>
        <v/>
      </c>
      <c r="P37" s="18" t="str">
        <f aca="false">IF(B37="","",IFERROR(INDEX(BCC_LEDL,MATCH(B37,BCC_MA,0)),0))</f>
        <v/>
      </c>
      <c r="Q37" s="18" t="str">
        <f aca="false">IF(B37="","",IFERROR(INDEX(BCC_CD,MATCH(B37,BCC_MA,0)),0))</f>
        <v/>
      </c>
      <c r="R37" s="29" t="str">
        <f aca="false">IF(B37="","",IF(E37="Khoán tháng",G37,IF(E37="Thử việc",IF(N(H37)&gt;0,H37,G37*TL_THUVIEC),G37)/F37*M37))</f>
        <v/>
      </c>
      <c r="S37" s="29" t="str">
        <f aca="false">IF(B37="","",IF(E37="Khoán tháng",0,I37/NGAY_CHIA*N37))</f>
        <v/>
      </c>
      <c r="T37" s="29" t="str">
        <f aca="false">IF(B37="","",IF(E37="Khoán tháng",0,I37/NGAY_CHIA*O37))</f>
        <v/>
      </c>
      <c r="U37" s="29" t="str">
        <f aca="false">IF(B37="","",IF(E37="Khoán tháng",0,G37/F37/GIO_CONG*P37*HS_LE))</f>
        <v/>
      </c>
      <c r="V37" s="29" t="str">
        <f aca="false">IF(B37="","",IF(E37="Khoán tháng",0,I37/NGAY_CHIA*Q37))</f>
        <v/>
      </c>
      <c r="W37" s="29" t="str">
        <f aca="false">IF(B37="","",IF(L37="Chung",IF(M37&gt;=CC_NGUONG,CC_TIEN,0),IF(L37="Cơ điện",IF(M37&gt;CD_N2,CD_T2,IF(M37&gt;CD_N1,CD_T1,0)),0))+SUMIFS(DC_TIEN,DC_MA,$B37,DC_LOAI,"Chuyên cần",DC_AP,"Có"))</f>
        <v/>
      </c>
      <c r="X37" s="29" t="str">
        <f aca="false">IF(B37="","",N(K37))</f>
        <v/>
      </c>
      <c r="Y37" s="29" t="str">
        <f aca="false">IF(B37="","",SUMIFS(DC_TIEN,DC_MA,$B37,DC_LOAI,"Truy lĩnh",DC_AP,"Có")+SUMIFS(DC_TIEN,DC_MA,$B37,DC_LOAI,"Cộng khác",DC_AP,"Có"))</f>
        <v/>
      </c>
      <c r="Z37" s="30" t="str">
        <f aca="false">IF(B37="","",SUM(R37:Y37))</f>
        <v/>
      </c>
      <c r="AA37" s="29" t="str">
        <f aca="false">IF(B37="","",IF(J37="Có",I37*BHXH_NLD,0))</f>
        <v/>
      </c>
      <c r="AB37" s="29" t="str">
        <f aca="false">IF(B37="","",SUMIFS(DC_TIEN,DC_MA,$B37,DC_LOAI,"Tạm ứng",DC_AP,"Có"))</f>
        <v/>
      </c>
      <c r="AC37" s="29" t="str">
        <f aca="false">IF(B37="","",SUMIFS(DC_TIEN,DC_MA,$B37,DC_LOAI,"Trừ khác",DC_AP,"Có"))</f>
        <v/>
      </c>
      <c r="AD37" s="29" t="str">
        <f aca="false">IF(B37="","",SUMIFS(DC_TIEN,DC_MA,$B37,DC_LOAI,"KPI trừ",DC_AP,"Có"))</f>
        <v/>
      </c>
      <c r="AE37" s="29" t="str">
        <f aca="false">IF(B37="","",SUM(AA37:AD37))</f>
        <v/>
      </c>
      <c r="AF37" s="30" t="str">
        <f aca="false">IF(B37="","",ROUNDDOWN(Z37-AE37,-3))</f>
        <v/>
      </c>
      <c r="AG37" s="20"/>
    </row>
    <row r="38" customFormat="false" ht="15" hidden="false" customHeight="false" outlineLevel="0" collapsed="false">
      <c r="A38" s="18" t="str">
        <f aca="false">IF(B38="","",ROW()-5)</f>
        <v/>
      </c>
      <c r="B38" s="28" t="str">
        <f aca="false">IF(BCC!B38="","",BCC!B38)</f>
        <v/>
      </c>
      <c r="C38" s="18" t="str">
        <f aca="false">IF(B38="","",IFERROR(INDEX(NV_TEN,MATCH(B38,NV_MA,0)),"MÃ KHÔNG CÓ"))</f>
        <v/>
      </c>
      <c r="D38" s="18" t="str">
        <f aca="false">IF(B38="","",IFERROR(INDEX(NV_PN,MATCH(B38,NV_MA,0)),""))</f>
        <v/>
      </c>
      <c r="E38" s="18" t="str">
        <f aca="false">IF(B38="","",IFERROR(INDEX(NV_HT,MATCH(B38,NV_MA,0)),""))</f>
        <v/>
      </c>
      <c r="F38" s="18" t="str">
        <f aca="false">IF(B38="","",IFERROR(INDEX(NV_CC,MATCH(B38,NV_MA,0)),""))</f>
        <v/>
      </c>
      <c r="G38" s="29" t="str">
        <f aca="false">IF(B38="","",IFERROR(INDEX(NV_CB,MATCH(B38,NV_MA,0)),""))</f>
        <v/>
      </c>
      <c r="H38" s="29" t="str">
        <f aca="false">IF(B38="","",IFERROR(INDEX(NV_TV,MATCH(B38,NV_MA,0)),""))</f>
        <v/>
      </c>
      <c r="I38" s="29" t="str">
        <f aca="false">IF(B38="","",IFERROR(INDEX(NV_BHXH,MATCH(B38,NV_MA,0)),""))</f>
        <v/>
      </c>
      <c r="J38" s="29" t="str">
        <f aca="false">IF(B38="","",IFERROR(INDEX(NV_DONG,MATCH(B38,NV_MA,0)),""))</f>
        <v/>
      </c>
      <c r="K38" s="29" t="str">
        <f aca="false">IF(B38="","",IFERROR(INDEX(NV_PC,MATCH(B38,NV_MA,0)),""))</f>
        <v/>
      </c>
      <c r="L38" s="18" t="str">
        <f aca="false">IF(B38="","",IFERROR(INDEX(NV_NHOMCC,MATCH(B38,NV_MA,0)),""))</f>
        <v/>
      </c>
      <c r="M38" s="25" t="str">
        <f aca="false">IF(B38="","",IFERROR(INDEX(BCC_CONG,MATCH(B38,BCC_MA,0)),0))</f>
        <v/>
      </c>
      <c r="N38" s="18" t="str">
        <f aca="false">IF(B38="","",IFERROR(INDEX(BCC_PHEP,MATCH(B38,BCC_MA,0)),0))</f>
        <v/>
      </c>
      <c r="O38" s="18" t="str">
        <f aca="false">IF(B38="","",IFERROR(INDEX(BCC_LE,MATCH(B38,BCC_MA,0)),0))</f>
        <v/>
      </c>
      <c r="P38" s="18" t="str">
        <f aca="false">IF(B38="","",IFERROR(INDEX(BCC_LEDL,MATCH(B38,BCC_MA,0)),0))</f>
        <v/>
      </c>
      <c r="Q38" s="18" t="str">
        <f aca="false">IF(B38="","",IFERROR(INDEX(BCC_CD,MATCH(B38,BCC_MA,0)),0))</f>
        <v/>
      </c>
      <c r="R38" s="29" t="str">
        <f aca="false">IF(B38="","",IF(E38="Khoán tháng",G38,IF(E38="Thử việc",IF(N(H38)&gt;0,H38,G38*TL_THUVIEC),G38)/F38*M38))</f>
        <v/>
      </c>
      <c r="S38" s="29" t="str">
        <f aca="false">IF(B38="","",IF(E38="Khoán tháng",0,I38/NGAY_CHIA*N38))</f>
        <v/>
      </c>
      <c r="T38" s="29" t="str">
        <f aca="false">IF(B38="","",IF(E38="Khoán tháng",0,I38/NGAY_CHIA*O38))</f>
        <v/>
      </c>
      <c r="U38" s="29" t="str">
        <f aca="false">IF(B38="","",IF(E38="Khoán tháng",0,G38/F38/GIO_CONG*P38*HS_LE))</f>
        <v/>
      </c>
      <c r="V38" s="29" t="str">
        <f aca="false">IF(B38="","",IF(E38="Khoán tháng",0,I38/NGAY_CHIA*Q38))</f>
        <v/>
      </c>
      <c r="W38" s="29" t="str">
        <f aca="false">IF(B38="","",IF(L38="Chung",IF(M38&gt;=CC_NGUONG,CC_TIEN,0),IF(L38="Cơ điện",IF(M38&gt;CD_N2,CD_T2,IF(M38&gt;CD_N1,CD_T1,0)),0))+SUMIFS(DC_TIEN,DC_MA,$B38,DC_LOAI,"Chuyên cần",DC_AP,"Có"))</f>
        <v/>
      </c>
      <c r="X38" s="29" t="str">
        <f aca="false">IF(B38="","",N(K38))</f>
        <v/>
      </c>
      <c r="Y38" s="29" t="str">
        <f aca="false">IF(B38="","",SUMIFS(DC_TIEN,DC_MA,$B38,DC_LOAI,"Truy lĩnh",DC_AP,"Có")+SUMIFS(DC_TIEN,DC_MA,$B38,DC_LOAI,"Cộng khác",DC_AP,"Có"))</f>
        <v/>
      </c>
      <c r="Z38" s="30" t="str">
        <f aca="false">IF(B38="","",SUM(R38:Y38))</f>
        <v/>
      </c>
      <c r="AA38" s="29" t="str">
        <f aca="false">IF(B38="","",IF(J38="Có",I38*BHXH_NLD,0))</f>
        <v/>
      </c>
      <c r="AB38" s="29" t="str">
        <f aca="false">IF(B38="","",SUMIFS(DC_TIEN,DC_MA,$B38,DC_LOAI,"Tạm ứng",DC_AP,"Có"))</f>
        <v/>
      </c>
      <c r="AC38" s="29" t="str">
        <f aca="false">IF(B38="","",SUMIFS(DC_TIEN,DC_MA,$B38,DC_LOAI,"Trừ khác",DC_AP,"Có"))</f>
        <v/>
      </c>
      <c r="AD38" s="29" t="str">
        <f aca="false">IF(B38="","",SUMIFS(DC_TIEN,DC_MA,$B38,DC_LOAI,"KPI trừ",DC_AP,"Có"))</f>
        <v/>
      </c>
      <c r="AE38" s="29" t="str">
        <f aca="false">IF(B38="","",SUM(AA38:AD38))</f>
        <v/>
      </c>
      <c r="AF38" s="30" t="str">
        <f aca="false">IF(B38="","",ROUNDDOWN(Z38-AE38,-3))</f>
        <v/>
      </c>
      <c r="AG38" s="20"/>
    </row>
    <row r="39" customFormat="false" ht="15" hidden="false" customHeight="false" outlineLevel="0" collapsed="false">
      <c r="A39" s="18" t="str">
        <f aca="false">IF(B39="","",ROW()-5)</f>
        <v/>
      </c>
      <c r="B39" s="28" t="str">
        <f aca="false">IF(BCC!B39="","",BCC!B39)</f>
        <v/>
      </c>
      <c r="C39" s="18" t="str">
        <f aca="false">IF(B39="","",IFERROR(INDEX(NV_TEN,MATCH(B39,NV_MA,0)),"MÃ KHÔNG CÓ"))</f>
        <v/>
      </c>
      <c r="D39" s="18" t="str">
        <f aca="false">IF(B39="","",IFERROR(INDEX(NV_PN,MATCH(B39,NV_MA,0)),""))</f>
        <v/>
      </c>
      <c r="E39" s="18" t="str">
        <f aca="false">IF(B39="","",IFERROR(INDEX(NV_HT,MATCH(B39,NV_MA,0)),""))</f>
        <v/>
      </c>
      <c r="F39" s="18" t="str">
        <f aca="false">IF(B39="","",IFERROR(INDEX(NV_CC,MATCH(B39,NV_MA,0)),""))</f>
        <v/>
      </c>
      <c r="G39" s="29" t="str">
        <f aca="false">IF(B39="","",IFERROR(INDEX(NV_CB,MATCH(B39,NV_MA,0)),""))</f>
        <v/>
      </c>
      <c r="H39" s="29" t="str">
        <f aca="false">IF(B39="","",IFERROR(INDEX(NV_TV,MATCH(B39,NV_MA,0)),""))</f>
        <v/>
      </c>
      <c r="I39" s="29" t="str">
        <f aca="false">IF(B39="","",IFERROR(INDEX(NV_BHXH,MATCH(B39,NV_MA,0)),""))</f>
        <v/>
      </c>
      <c r="J39" s="29" t="str">
        <f aca="false">IF(B39="","",IFERROR(INDEX(NV_DONG,MATCH(B39,NV_MA,0)),""))</f>
        <v/>
      </c>
      <c r="K39" s="29" t="str">
        <f aca="false">IF(B39="","",IFERROR(INDEX(NV_PC,MATCH(B39,NV_MA,0)),""))</f>
        <v/>
      </c>
      <c r="L39" s="18" t="str">
        <f aca="false">IF(B39="","",IFERROR(INDEX(NV_NHOMCC,MATCH(B39,NV_MA,0)),""))</f>
        <v/>
      </c>
      <c r="M39" s="25" t="str">
        <f aca="false">IF(B39="","",IFERROR(INDEX(BCC_CONG,MATCH(B39,BCC_MA,0)),0))</f>
        <v/>
      </c>
      <c r="N39" s="18" t="str">
        <f aca="false">IF(B39="","",IFERROR(INDEX(BCC_PHEP,MATCH(B39,BCC_MA,0)),0))</f>
        <v/>
      </c>
      <c r="O39" s="18" t="str">
        <f aca="false">IF(B39="","",IFERROR(INDEX(BCC_LE,MATCH(B39,BCC_MA,0)),0))</f>
        <v/>
      </c>
      <c r="P39" s="18" t="str">
        <f aca="false">IF(B39="","",IFERROR(INDEX(BCC_LEDL,MATCH(B39,BCC_MA,0)),0))</f>
        <v/>
      </c>
      <c r="Q39" s="18" t="str">
        <f aca="false">IF(B39="","",IFERROR(INDEX(BCC_CD,MATCH(B39,BCC_MA,0)),0))</f>
        <v/>
      </c>
      <c r="R39" s="29" t="str">
        <f aca="false">IF(B39="","",IF(E39="Khoán tháng",G39,IF(E39="Thử việc",IF(N(H39)&gt;0,H39,G39*TL_THUVIEC),G39)/F39*M39))</f>
        <v/>
      </c>
      <c r="S39" s="29" t="str">
        <f aca="false">IF(B39="","",IF(E39="Khoán tháng",0,I39/NGAY_CHIA*N39))</f>
        <v/>
      </c>
      <c r="T39" s="29" t="str">
        <f aca="false">IF(B39="","",IF(E39="Khoán tháng",0,I39/NGAY_CHIA*O39))</f>
        <v/>
      </c>
      <c r="U39" s="29" t="str">
        <f aca="false">IF(B39="","",IF(E39="Khoán tháng",0,G39/F39/GIO_CONG*P39*HS_LE))</f>
        <v/>
      </c>
      <c r="V39" s="29" t="str">
        <f aca="false">IF(B39="","",IF(E39="Khoán tháng",0,I39/NGAY_CHIA*Q39))</f>
        <v/>
      </c>
      <c r="W39" s="29" t="str">
        <f aca="false">IF(B39="","",IF(L39="Chung",IF(M39&gt;=CC_NGUONG,CC_TIEN,0),IF(L39="Cơ điện",IF(M39&gt;CD_N2,CD_T2,IF(M39&gt;CD_N1,CD_T1,0)),0))+SUMIFS(DC_TIEN,DC_MA,$B39,DC_LOAI,"Chuyên cần",DC_AP,"Có"))</f>
        <v/>
      </c>
      <c r="X39" s="29" t="str">
        <f aca="false">IF(B39="","",N(K39))</f>
        <v/>
      </c>
      <c r="Y39" s="29" t="str">
        <f aca="false">IF(B39="","",SUMIFS(DC_TIEN,DC_MA,$B39,DC_LOAI,"Truy lĩnh",DC_AP,"Có")+SUMIFS(DC_TIEN,DC_MA,$B39,DC_LOAI,"Cộng khác",DC_AP,"Có"))</f>
        <v/>
      </c>
      <c r="Z39" s="30" t="str">
        <f aca="false">IF(B39="","",SUM(R39:Y39))</f>
        <v/>
      </c>
      <c r="AA39" s="29" t="str">
        <f aca="false">IF(B39="","",IF(J39="Có",I39*BHXH_NLD,0))</f>
        <v/>
      </c>
      <c r="AB39" s="29" t="str">
        <f aca="false">IF(B39="","",SUMIFS(DC_TIEN,DC_MA,$B39,DC_LOAI,"Tạm ứng",DC_AP,"Có"))</f>
        <v/>
      </c>
      <c r="AC39" s="29" t="str">
        <f aca="false">IF(B39="","",SUMIFS(DC_TIEN,DC_MA,$B39,DC_LOAI,"Trừ khác",DC_AP,"Có"))</f>
        <v/>
      </c>
      <c r="AD39" s="29" t="str">
        <f aca="false">IF(B39="","",SUMIFS(DC_TIEN,DC_MA,$B39,DC_LOAI,"KPI trừ",DC_AP,"Có"))</f>
        <v/>
      </c>
      <c r="AE39" s="29" t="str">
        <f aca="false">IF(B39="","",SUM(AA39:AD39))</f>
        <v/>
      </c>
      <c r="AF39" s="30" t="str">
        <f aca="false">IF(B39="","",ROUNDDOWN(Z39-AE39,-3))</f>
        <v/>
      </c>
      <c r="AG39" s="20"/>
    </row>
    <row r="40" customFormat="false" ht="15" hidden="false" customHeight="false" outlineLevel="0" collapsed="false">
      <c r="A40" s="18" t="str">
        <f aca="false">IF(B40="","",ROW()-5)</f>
        <v/>
      </c>
      <c r="B40" s="28" t="str">
        <f aca="false">IF(BCC!B40="","",BCC!B40)</f>
        <v/>
      </c>
      <c r="C40" s="18" t="str">
        <f aca="false">IF(B40="","",IFERROR(INDEX(NV_TEN,MATCH(B40,NV_MA,0)),"MÃ KHÔNG CÓ"))</f>
        <v/>
      </c>
      <c r="D40" s="18" t="str">
        <f aca="false">IF(B40="","",IFERROR(INDEX(NV_PN,MATCH(B40,NV_MA,0)),""))</f>
        <v/>
      </c>
      <c r="E40" s="18" t="str">
        <f aca="false">IF(B40="","",IFERROR(INDEX(NV_HT,MATCH(B40,NV_MA,0)),""))</f>
        <v/>
      </c>
      <c r="F40" s="18" t="str">
        <f aca="false">IF(B40="","",IFERROR(INDEX(NV_CC,MATCH(B40,NV_MA,0)),""))</f>
        <v/>
      </c>
      <c r="G40" s="29" t="str">
        <f aca="false">IF(B40="","",IFERROR(INDEX(NV_CB,MATCH(B40,NV_MA,0)),""))</f>
        <v/>
      </c>
      <c r="H40" s="29" t="str">
        <f aca="false">IF(B40="","",IFERROR(INDEX(NV_TV,MATCH(B40,NV_MA,0)),""))</f>
        <v/>
      </c>
      <c r="I40" s="29" t="str">
        <f aca="false">IF(B40="","",IFERROR(INDEX(NV_BHXH,MATCH(B40,NV_MA,0)),""))</f>
        <v/>
      </c>
      <c r="J40" s="29" t="str">
        <f aca="false">IF(B40="","",IFERROR(INDEX(NV_DONG,MATCH(B40,NV_MA,0)),""))</f>
        <v/>
      </c>
      <c r="K40" s="29" t="str">
        <f aca="false">IF(B40="","",IFERROR(INDEX(NV_PC,MATCH(B40,NV_MA,0)),""))</f>
        <v/>
      </c>
      <c r="L40" s="18" t="str">
        <f aca="false">IF(B40="","",IFERROR(INDEX(NV_NHOMCC,MATCH(B40,NV_MA,0)),""))</f>
        <v/>
      </c>
      <c r="M40" s="25" t="str">
        <f aca="false">IF(B40="","",IFERROR(INDEX(BCC_CONG,MATCH(B40,BCC_MA,0)),0))</f>
        <v/>
      </c>
      <c r="N40" s="18" t="str">
        <f aca="false">IF(B40="","",IFERROR(INDEX(BCC_PHEP,MATCH(B40,BCC_MA,0)),0))</f>
        <v/>
      </c>
      <c r="O40" s="18" t="str">
        <f aca="false">IF(B40="","",IFERROR(INDEX(BCC_LE,MATCH(B40,BCC_MA,0)),0))</f>
        <v/>
      </c>
      <c r="P40" s="18" t="str">
        <f aca="false">IF(B40="","",IFERROR(INDEX(BCC_LEDL,MATCH(B40,BCC_MA,0)),0))</f>
        <v/>
      </c>
      <c r="Q40" s="18" t="str">
        <f aca="false">IF(B40="","",IFERROR(INDEX(BCC_CD,MATCH(B40,BCC_MA,0)),0))</f>
        <v/>
      </c>
      <c r="R40" s="29" t="str">
        <f aca="false">IF(B40="","",IF(E40="Khoán tháng",G40,IF(E40="Thử việc",IF(N(H40)&gt;0,H40,G40*TL_THUVIEC),G40)/F40*M40))</f>
        <v/>
      </c>
      <c r="S40" s="29" t="str">
        <f aca="false">IF(B40="","",IF(E40="Khoán tháng",0,I40/NGAY_CHIA*N40))</f>
        <v/>
      </c>
      <c r="T40" s="29" t="str">
        <f aca="false">IF(B40="","",IF(E40="Khoán tháng",0,I40/NGAY_CHIA*O40))</f>
        <v/>
      </c>
      <c r="U40" s="29" t="str">
        <f aca="false">IF(B40="","",IF(E40="Khoán tháng",0,G40/F40/GIO_CONG*P40*HS_LE))</f>
        <v/>
      </c>
      <c r="V40" s="29" t="str">
        <f aca="false">IF(B40="","",IF(E40="Khoán tháng",0,I40/NGAY_CHIA*Q40))</f>
        <v/>
      </c>
      <c r="W40" s="29" t="str">
        <f aca="false">IF(B40="","",IF(L40="Chung",IF(M40&gt;=CC_NGUONG,CC_TIEN,0),IF(L40="Cơ điện",IF(M40&gt;CD_N2,CD_T2,IF(M40&gt;CD_N1,CD_T1,0)),0))+SUMIFS(DC_TIEN,DC_MA,$B40,DC_LOAI,"Chuyên cần",DC_AP,"Có"))</f>
        <v/>
      </c>
      <c r="X40" s="29" t="str">
        <f aca="false">IF(B40="","",N(K40))</f>
        <v/>
      </c>
      <c r="Y40" s="29" t="str">
        <f aca="false">IF(B40="","",SUMIFS(DC_TIEN,DC_MA,$B40,DC_LOAI,"Truy lĩnh",DC_AP,"Có")+SUMIFS(DC_TIEN,DC_MA,$B40,DC_LOAI,"Cộng khác",DC_AP,"Có"))</f>
        <v/>
      </c>
      <c r="Z40" s="30" t="str">
        <f aca="false">IF(B40="","",SUM(R40:Y40))</f>
        <v/>
      </c>
      <c r="AA40" s="29" t="str">
        <f aca="false">IF(B40="","",IF(J40="Có",I40*BHXH_NLD,0))</f>
        <v/>
      </c>
      <c r="AB40" s="29" t="str">
        <f aca="false">IF(B40="","",SUMIFS(DC_TIEN,DC_MA,$B40,DC_LOAI,"Tạm ứng",DC_AP,"Có"))</f>
        <v/>
      </c>
      <c r="AC40" s="29" t="str">
        <f aca="false">IF(B40="","",SUMIFS(DC_TIEN,DC_MA,$B40,DC_LOAI,"Trừ khác",DC_AP,"Có"))</f>
        <v/>
      </c>
      <c r="AD40" s="29" t="str">
        <f aca="false">IF(B40="","",SUMIFS(DC_TIEN,DC_MA,$B40,DC_LOAI,"KPI trừ",DC_AP,"Có"))</f>
        <v/>
      </c>
      <c r="AE40" s="29" t="str">
        <f aca="false">IF(B40="","",SUM(AA40:AD40))</f>
        <v/>
      </c>
      <c r="AF40" s="30" t="str">
        <f aca="false">IF(B40="","",ROUNDDOWN(Z40-AE40,-3))</f>
        <v/>
      </c>
      <c r="AG40" s="20"/>
    </row>
    <row r="41" customFormat="false" ht="15" hidden="false" customHeight="false" outlineLevel="0" collapsed="false">
      <c r="A41" s="18" t="str">
        <f aca="false">IF(B41="","",ROW()-5)</f>
        <v/>
      </c>
      <c r="B41" s="28" t="str">
        <f aca="false">IF(BCC!B41="","",BCC!B41)</f>
        <v/>
      </c>
      <c r="C41" s="18" t="str">
        <f aca="false">IF(B41="","",IFERROR(INDEX(NV_TEN,MATCH(B41,NV_MA,0)),"MÃ KHÔNG CÓ"))</f>
        <v/>
      </c>
      <c r="D41" s="18" t="str">
        <f aca="false">IF(B41="","",IFERROR(INDEX(NV_PN,MATCH(B41,NV_MA,0)),""))</f>
        <v/>
      </c>
      <c r="E41" s="18" t="str">
        <f aca="false">IF(B41="","",IFERROR(INDEX(NV_HT,MATCH(B41,NV_MA,0)),""))</f>
        <v/>
      </c>
      <c r="F41" s="18" t="str">
        <f aca="false">IF(B41="","",IFERROR(INDEX(NV_CC,MATCH(B41,NV_MA,0)),""))</f>
        <v/>
      </c>
      <c r="G41" s="29" t="str">
        <f aca="false">IF(B41="","",IFERROR(INDEX(NV_CB,MATCH(B41,NV_MA,0)),""))</f>
        <v/>
      </c>
      <c r="H41" s="29" t="str">
        <f aca="false">IF(B41="","",IFERROR(INDEX(NV_TV,MATCH(B41,NV_MA,0)),""))</f>
        <v/>
      </c>
      <c r="I41" s="29" t="str">
        <f aca="false">IF(B41="","",IFERROR(INDEX(NV_BHXH,MATCH(B41,NV_MA,0)),""))</f>
        <v/>
      </c>
      <c r="J41" s="29" t="str">
        <f aca="false">IF(B41="","",IFERROR(INDEX(NV_DONG,MATCH(B41,NV_MA,0)),""))</f>
        <v/>
      </c>
      <c r="K41" s="29" t="str">
        <f aca="false">IF(B41="","",IFERROR(INDEX(NV_PC,MATCH(B41,NV_MA,0)),""))</f>
        <v/>
      </c>
      <c r="L41" s="18" t="str">
        <f aca="false">IF(B41="","",IFERROR(INDEX(NV_NHOMCC,MATCH(B41,NV_MA,0)),""))</f>
        <v/>
      </c>
      <c r="M41" s="25" t="str">
        <f aca="false">IF(B41="","",IFERROR(INDEX(BCC_CONG,MATCH(B41,BCC_MA,0)),0))</f>
        <v/>
      </c>
      <c r="N41" s="18" t="str">
        <f aca="false">IF(B41="","",IFERROR(INDEX(BCC_PHEP,MATCH(B41,BCC_MA,0)),0))</f>
        <v/>
      </c>
      <c r="O41" s="18" t="str">
        <f aca="false">IF(B41="","",IFERROR(INDEX(BCC_LE,MATCH(B41,BCC_MA,0)),0))</f>
        <v/>
      </c>
      <c r="P41" s="18" t="str">
        <f aca="false">IF(B41="","",IFERROR(INDEX(BCC_LEDL,MATCH(B41,BCC_MA,0)),0))</f>
        <v/>
      </c>
      <c r="Q41" s="18" t="str">
        <f aca="false">IF(B41="","",IFERROR(INDEX(BCC_CD,MATCH(B41,BCC_MA,0)),0))</f>
        <v/>
      </c>
      <c r="R41" s="29" t="str">
        <f aca="false">IF(B41="","",IF(E41="Khoán tháng",G41,IF(E41="Thử việc",IF(N(H41)&gt;0,H41,G41*TL_THUVIEC),G41)/F41*M41))</f>
        <v/>
      </c>
      <c r="S41" s="29" t="str">
        <f aca="false">IF(B41="","",IF(E41="Khoán tháng",0,I41/NGAY_CHIA*N41))</f>
        <v/>
      </c>
      <c r="T41" s="29" t="str">
        <f aca="false">IF(B41="","",IF(E41="Khoán tháng",0,I41/NGAY_CHIA*O41))</f>
        <v/>
      </c>
      <c r="U41" s="29" t="str">
        <f aca="false">IF(B41="","",IF(E41="Khoán tháng",0,G41/F41/GIO_CONG*P41*HS_LE))</f>
        <v/>
      </c>
      <c r="V41" s="29" t="str">
        <f aca="false">IF(B41="","",IF(E41="Khoán tháng",0,I41/NGAY_CHIA*Q41))</f>
        <v/>
      </c>
      <c r="W41" s="29" t="str">
        <f aca="false">IF(B41="","",IF(L41="Chung",IF(M41&gt;=CC_NGUONG,CC_TIEN,0),IF(L41="Cơ điện",IF(M41&gt;CD_N2,CD_T2,IF(M41&gt;CD_N1,CD_T1,0)),0))+SUMIFS(DC_TIEN,DC_MA,$B41,DC_LOAI,"Chuyên cần",DC_AP,"Có"))</f>
        <v/>
      </c>
      <c r="X41" s="29" t="str">
        <f aca="false">IF(B41="","",N(K41))</f>
        <v/>
      </c>
      <c r="Y41" s="29" t="str">
        <f aca="false">IF(B41="","",SUMIFS(DC_TIEN,DC_MA,$B41,DC_LOAI,"Truy lĩnh",DC_AP,"Có")+SUMIFS(DC_TIEN,DC_MA,$B41,DC_LOAI,"Cộng khác",DC_AP,"Có"))</f>
        <v/>
      </c>
      <c r="Z41" s="30" t="str">
        <f aca="false">IF(B41="","",SUM(R41:Y41))</f>
        <v/>
      </c>
      <c r="AA41" s="29" t="str">
        <f aca="false">IF(B41="","",IF(J41="Có",I41*BHXH_NLD,0))</f>
        <v/>
      </c>
      <c r="AB41" s="29" t="str">
        <f aca="false">IF(B41="","",SUMIFS(DC_TIEN,DC_MA,$B41,DC_LOAI,"Tạm ứng",DC_AP,"Có"))</f>
        <v/>
      </c>
      <c r="AC41" s="29" t="str">
        <f aca="false">IF(B41="","",SUMIFS(DC_TIEN,DC_MA,$B41,DC_LOAI,"Trừ khác",DC_AP,"Có"))</f>
        <v/>
      </c>
      <c r="AD41" s="29" t="str">
        <f aca="false">IF(B41="","",SUMIFS(DC_TIEN,DC_MA,$B41,DC_LOAI,"KPI trừ",DC_AP,"Có"))</f>
        <v/>
      </c>
      <c r="AE41" s="29" t="str">
        <f aca="false">IF(B41="","",SUM(AA41:AD41))</f>
        <v/>
      </c>
      <c r="AF41" s="30" t="str">
        <f aca="false">IF(B41="","",ROUNDDOWN(Z41-AE41,-3))</f>
        <v/>
      </c>
      <c r="AG41" s="20"/>
    </row>
    <row r="42" customFormat="false" ht="15" hidden="false" customHeight="false" outlineLevel="0" collapsed="false">
      <c r="A42" s="18" t="str">
        <f aca="false">IF(B42="","",ROW()-5)</f>
        <v/>
      </c>
      <c r="B42" s="28" t="str">
        <f aca="false">IF(BCC!B42="","",BCC!B42)</f>
        <v/>
      </c>
      <c r="C42" s="18" t="str">
        <f aca="false">IF(B42="","",IFERROR(INDEX(NV_TEN,MATCH(B42,NV_MA,0)),"MÃ KHÔNG CÓ"))</f>
        <v/>
      </c>
      <c r="D42" s="18" t="str">
        <f aca="false">IF(B42="","",IFERROR(INDEX(NV_PN,MATCH(B42,NV_MA,0)),""))</f>
        <v/>
      </c>
      <c r="E42" s="18" t="str">
        <f aca="false">IF(B42="","",IFERROR(INDEX(NV_HT,MATCH(B42,NV_MA,0)),""))</f>
        <v/>
      </c>
      <c r="F42" s="18" t="str">
        <f aca="false">IF(B42="","",IFERROR(INDEX(NV_CC,MATCH(B42,NV_MA,0)),""))</f>
        <v/>
      </c>
      <c r="G42" s="29" t="str">
        <f aca="false">IF(B42="","",IFERROR(INDEX(NV_CB,MATCH(B42,NV_MA,0)),""))</f>
        <v/>
      </c>
      <c r="H42" s="29" t="str">
        <f aca="false">IF(B42="","",IFERROR(INDEX(NV_TV,MATCH(B42,NV_MA,0)),""))</f>
        <v/>
      </c>
      <c r="I42" s="29" t="str">
        <f aca="false">IF(B42="","",IFERROR(INDEX(NV_BHXH,MATCH(B42,NV_MA,0)),""))</f>
        <v/>
      </c>
      <c r="J42" s="29" t="str">
        <f aca="false">IF(B42="","",IFERROR(INDEX(NV_DONG,MATCH(B42,NV_MA,0)),""))</f>
        <v/>
      </c>
      <c r="K42" s="29" t="str">
        <f aca="false">IF(B42="","",IFERROR(INDEX(NV_PC,MATCH(B42,NV_MA,0)),""))</f>
        <v/>
      </c>
      <c r="L42" s="18" t="str">
        <f aca="false">IF(B42="","",IFERROR(INDEX(NV_NHOMCC,MATCH(B42,NV_MA,0)),""))</f>
        <v/>
      </c>
      <c r="M42" s="25" t="str">
        <f aca="false">IF(B42="","",IFERROR(INDEX(BCC_CONG,MATCH(B42,BCC_MA,0)),0))</f>
        <v/>
      </c>
      <c r="N42" s="18" t="str">
        <f aca="false">IF(B42="","",IFERROR(INDEX(BCC_PHEP,MATCH(B42,BCC_MA,0)),0))</f>
        <v/>
      </c>
      <c r="O42" s="18" t="str">
        <f aca="false">IF(B42="","",IFERROR(INDEX(BCC_LE,MATCH(B42,BCC_MA,0)),0))</f>
        <v/>
      </c>
      <c r="P42" s="18" t="str">
        <f aca="false">IF(B42="","",IFERROR(INDEX(BCC_LEDL,MATCH(B42,BCC_MA,0)),0))</f>
        <v/>
      </c>
      <c r="Q42" s="18" t="str">
        <f aca="false">IF(B42="","",IFERROR(INDEX(BCC_CD,MATCH(B42,BCC_MA,0)),0))</f>
        <v/>
      </c>
      <c r="R42" s="29" t="str">
        <f aca="false">IF(B42="","",IF(E42="Khoán tháng",G42,IF(E42="Thử việc",IF(N(H42)&gt;0,H42,G42*TL_THUVIEC),G42)/F42*M42))</f>
        <v/>
      </c>
      <c r="S42" s="29" t="str">
        <f aca="false">IF(B42="","",IF(E42="Khoán tháng",0,I42/NGAY_CHIA*N42))</f>
        <v/>
      </c>
      <c r="T42" s="29" t="str">
        <f aca="false">IF(B42="","",IF(E42="Khoán tháng",0,I42/NGAY_CHIA*O42))</f>
        <v/>
      </c>
      <c r="U42" s="29" t="str">
        <f aca="false">IF(B42="","",IF(E42="Khoán tháng",0,G42/F42/GIO_CONG*P42*HS_LE))</f>
        <v/>
      </c>
      <c r="V42" s="29" t="str">
        <f aca="false">IF(B42="","",IF(E42="Khoán tháng",0,I42/NGAY_CHIA*Q42))</f>
        <v/>
      </c>
      <c r="W42" s="29" t="str">
        <f aca="false">IF(B42="","",IF(L42="Chung",IF(M42&gt;=CC_NGUONG,CC_TIEN,0),IF(L42="Cơ điện",IF(M42&gt;CD_N2,CD_T2,IF(M42&gt;CD_N1,CD_T1,0)),0))+SUMIFS(DC_TIEN,DC_MA,$B42,DC_LOAI,"Chuyên cần",DC_AP,"Có"))</f>
        <v/>
      </c>
      <c r="X42" s="29" t="str">
        <f aca="false">IF(B42="","",N(K42))</f>
        <v/>
      </c>
      <c r="Y42" s="29" t="str">
        <f aca="false">IF(B42="","",SUMIFS(DC_TIEN,DC_MA,$B42,DC_LOAI,"Truy lĩnh",DC_AP,"Có")+SUMIFS(DC_TIEN,DC_MA,$B42,DC_LOAI,"Cộng khác",DC_AP,"Có"))</f>
        <v/>
      </c>
      <c r="Z42" s="30" t="str">
        <f aca="false">IF(B42="","",SUM(R42:Y42))</f>
        <v/>
      </c>
      <c r="AA42" s="29" t="str">
        <f aca="false">IF(B42="","",IF(J42="Có",I42*BHXH_NLD,0))</f>
        <v/>
      </c>
      <c r="AB42" s="29" t="str">
        <f aca="false">IF(B42="","",SUMIFS(DC_TIEN,DC_MA,$B42,DC_LOAI,"Tạm ứng",DC_AP,"Có"))</f>
        <v/>
      </c>
      <c r="AC42" s="29" t="str">
        <f aca="false">IF(B42="","",SUMIFS(DC_TIEN,DC_MA,$B42,DC_LOAI,"Trừ khác",DC_AP,"Có"))</f>
        <v/>
      </c>
      <c r="AD42" s="29" t="str">
        <f aca="false">IF(B42="","",SUMIFS(DC_TIEN,DC_MA,$B42,DC_LOAI,"KPI trừ",DC_AP,"Có"))</f>
        <v/>
      </c>
      <c r="AE42" s="29" t="str">
        <f aca="false">IF(B42="","",SUM(AA42:AD42))</f>
        <v/>
      </c>
      <c r="AF42" s="30" t="str">
        <f aca="false">IF(B42="","",ROUNDDOWN(Z42-AE42,-3))</f>
        <v/>
      </c>
      <c r="AG42" s="20"/>
    </row>
    <row r="43" customFormat="false" ht="15" hidden="false" customHeight="false" outlineLevel="0" collapsed="false">
      <c r="A43" s="18" t="str">
        <f aca="false">IF(B43="","",ROW()-5)</f>
        <v/>
      </c>
      <c r="B43" s="28" t="str">
        <f aca="false">IF(BCC!B43="","",BCC!B43)</f>
        <v/>
      </c>
      <c r="C43" s="18" t="str">
        <f aca="false">IF(B43="","",IFERROR(INDEX(NV_TEN,MATCH(B43,NV_MA,0)),"MÃ KHÔNG CÓ"))</f>
        <v/>
      </c>
      <c r="D43" s="18" t="str">
        <f aca="false">IF(B43="","",IFERROR(INDEX(NV_PN,MATCH(B43,NV_MA,0)),""))</f>
        <v/>
      </c>
      <c r="E43" s="18" t="str">
        <f aca="false">IF(B43="","",IFERROR(INDEX(NV_HT,MATCH(B43,NV_MA,0)),""))</f>
        <v/>
      </c>
      <c r="F43" s="18" t="str">
        <f aca="false">IF(B43="","",IFERROR(INDEX(NV_CC,MATCH(B43,NV_MA,0)),""))</f>
        <v/>
      </c>
      <c r="G43" s="29" t="str">
        <f aca="false">IF(B43="","",IFERROR(INDEX(NV_CB,MATCH(B43,NV_MA,0)),""))</f>
        <v/>
      </c>
      <c r="H43" s="29" t="str">
        <f aca="false">IF(B43="","",IFERROR(INDEX(NV_TV,MATCH(B43,NV_MA,0)),""))</f>
        <v/>
      </c>
      <c r="I43" s="29" t="str">
        <f aca="false">IF(B43="","",IFERROR(INDEX(NV_BHXH,MATCH(B43,NV_MA,0)),""))</f>
        <v/>
      </c>
      <c r="J43" s="29" t="str">
        <f aca="false">IF(B43="","",IFERROR(INDEX(NV_DONG,MATCH(B43,NV_MA,0)),""))</f>
        <v/>
      </c>
      <c r="K43" s="29" t="str">
        <f aca="false">IF(B43="","",IFERROR(INDEX(NV_PC,MATCH(B43,NV_MA,0)),""))</f>
        <v/>
      </c>
      <c r="L43" s="18" t="str">
        <f aca="false">IF(B43="","",IFERROR(INDEX(NV_NHOMCC,MATCH(B43,NV_MA,0)),""))</f>
        <v/>
      </c>
      <c r="M43" s="25" t="str">
        <f aca="false">IF(B43="","",IFERROR(INDEX(BCC_CONG,MATCH(B43,BCC_MA,0)),0))</f>
        <v/>
      </c>
      <c r="N43" s="18" t="str">
        <f aca="false">IF(B43="","",IFERROR(INDEX(BCC_PHEP,MATCH(B43,BCC_MA,0)),0))</f>
        <v/>
      </c>
      <c r="O43" s="18" t="str">
        <f aca="false">IF(B43="","",IFERROR(INDEX(BCC_LE,MATCH(B43,BCC_MA,0)),0))</f>
        <v/>
      </c>
      <c r="P43" s="18" t="str">
        <f aca="false">IF(B43="","",IFERROR(INDEX(BCC_LEDL,MATCH(B43,BCC_MA,0)),0))</f>
        <v/>
      </c>
      <c r="Q43" s="18" t="str">
        <f aca="false">IF(B43="","",IFERROR(INDEX(BCC_CD,MATCH(B43,BCC_MA,0)),0))</f>
        <v/>
      </c>
      <c r="R43" s="29" t="str">
        <f aca="false">IF(B43="","",IF(E43="Khoán tháng",G43,IF(E43="Thử việc",IF(N(H43)&gt;0,H43,G43*TL_THUVIEC),G43)/F43*M43))</f>
        <v/>
      </c>
      <c r="S43" s="29" t="str">
        <f aca="false">IF(B43="","",IF(E43="Khoán tháng",0,I43/NGAY_CHIA*N43))</f>
        <v/>
      </c>
      <c r="T43" s="29" t="str">
        <f aca="false">IF(B43="","",IF(E43="Khoán tháng",0,I43/NGAY_CHIA*O43))</f>
        <v/>
      </c>
      <c r="U43" s="29" t="str">
        <f aca="false">IF(B43="","",IF(E43="Khoán tháng",0,G43/F43/GIO_CONG*P43*HS_LE))</f>
        <v/>
      </c>
      <c r="V43" s="29" t="str">
        <f aca="false">IF(B43="","",IF(E43="Khoán tháng",0,I43/NGAY_CHIA*Q43))</f>
        <v/>
      </c>
      <c r="W43" s="29" t="str">
        <f aca="false">IF(B43="","",IF(L43="Chung",IF(M43&gt;=CC_NGUONG,CC_TIEN,0),IF(L43="Cơ điện",IF(M43&gt;CD_N2,CD_T2,IF(M43&gt;CD_N1,CD_T1,0)),0))+SUMIFS(DC_TIEN,DC_MA,$B43,DC_LOAI,"Chuyên cần",DC_AP,"Có"))</f>
        <v/>
      </c>
      <c r="X43" s="29" t="str">
        <f aca="false">IF(B43="","",N(K43))</f>
        <v/>
      </c>
      <c r="Y43" s="29" t="str">
        <f aca="false">IF(B43="","",SUMIFS(DC_TIEN,DC_MA,$B43,DC_LOAI,"Truy lĩnh",DC_AP,"Có")+SUMIFS(DC_TIEN,DC_MA,$B43,DC_LOAI,"Cộng khác",DC_AP,"Có"))</f>
        <v/>
      </c>
      <c r="Z43" s="30" t="str">
        <f aca="false">IF(B43="","",SUM(R43:Y43))</f>
        <v/>
      </c>
      <c r="AA43" s="29" t="str">
        <f aca="false">IF(B43="","",IF(J43="Có",I43*BHXH_NLD,0))</f>
        <v/>
      </c>
      <c r="AB43" s="29" t="str">
        <f aca="false">IF(B43="","",SUMIFS(DC_TIEN,DC_MA,$B43,DC_LOAI,"Tạm ứng",DC_AP,"Có"))</f>
        <v/>
      </c>
      <c r="AC43" s="29" t="str">
        <f aca="false">IF(B43="","",SUMIFS(DC_TIEN,DC_MA,$B43,DC_LOAI,"Trừ khác",DC_AP,"Có"))</f>
        <v/>
      </c>
      <c r="AD43" s="29" t="str">
        <f aca="false">IF(B43="","",SUMIFS(DC_TIEN,DC_MA,$B43,DC_LOAI,"KPI trừ",DC_AP,"Có"))</f>
        <v/>
      </c>
      <c r="AE43" s="29" t="str">
        <f aca="false">IF(B43="","",SUM(AA43:AD43))</f>
        <v/>
      </c>
      <c r="AF43" s="30" t="str">
        <f aca="false">IF(B43="","",ROUNDDOWN(Z43-AE43,-3))</f>
        <v/>
      </c>
      <c r="AG43" s="20"/>
    </row>
    <row r="44" customFormat="false" ht="15" hidden="false" customHeight="false" outlineLevel="0" collapsed="false">
      <c r="A44" s="18" t="str">
        <f aca="false">IF(B44="","",ROW()-5)</f>
        <v/>
      </c>
      <c r="B44" s="28" t="str">
        <f aca="false">IF(BCC!B44="","",BCC!B44)</f>
        <v/>
      </c>
      <c r="C44" s="18" t="str">
        <f aca="false">IF(B44="","",IFERROR(INDEX(NV_TEN,MATCH(B44,NV_MA,0)),"MÃ KHÔNG CÓ"))</f>
        <v/>
      </c>
      <c r="D44" s="18" t="str">
        <f aca="false">IF(B44="","",IFERROR(INDEX(NV_PN,MATCH(B44,NV_MA,0)),""))</f>
        <v/>
      </c>
      <c r="E44" s="18" t="str">
        <f aca="false">IF(B44="","",IFERROR(INDEX(NV_HT,MATCH(B44,NV_MA,0)),""))</f>
        <v/>
      </c>
      <c r="F44" s="18" t="str">
        <f aca="false">IF(B44="","",IFERROR(INDEX(NV_CC,MATCH(B44,NV_MA,0)),""))</f>
        <v/>
      </c>
      <c r="G44" s="29" t="str">
        <f aca="false">IF(B44="","",IFERROR(INDEX(NV_CB,MATCH(B44,NV_MA,0)),""))</f>
        <v/>
      </c>
      <c r="H44" s="29" t="str">
        <f aca="false">IF(B44="","",IFERROR(INDEX(NV_TV,MATCH(B44,NV_MA,0)),""))</f>
        <v/>
      </c>
      <c r="I44" s="29" t="str">
        <f aca="false">IF(B44="","",IFERROR(INDEX(NV_BHXH,MATCH(B44,NV_MA,0)),""))</f>
        <v/>
      </c>
      <c r="J44" s="29" t="str">
        <f aca="false">IF(B44="","",IFERROR(INDEX(NV_DONG,MATCH(B44,NV_MA,0)),""))</f>
        <v/>
      </c>
      <c r="K44" s="29" t="str">
        <f aca="false">IF(B44="","",IFERROR(INDEX(NV_PC,MATCH(B44,NV_MA,0)),""))</f>
        <v/>
      </c>
      <c r="L44" s="18" t="str">
        <f aca="false">IF(B44="","",IFERROR(INDEX(NV_NHOMCC,MATCH(B44,NV_MA,0)),""))</f>
        <v/>
      </c>
      <c r="M44" s="25" t="str">
        <f aca="false">IF(B44="","",IFERROR(INDEX(BCC_CONG,MATCH(B44,BCC_MA,0)),0))</f>
        <v/>
      </c>
      <c r="N44" s="18" t="str">
        <f aca="false">IF(B44="","",IFERROR(INDEX(BCC_PHEP,MATCH(B44,BCC_MA,0)),0))</f>
        <v/>
      </c>
      <c r="O44" s="18" t="str">
        <f aca="false">IF(B44="","",IFERROR(INDEX(BCC_LE,MATCH(B44,BCC_MA,0)),0))</f>
        <v/>
      </c>
      <c r="P44" s="18" t="str">
        <f aca="false">IF(B44="","",IFERROR(INDEX(BCC_LEDL,MATCH(B44,BCC_MA,0)),0))</f>
        <v/>
      </c>
      <c r="Q44" s="18" t="str">
        <f aca="false">IF(B44="","",IFERROR(INDEX(BCC_CD,MATCH(B44,BCC_MA,0)),0))</f>
        <v/>
      </c>
      <c r="R44" s="29" t="str">
        <f aca="false">IF(B44="","",IF(E44="Khoán tháng",G44,IF(E44="Thử việc",IF(N(H44)&gt;0,H44,G44*TL_THUVIEC),G44)/F44*M44))</f>
        <v/>
      </c>
      <c r="S44" s="29" t="str">
        <f aca="false">IF(B44="","",IF(E44="Khoán tháng",0,I44/NGAY_CHIA*N44))</f>
        <v/>
      </c>
      <c r="T44" s="29" t="str">
        <f aca="false">IF(B44="","",IF(E44="Khoán tháng",0,I44/NGAY_CHIA*O44))</f>
        <v/>
      </c>
      <c r="U44" s="29" t="str">
        <f aca="false">IF(B44="","",IF(E44="Khoán tháng",0,G44/F44/GIO_CONG*P44*HS_LE))</f>
        <v/>
      </c>
      <c r="V44" s="29" t="str">
        <f aca="false">IF(B44="","",IF(E44="Khoán tháng",0,I44/NGAY_CHIA*Q44))</f>
        <v/>
      </c>
      <c r="W44" s="29" t="str">
        <f aca="false">IF(B44="","",IF(L44="Chung",IF(M44&gt;=CC_NGUONG,CC_TIEN,0),IF(L44="Cơ điện",IF(M44&gt;CD_N2,CD_T2,IF(M44&gt;CD_N1,CD_T1,0)),0))+SUMIFS(DC_TIEN,DC_MA,$B44,DC_LOAI,"Chuyên cần",DC_AP,"Có"))</f>
        <v/>
      </c>
      <c r="X44" s="29" t="str">
        <f aca="false">IF(B44="","",N(K44))</f>
        <v/>
      </c>
      <c r="Y44" s="29" t="str">
        <f aca="false">IF(B44="","",SUMIFS(DC_TIEN,DC_MA,$B44,DC_LOAI,"Truy lĩnh",DC_AP,"Có")+SUMIFS(DC_TIEN,DC_MA,$B44,DC_LOAI,"Cộng khác",DC_AP,"Có"))</f>
        <v/>
      </c>
      <c r="Z44" s="30" t="str">
        <f aca="false">IF(B44="","",SUM(R44:Y44))</f>
        <v/>
      </c>
      <c r="AA44" s="29" t="str">
        <f aca="false">IF(B44="","",IF(J44="Có",I44*BHXH_NLD,0))</f>
        <v/>
      </c>
      <c r="AB44" s="29" t="str">
        <f aca="false">IF(B44="","",SUMIFS(DC_TIEN,DC_MA,$B44,DC_LOAI,"Tạm ứng",DC_AP,"Có"))</f>
        <v/>
      </c>
      <c r="AC44" s="29" t="str">
        <f aca="false">IF(B44="","",SUMIFS(DC_TIEN,DC_MA,$B44,DC_LOAI,"Trừ khác",DC_AP,"Có"))</f>
        <v/>
      </c>
      <c r="AD44" s="29" t="str">
        <f aca="false">IF(B44="","",SUMIFS(DC_TIEN,DC_MA,$B44,DC_LOAI,"KPI trừ",DC_AP,"Có"))</f>
        <v/>
      </c>
      <c r="AE44" s="29" t="str">
        <f aca="false">IF(B44="","",SUM(AA44:AD44))</f>
        <v/>
      </c>
      <c r="AF44" s="30" t="str">
        <f aca="false">IF(B44="","",ROUNDDOWN(Z44-AE44,-3))</f>
        <v/>
      </c>
      <c r="AG44" s="20"/>
    </row>
    <row r="45" customFormat="false" ht="15" hidden="false" customHeight="false" outlineLevel="0" collapsed="false">
      <c r="A45" s="18" t="str">
        <f aca="false">IF(B45="","",ROW()-5)</f>
        <v/>
      </c>
      <c r="B45" s="28" t="str">
        <f aca="false">IF(BCC!B45="","",BCC!B45)</f>
        <v/>
      </c>
      <c r="C45" s="18" t="str">
        <f aca="false">IF(B45="","",IFERROR(INDEX(NV_TEN,MATCH(B45,NV_MA,0)),"MÃ KHÔNG CÓ"))</f>
        <v/>
      </c>
      <c r="D45" s="18" t="str">
        <f aca="false">IF(B45="","",IFERROR(INDEX(NV_PN,MATCH(B45,NV_MA,0)),""))</f>
        <v/>
      </c>
      <c r="E45" s="18" t="str">
        <f aca="false">IF(B45="","",IFERROR(INDEX(NV_HT,MATCH(B45,NV_MA,0)),""))</f>
        <v/>
      </c>
      <c r="F45" s="18" t="str">
        <f aca="false">IF(B45="","",IFERROR(INDEX(NV_CC,MATCH(B45,NV_MA,0)),""))</f>
        <v/>
      </c>
      <c r="G45" s="29" t="str">
        <f aca="false">IF(B45="","",IFERROR(INDEX(NV_CB,MATCH(B45,NV_MA,0)),""))</f>
        <v/>
      </c>
      <c r="H45" s="29" t="str">
        <f aca="false">IF(B45="","",IFERROR(INDEX(NV_TV,MATCH(B45,NV_MA,0)),""))</f>
        <v/>
      </c>
      <c r="I45" s="29" t="str">
        <f aca="false">IF(B45="","",IFERROR(INDEX(NV_BHXH,MATCH(B45,NV_MA,0)),""))</f>
        <v/>
      </c>
      <c r="J45" s="29" t="str">
        <f aca="false">IF(B45="","",IFERROR(INDEX(NV_DONG,MATCH(B45,NV_MA,0)),""))</f>
        <v/>
      </c>
      <c r="K45" s="29" t="str">
        <f aca="false">IF(B45="","",IFERROR(INDEX(NV_PC,MATCH(B45,NV_MA,0)),""))</f>
        <v/>
      </c>
      <c r="L45" s="18" t="str">
        <f aca="false">IF(B45="","",IFERROR(INDEX(NV_NHOMCC,MATCH(B45,NV_MA,0)),""))</f>
        <v/>
      </c>
      <c r="M45" s="25" t="str">
        <f aca="false">IF(B45="","",IFERROR(INDEX(BCC_CONG,MATCH(B45,BCC_MA,0)),0))</f>
        <v/>
      </c>
      <c r="N45" s="18" t="str">
        <f aca="false">IF(B45="","",IFERROR(INDEX(BCC_PHEP,MATCH(B45,BCC_MA,0)),0))</f>
        <v/>
      </c>
      <c r="O45" s="18" t="str">
        <f aca="false">IF(B45="","",IFERROR(INDEX(BCC_LE,MATCH(B45,BCC_MA,0)),0))</f>
        <v/>
      </c>
      <c r="P45" s="18" t="str">
        <f aca="false">IF(B45="","",IFERROR(INDEX(BCC_LEDL,MATCH(B45,BCC_MA,0)),0))</f>
        <v/>
      </c>
      <c r="Q45" s="18" t="str">
        <f aca="false">IF(B45="","",IFERROR(INDEX(BCC_CD,MATCH(B45,BCC_MA,0)),0))</f>
        <v/>
      </c>
      <c r="R45" s="29" t="str">
        <f aca="false">IF(B45="","",IF(E45="Khoán tháng",G45,IF(E45="Thử việc",IF(N(H45)&gt;0,H45,G45*TL_THUVIEC),G45)/F45*M45))</f>
        <v/>
      </c>
      <c r="S45" s="29" t="str">
        <f aca="false">IF(B45="","",IF(E45="Khoán tháng",0,I45/NGAY_CHIA*N45))</f>
        <v/>
      </c>
      <c r="T45" s="29" t="str">
        <f aca="false">IF(B45="","",IF(E45="Khoán tháng",0,I45/NGAY_CHIA*O45))</f>
        <v/>
      </c>
      <c r="U45" s="29" t="str">
        <f aca="false">IF(B45="","",IF(E45="Khoán tháng",0,G45/F45/GIO_CONG*P45*HS_LE))</f>
        <v/>
      </c>
      <c r="V45" s="29" t="str">
        <f aca="false">IF(B45="","",IF(E45="Khoán tháng",0,I45/NGAY_CHIA*Q45))</f>
        <v/>
      </c>
      <c r="W45" s="29" t="str">
        <f aca="false">IF(B45="","",IF(L45="Chung",IF(M45&gt;=CC_NGUONG,CC_TIEN,0),IF(L45="Cơ điện",IF(M45&gt;CD_N2,CD_T2,IF(M45&gt;CD_N1,CD_T1,0)),0))+SUMIFS(DC_TIEN,DC_MA,$B45,DC_LOAI,"Chuyên cần",DC_AP,"Có"))</f>
        <v/>
      </c>
      <c r="X45" s="29" t="str">
        <f aca="false">IF(B45="","",N(K45))</f>
        <v/>
      </c>
      <c r="Y45" s="29" t="str">
        <f aca="false">IF(B45="","",SUMIFS(DC_TIEN,DC_MA,$B45,DC_LOAI,"Truy lĩnh",DC_AP,"Có")+SUMIFS(DC_TIEN,DC_MA,$B45,DC_LOAI,"Cộng khác",DC_AP,"Có"))</f>
        <v/>
      </c>
      <c r="Z45" s="30" t="str">
        <f aca="false">IF(B45="","",SUM(R45:Y45))</f>
        <v/>
      </c>
      <c r="AA45" s="29" t="str">
        <f aca="false">IF(B45="","",IF(J45="Có",I45*BHXH_NLD,0))</f>
        <v/>
      </c>
      <c r="AB45" s="29" t="str">
        <f aca="false">IF(B45="","",SUMIFS(DC_TIEN,DC_MA,$B45,DC_LOAI,"Tạm ứng",DC_AP,"Có"))</f>
        <v/>
      </c>
      <c r="AC45" s="29" t="str">
        <f aca="false">IF(B45="","",SUMIFS(DC_TIEN,DC_MA,$B45,DC_LOAI,"Trừ khác",DC_AP,"Có"))</f>
        <v/>
      </c>
      <c r="AD45" s="29" t="str">
        <f aca="false">IF(B45="","",SUMIFS(DC_TIEN,DC_MA,$B45,DC_LOAI,"KPI trừ",DC_AP,"Có"))</f>
        <v/>
      </c>
      <c r="AE45" s="29" t="str">
        <f aca="false">IF(B45="","",SUM(AA45:AD45))</f>
        <v/>
      </c>
      <c r="AF45" s="30" t="str">
        <f aca="false">IF(B45="","",ROUNDDOWN(Z45-AE45,-3))</f>
        <v/>
      </c>
      <c r="AG45" s="20"/>
    </row>
    <row r="46" customFormat="false" ht="15" hidden="false" customHeight="false" outlineLevel="0" collapsed="false">
      <c r="A46" s="18" t="str">
        <f aca="false">IF(B46="","",ROW()-5)</f>
        <v/>
      </c>
      <c r="B46" s="28" t="str">
        <f aca="false">IF(BCC!B46="","",BCC!B46)</f>
        <v/>
      </c>
      <c r="C46" s="18" t="str">
        <f aca="false">IF(B46="","",IFERROR(INDEX(NV_TEN,MATCH(B46,NV_MA,0)),"MÃ KHÔNG CÓ"))</f>
        <v/>
      </c>
      <c r="D46" s="18" t="str">
        <f aca="false">IF(B46="","",IFERROR(INDEX(NV_PN,MATCH(B46,NV_MA,0)),""))</f>
        <v/>
      </c>
      <c r="E46" s="18" t="str">
        <f aca="false">IF(B46="","",IFERROR(INDEX(NV_HT,MATCH(B46,NV_MA,0)),""))</f>
        <v/>
      </c>
      <c r="F46" s="18" t="str">
        <f aca="false">IF(B46="","",IFERROR(INDEX(NV_CC,MATCH(B46,NV_MA,0)),""))</f>
        <v/>
      </c>
      <c r="G46" s="29" t="str">
        <f aca="false">IF(B46="","",IFERROR(INDEX(NV_CB,MATCH(B46,NV_MA,0)),""))</f>
        <v/>
      </c>
      <c r="H46" s="29" t="str">
        <f aca="false">IF(B46="","",IFERROR(INDEX(NV_TV,MATCH(B46,NV_MA,0)),""))</f>
        <v/>
      </c>
      <c r="I46" s="29" t="str">
        <f aca="false">IF(B46="","",IFERROR(INDEX(NV_BHXH,MATCH(B46,NV_MA,0)),""))</f>
        <v/>
      </c>
      <c r="J46" s="29" t="str">
        <f aca="false">IF(B46="","",IFERROR(INDEX(NV_DONG,MATCH(B46,NV_MA,0)),""))</f>
        <v/>
      </c>
      <c r="K46" s="29" t="str">
        <f aca="false">IF(B46="","",IFERROR(INDEX(NV_PC,MATCH(B46,NV_MA,0)),""))</f>
        <v/>
      </c>
      <c r="L46" s="18" t="str">
        <f aca="false">IF(B46="","",IFERROR(INDEX(NV_NHOMCC,MATCH(B46,NV_MA,0)),""))</f>
        <v/>
      </c>
      <c r="M46" s="25" t="str">
        <f aca="false">IF(B46="","",IFERROR(INDEX(BCC_CONG,MATCH(B46,BCC_MA,0)),0))</f>
        <v/>
      </c>
      <c r="N46" s="18" t="str">
        <f aca="false">IF(B46="","",IFERROR(INDEX(BCC_PHEP,MATCH(B46,BCC_MA,0)),0))</f>
        <v/>
      </c>
      <c r="O46" s="18" t="str">
        <f aca="false">IF(B46="","",IFERROR(INDEX(BCC_LE,MATCH(B46,BCC_MA,0)),0))</f>
        <v/>
      </c>
      <c r="P46" s="18" t="str">
        <f aca="false">IF(B46="","",IFERROR(INDEX(BCC_LEDL,MATCH(B46,BCC_MA,0)),0))</f>
        <v/>
      </c>
      <c r="Q46" s="18" t="str">
        <f aca="false">IF(B46="","",IFERROR(INDEX(BCC_CD,MATCH(B46,BCC_MA,0)),0))</f>
        <v/>
      </c>
      <c r="R46" s="29" t="str">
        <f aca="false">IF(B46="","",IF(E46="Khoán tháng",G46,IF(E46="Thử việc",IF(N(H46)&gt;0,H46,G46*TL_THUVIEC),G46)/F46*M46))</f>
        <v/>
      </c>
      <c r="S46" s="29" t="str">
        <f aca="false">IF(B46="","",IF(E46="Khoán tháng",0,I46/NGAY_CHIA*N46))</f>
        <v/>
      </c>
      <c r="T46" s="29" t="str">
        <f aca="false">IF(B46="","",IF(E46="Khoán tháng",0,I46/NGAY_CHIA*O46))</f>
        <v/>
      </c>
      <c r="U46" s="29" t="str">
        <f aca="false">IF(B46="","",IF(E46="Khoán tháng",0,G46/F46/GIO_CONG*P46*HS_LE))</f>
        <v/>
      </c>
      <c r="V46" s="29" t="str">
        <f aca="false">IF(B46="","",IF(E46="Khoán tháng",0,I46/NGAY_CHIA*Q46))</f>
        <v/>
      </c>
      <c r="W46" s="29" t="str">
        <f aca="false">IF(B46="","",IF(L46="Chung",IF(M46&gt;=CC_NGUONG,CC_TIEN,0),IF(L46="Cơ điện",IF(M46&gt;CD_N2,CD_T2,IF(M46&gt;CD_N1,CD_T1,0)),0))+SUMIFS(DC_TIEN,DC_MA,$B46,DC_LOAI,"Chuyên cần",DC_AP,"Có"))</f>
        <v/>
      </c>
      <c r="X46" s="29" t="str">
        <f aca="false">IF(B46="","",N(K46))</f>
        <v/>
      </c>
      <c r="Y46" s="29" t="str">
        <f aca="false">IF(B46="","",SUMIFS(DC_TIEN,DC_MA,$B46,DC_LOAI,"Truy lĩnh",DC_AP,"Có")+SUMIFS(DC_TIEN,DC_MA,$B46,DC_LOAI,"Cộng khác",DC_AP,"Có"))</f>
        <v/>
      </c>
      <c r="Z46" s="30" t="str">
        <f aca="false">IF(B46="","",SUM(R46:Y46))</f>
        <v/>
      </c>
      <c r="AA46" s="29" t="str">
        <f aca="false">IF(B46="","",IF(J46="Có",I46*BHXH_NLD,0))</f>
        <v/>
      </c>
      <c r="AB46" s="29" t="str">
        <f aca="false">IF(B46="","",SUMIFS(DC_TIEN,DC_MA,$B46,DC_LOAI,"Tạm ứng",DC_AP,"Có"))</f>
        <v/>
      </c>
      <c r="AC46" s="29" t="str">
        <f aca="false">IF(B46="","",SUMIFS(DC_TIEN,DC_MA,$B46,DC_LOAI,"Trừ khác",DC_AP,"Có"))</f>
        <v/>
      </c>
      <c r="AD46" s="29" t="str">
        <f aca="false">IF(B46="","",SUMIFS(DC_TIEN,DC_MA,$B46,DC_LOAI,"KPI trừ",DC_AP,"Có"))</f>
        <v/>
      </c>
      <c r="AE46" s="29" t="str">
        <f aca="false">IF(B46="","",SUM(AA46:AD46))</f>
        <v/>
      </c>
      <c r="AF46" s="30" t="str">
        <f aca="false">IF(B46="","",ROUNDDOWN(Z46-AE46,-3))</f>
        <v/>
      </c>
      <c r="AG46" s="20"/>
    </row>
    <row r="47" customFormat="false" ht="15" hidden="false" customHeight="false" outlineLevel="0" collapsed="false">
      <c r="A47" s="18" t="str">
        <f aca="false">IF(B47="","",ROW()-5)</f>
        <v/>
      </c>
      <c r="B47" s="28" t="str">
        <f aca="false">IF(BCC!B47="","",BCC!B47)</f>
        <v/>
      </c>
      <c r="C47" s="18" t="str">
        <f aca="false">IF(B47="","",IFERROR(INDEX(NV_TEN,MATCH(B47,NV_MA,0)),"MÃ KHÔNG CÓ"))</f>
        <v/>
      </c>
      <c r="D47" s="18" t="str">
        <f aca="false">IF(B47="","",IFERROR(INDEX(NV_PN,MATCH(B47,NV_MA,0)),""))</f>
        <v/>
      </c>
      <c r="E47" s="18" t="str">
        <f aca="false">IF(B47="","",IFERROR(INDEX(NV_HT,MATCH(B47,NV_MA,0)),""))</f>
        <v/>
      </c>
      <c r="F47" s="18" t="str">
        <f aca="false">IF(B47="","",IFERROR(INDEX(NV_CC,MATCH(B47,NV_MA,0)),""))</f>
        <v/>
      </c>
      <c r="G47" s="29" t="str">
        <f aca="false">IF(B47="","",IFERROR(INDEX(NV_CB,MATCH(B47,NV_MA,0)),""))</f>
        <v/>
      </c>
      <c r="H47" s="29" t="str">
        <f aca="false">IF(B47="","",IFERROR(INDEX(NV_TV,MATCH(B47,NV_MA,0)),""))</f>
        <v/>
      </c>
      <c r="I47" s="29" t="str">
        <f aca="false">IF(B47="","",IFERROR(INDEX(NV_BHXH,MATCH(B47,NV_MA,0)),""))</f>
        <v/>
      </c>
      <c r="J47" s="29" t="str">
        <f aca="false">IF(B47="","",IFERROR(INDEX(NV_DONG,MATCH(B47,NV_MA,0)),""))</f>
        <v/>
      </c>
      <c r="K47" s="29" t="str">
        <f aca="false">IF(B47="","",IFERROR(INDEX(NV_PC,MATCH(B47,NV_MA,0)),""))</f>
        <v/>
      </c>
      <c r="L47" s="18" t="str">
        <f aca="false">IF(B47="","",IFERROR(INDEX(NV_NHOMCC,MATCH(B47,NV_MA,0)),""))</f>
        <v/>
      </c>
      <c r="M47" s="25" t="str">
        <f aca="false">IF(B47="","",IFERROR(INDEX(BCC_CONG,MATCH(B47,BCC_MA,0)),0))</f>
        <v/>
      </c>
      <c r="N47" s="18" t="str">
        <f aca="false">IF(B47="","",IFERROR(INDEX(BCC_PHEP,MATCH(B47,BCC_MA,0)),0))</f>
        <v/>
      </c>
      <c r="O47" s="18" t="str">
        <f aca="false">IF(B47="","",IFERROR(INDEX(BCC_LE,MATCH(B47,BCC_MA,0)),0))</f>
        <v/>
      </c>
      <c r="P47" s="18" t="str">
        <f aca="false">IF(B47="","",IFERROR(INDEX(BCC_LEDL,MATCH(B47,BCC_MA,0)),0))</f>
        <v/>
      </c>
      <c r="Q47" s="18" t="str">
        <f aca="false">IF(B47="","",IFERROR(INDEX(BCC_CD,MATCH(B47,BCC_MA,0)),0))</f>
        <v/>
      </c>
      <c r="R47" s="29" t="str">
        <f aca="false">IF(B47="","",IF(E47="Khoán tháng",G47,IF(E47="Thử việc",IF(N(H47)&gt;0,H47,G47*TL_THUVIEC),G47)/F47*M47))</f>
        <v/>
      </c>
      <c r="S47" s="29" t="str">
        <f aca="false">IF(B47="","",IF(E47="Khoán tháng",0,I47/NGAY_CHIA*N47))</f>
        <v/>
      </c>
      <c r="T47" s="29" t="str">
        <f aca="false">IF(B47="","",IF(E47="Khoán tháng",0,I47/NGAY_CHIA*O47))</f>
        <v/>
      </c>
      <c r="U47" s="29" t="str">
        <f aca="false">IF(B47="","",IF(E47="Khoán tháng",0,G47/F47/GIO_CONG*P47*HS_LE))</f>
        <v/>
      </c>
      <c r="V47" s="29" t="str">
        <f aca="false">IF(B47="","",IF(E47="Khoán tháng",0,I47/NGAY_CHIA*Q47))</f>
        <v/>
      </c>
      <c r="W47" s="29" t="str">
        <f aca="false">IF(B47="","",IF(L47="Chung",IF(M47&gt;=CC_NGUONG,CC_TIEN,0),IF(L47="Cơ điện",IF(M47&gt;CD_N2,CD_T2,IF(M47&gt;CD_N1,CD_T1,0)),0))+SUMIFS(DC_TIEN,DC_MA,$B47,DC_LOAI,"Chuyên cần",DC_AP,"Có"))</f>
        <v/>
      </c>
      <c r="X47" s="29" t="str">
        <f aca="false">IF(B47="","",N(K47))</f>
        <v/>
      </c>
      <c r="Y47" s="29" t="str">
        <f aca="false">IF(B47="","",SUMIFS(DC_TIEN,DC_MA,$B47,DC_LOAI,"Truy lĩnh",DC_AP,"Có")+SUMIFS(DC_TIEN,DC_MA,$B47,DC_LOAI,"Cộng khác",DC_AP,"Có"))</f>
        <v/>
      </c>
      <c r="Z47" s="30" t="str">
        <f aca="false">IF(B47="","",SUM(R47:Y47))</f>
        <v/>
      </c>
      <c r="AA47" s="29" t="str">
        <f aca="false">IF(B47="","",IF(J47="Có",I47*BHXH_NLD,0))</f>
        <v/>
      </c>
      <c r="AB47" s="29" t="str">
        <f aca="false">IF(B47="","",SUMIFS(DC_TIEN,DC_MA,$B47,DC_LOAI,"Tạm ứng",DC_AP,"Có"))</f>
        <v/>
      </c>
      <c r="AC47" s="29" t="str">
        <f aca="false">IF(B47="","",SUMIFS(DC_TIEN,DC_MA,$B47,DC_LOAI,"Trừ khác",DC_AP,"Có"))</f>
        <v/>
      </c>
      <c r="AD47" s="29" t="str">
        <f aca="false">IF(B47="","",SUMIFS(DC_TIEN,DC_MA,$B47,DC_LOAI,"KPI trừ",DC_AP,"Có"))</f>
        <v/>
      </c>
      <c r="AE47" s="29" t="str">
        <f aca="false">IF(B47="","",SUM(AA47:AD47))</f>
        <v/>
      </c>
      <c r="AF47" s="30" t="str">
        <f aca="false">IF(B47="","",ROUNDDOWN(Z47-AE47,-3))</f>
        <v/>
      </c>
      <c r="AG47" s="20"/>
    </row>
    <row r="48" customFormat="false" ht="15" hidden="false" customHeight="false" outlineLevel="0" collapsed="false">
      <c r="A48" s="18" t="str">
        <f aca="false">IF(B48="","",ROW()-5)</f>
        <v/>
      </c>
      <c r="B48" s="28" t="str">
        <f aca="false">IF(BCC!B48="","",BCC!B48)</f>
        <v/>
      </c>
      <c r="C48" s="18" t="str">
        <f aca="false">IF(B48="","",IFERROR(INDEX(NV_TEN,MATCH(B48,NV_MA,0)),"MÃ KHÔNG CÓ"))</f>
        <v/>
      </c>
      <c r="D48" s="18" t="str">
        <f aca="false">IF(B48="","",IFERROR(INDEX(NV_PN,MATCH(B48,NV_MA,0)),""))</f>
        <v/>
      </c>
      <c r="E48" s="18" t="str">
        <f aca="false">IF(B48="","",IFERROR(INDEX(NV_HT,MATCH(B48,NV_MA,0)),""))</f>
        <v/>
      </c>
      <c r="F48" s="18" t="str">
        <f aca="false">IF(B48="","",IFERROR(INDEX(NV_CC,MATCH(B48,NV_MA,0)),""))</f>
        <v/>
      </c>
      <c r="G48" s="29" t="str">
        <f aca="false">IF(B48="","",IFERROR(INDEX(NV_CB,MATCH(B48,NV_MA,0)),""))</f>
        <v/>
      </c>
      <c r="H48" s="29" t="str">
        <f aca="false">IF(B48="","",IFERROR(INDEX(NV_TV,MATCH(B48,NV_MA,0)),""))</f>
        <v/>
      </c>
      <c r="I48" s="29" t="str">
        <f aca="false">IF(B48="","",IFERROR(INDEX(NV_BHXH,MATCH(B48,NV_MA,0)),""))</f>
        <v/>
      </c>
      <c r="J48" s="29" t="str">
        <f aca="false">IF(B48="","",IFERROR(INDEX(NV_DONG,MATCH(B48,NV_MA,0)),""))</f>
        <v/>
      </c>
      <c r="K48" s="29" t="str">
        <f aca="false">IF(B48="","",IFERROR(INDEX(NV_PC,MATCH(B48,NV_MA,0)),""))</f>
        <v/>
      </c>
      <c r="L48" s="18" t="str">
        <f aca="false">IF(B48="","",IFERROR(INDEX(NV_NHOMCC,MATCH(B48,NV_MA,0)),""))</f>
        <v/>
      </c>
      <c r="M48" s="25" t="str">
        <f aca="false">IF(B48="","",IFERROR(INDEX(BCC_CONG,MATCH(B48,BCC_MA,0)),0))</f>
        <v/>
      </c>
      <c r="N48" s="18" t="str">
        <f aca="false">IF(B48="","",IFERROR(INDEX(BCC_PHEP,MATCH(B48,BCC_MA,0)),0))</f>
        <v/>
      </c>
      <c r="O48" s="18" t="str">
        <f aca="false">IF(B48="","",IFERROR(INDEX(BCC_LE,MATCH(B48,BCC_MA,0)),0))</f>
        <v/>
      </c>
      <c r="P48" s="18" t="str">
        <f aca="false">IF(B48="","",IFERROR(INDEX(BCC_LEDL,MATCH(B48,BCC_MA,0)),0))</f>
        <v/>
      </c>
      <c r="Q48" s="18" t="str">
        <f aca="false">IF(B48="","",IFERROR(INDEX(BCC_CD,MATCH(B48,BCC_MA,0)),0))</f>
        <v/>
      </c>
      <c r="R48" s="29" t="str">
        <f aca="false">IF(B48="","",IF(E48="Khoán tháng",G48,IF(E48="Thử việc",IF(N(H48)&gt;0,H48,G48*TL_THUVIEC),G48)/F48*M48))</f>
        <v/>
      </c>
      <c r="S48" s="29" t="str">
        <f aca="false">IF(B48="","",IF(E48="Khoán tháng",0,I48/NGAY_CHIA*N48))</f>
        <v/>
      </c>
      <c r="T48" s="29" t="str">
        <f aca="false">IF(B48="","",IF(E48="Khoán tháng",0,I48/NGAY_CHIA*O48))</f>
        <v/>
      </c>
      <c r="U48" s="29" t="str">
        <f aca="false">IF(B48="","",IF(E48="Khoán tháng",0,G48/F48/GIO_CONG*P48*HS_LE))</f>
        <v/>
      </c>
      <c r="V48" s="29" t="str">
        <f aca="false">IF(B48="","",IF(E48="Khoán tháng",0,I48/NGAY_CHIA*Q48))</f>
        <v/>
      </c>
      <c r="W48" s="29" t="str">
        <f aca="false">IF(B48="","",IF(L48="Chung",IF(M48&gt;=CC_NGUONG,CC_TIEN,0),IF(L48="Cơ điện",IF(M48&gt;CD_N2,CD_T2,IF(M48&gt;CD_N1,CD_T1,0)),0))+SUMIFS(DC_TIEN,DC_MA,$B48,DC_LOAI,"Chuyên cần",DC_AP,"Có"))</f>
        <v/>
      </c>
      <c r="X48" s="29" t="str">
        <f aca="false">IF(B48="","",N(K48))</f>
        <v/>
      </c>
      <c r="Y48" s="29" t="str">
        <f aca="false">IF(B48="","",SUMIFS(DC_TIEN,DC_MA,$B48,DC_LOAI,"Truy lĩnh",DC_AP,"Có")+SUMIFS(DC_TIEN,DC_MA,$B48,DC_LOAI,"Cộng khác",DC_AP,"Có"))</f>
        <v/>
      </c>
      <c r="Z48" s="30" t="str">
        <f aca="false">IF(B48="","",SUM(R48:Y48))</f>
        <v/>
      </c>
      <c r="AA48" s="29" t="str">
        <f aca="false">IF(B48="","",IF(J48="Có",I48*BHXH_NLD,0))</f>
        <v/>
      </c>
      <c r="AB48" s="29" t="str">
        <f aca="false">IF(B48="","",SUMIFS(DC_TIEN,DC_MA,$B48,DC_LOAI,"Tạm ứng",DC_AP,"Có"))</f>
        <v/>
      </c>
      <c r="AC48" s="29" t="str">
        <f aca="false">IF(B48="","",SUMIFS(DC_TIEN,DC_MA,$B48,DC_LOAI,"Trừ khác",DC_AP,"Có"))</f>
        <v/>
      </c>
      <c r="AD48" s="29" t="str">
        <f aca="false">IF(B48="","",SUMIFS(DC_TIEN,DC_MA,$B48,DC_LOAI,"KPI trừ",DC_AP,"Có"))</f>
        <v/>
      </c>
      <c r="AE48" s="29" t="str">
        <f aca="false">IF(B48="","",SUM(AA48:AD48))</f>
        <v/>
      </c>
      <c r="AF48" s="30" t="str">
        <f aca="false">IF(B48="","",ROUNDDOWN(Z48-AE48,-3))</f>
        <v/>
      </c>
      <c r="AG48" s="20"/>
    </row>
    <row r="49" customFormat="false" ht="15" hidden="false" customHeight="false" outlineLevel="0" collapsed="false">
      <c r="A49" s="18" t="str">
        <f aca="false">IF(B49="","",ROW()-5)</f>
        <v/>
      </c>
      <c r="B49" s="28" t="str">
        <f aca="false">IF(BCC!B49="","",BCC!B49)</f>
        <v/>
      </c>
      <c r="C49" s="18" t="str">
        <f aca="false">IF(B49="","",IFERROR(INDEX(NV_TEN,MATCH(B49,NV_MA,0)),"MÃ KHÔNG CÓ"))</f>
        <v/>
      </c>
      <c r="D49" s="18" t="str">
        <f aca="false">IF(B49="","",IFERROR(INDEX(NV_PN,MATCH(B49,NV_MA,0)),""))</f>
        <v/>
      </c>
      <c r="E49" s="18" t="str">
        <f aca="false">IF(B49="","",IFERROR(INDEX(NV_HT,MATCH(B49,NV_MA,0)),""))</f>
        <v/>
      </c>
      <c r="F49" s="18" t="str">
        <f aca="false">IF(B49="","",IFERROR(INDEX(NV_CC,MATCH(B49,NV_MA,0)),""))</f>
        <v/>
      </c>
      <c r="G49" s="29" t="str">
        <f aca="false">IF(B49="","",IFERROR(INDEX(NV_CB,MATCH(B49,NV_MA,0)),""))</f>
        <v/>
      </c>
      <c r="H49" s="29" t="str">
        <f aca="false">IF(B49="","",IFERROR(INDEX(NV_TV,MATCH(B49,NV_MA,0)),""))</f>
        <v/>
      </c>
      <c r="I49" s="29" t="str">
        <f aca="false">IF(B49="","",IFERROR(INDEX(NV_BHXH,MATCH(B49,NV_MA,0)),""))</f>
        <v/>
      </c>
      <c r="J49" s="29" t="str">
        <f aca="false">IF(B49="","",IFERROR(INDEX(NV_DONG,MATCH(B49,NV_MA,0)),""))</f>
        <v/>
      </c>
      <c r="K49" s="29" t="str">
        <f aca="false">IF(B49="","",IFERROR(INDEX(NV_PC,MATCH(B49,NV_MA,0)),""))</f>
        <v/>
      </c>
      <c r="L49" s="18" t="str">
        <f aca="false">IF(B49="","",IFERROR(INDEX(NV_NHOMCC,MATCH(B49,NV_MA,0)),""))</f>
        <v/>
      </c>
      <c r="M49" s="25" t="str">
        <f aca="false">IF(B49="","",IFERROR(INDEX(BCC_CONG,MATCH(B49,BCC_MA,0)),0))</f>
        <v/>
      </c>
      <c r="N49" s="18" t="str">
        <f aca="false">IF(B49="","",IFERROR(INDEX(BCC_PHEP,MATCH(B49,BCC_MA,0)),0))</f>
        <v/>
      </c>
      <c r="O49" s="18" t="str">
        <f aca="false">IF(B49="","",IFERROR(INDEX(BCC_LE,MATCH(B49,BCC_MA,0)),0))</f>
        <v/>
      </c>
      <c r="P49" s="18" t="str">
        <f aca="false">IF(B49="","",IFERROR(INDEX(BCC_LEDL,MATCH(B49,BCC_MA,0)),0))</f>
        <v/>
      </c>
      <c r="Q49" s="18" t="str">
        <f aca="false">IF(B49="","",IFERROR(INDEX(BCC_CD,MATCH(B49,BCC_MA,0)),0))</f>
        <v/>
      </c>
      <c r="R49" s="29" t="str">
        <f aca="false">IF(B49="","",IF(E49="Khoán tháng",G49,IF(E49="Thử việc",IF(N(H49)&gt;0,H49,G49*TL_THUVIEC),G49)/F49*M49))</f>
        <v/>
      </c>
      <c r="S49" s="29" t="str">
        <f aca="false">IF(B49="","",IF(E49="Khoán tháng",0,I49/NGAY_CHIA*N49))</f>
        <v/>
      </c>
      <c r="T49" s="29" t="str">
        <f aca="false">IF(B49="","",IF(E49="Khoán tháng",0,I49/NGAY_CHIA*O49))</f>
        <v/>
      </c>
      <c r="U49" s="29" t="str">
        <f aca="false">IF(B49="","",IF(E49="Khoán tháng",0,G49/F49/GIO_CONG*P49*HS_LE))</f>
        <v/>
      </c>
      <c r="V49" s="29" t="str">
        <f aca="false">IF(B49="","",IF(E49="Khoán tháng",0,I49/NGAY_CHIA*Q49))</f>
        <v/>
      </c>
      <c r="W49" s="29" t="str">
        <f aca="false">IF(B49="","",IF(L49="Chung",IF(M49&gt;=CC_NGUONG,CC_TIEN,0),IF(L49="Cơ điện",IF(M49&gt;CD_N2,CD_T2,IF(M49&gt;CD_N1,CD_T1,0)),0))+SUMIFS(DC_TIEN,DC_MA,$B49,DC_LOAI,"Chuyên cần",DC_AP,"Có"))</f>
        <v/>
      </c>
      <c r="X49" s="29" t="str">
        <f aca="false">IF(B49="","",N(K49))</f>
        <v/>
      </c>
      <c r="Y49" s="29" t="str">
        <f aca="false">IF(B49="","",SUMIFS(DC_TIEN,DC_MA,$B49,DC_LOAI,"Truy lĩnh",DC_AP,"Có")+SUMIFS(DC_TIEN,DC_MA,$B49,DC_LOAI,"Cộng khác",DC_AP,"Có"))</f>
        <v/>
      </c>
      <c r="Z49" s="30" t="str">
        <f aca="false">IF(B49="","",SUM(R49:Y49))</f>
        <v/>
      </c>
      <c r="AA49" s="29" t="str">
        <f aca="false">IF(B49="","",IF(J49="Có",I49*BHXH_NLD,0))</f>
        <v/>
      </c>
      <c r="AB49" s="29" t="str">
        <f aca="false">IF(B49="","",SUMIFS(DC_TIEN,DC_MA,$B49,DC_LOAI,"Tạm ứng",DC_AP,"Có"))</f>
        <v/>
      </c>
      <c r="AC49" s="29" t="str">
        <f aca="false">IF(B49="","",SUMIFS(DC_TIEN,DC_MA,$B49,DC_LOAI,"Trừ khác",DC_AP,"Có"))</f>
        <v/>
      </c>
      <c r="AD49" s="29" t="str">
        <f aca="false">IF(B49="","",SUMIFS(DC_TIEN,DC_MA,$B49,DC_LOAI,"KPI trừ",DC_AP,"Có"))</f>
        <v/>
      </c>
      <c r="AE49" s="29" t="str">
        <f aca="false">IF(B49="","",SUM(AA49:AD49))</f>
        <v/>
      </c>
      <c r="AF49" s="30" t="str">
        <f aca="false">IF(B49="","",ROUNDDOWN(Z49-AE49,-3))</f>
        <v/>
      </c>
      <c r="AG49" s="20"/>
    </row>
    <row r="50" customFormat="false" ht="15" hidden="false" customHeight="false" outlineLevel="0" collapsed="false">
      <c r="A50" s="18" t="str">
        <f aca="false">IF(B50="","",ROW()-5)</f>
        <v/>
      </c>
      <c r="B50" s="28" t="str">
        <f aca="false">IF(BCC!B50="","",BCC!B50)</f>
        <v/>
      </c>
      <c r="C50" s="18" t="str">
        <f aca="false">IF(B50="","",IFERROR(INDEX(NV_TEN,MATCH(B50,NV_MA,0)),"MÃ KHÔNG CÓ"))</f>
        <v/>
      </c>
      <c r="D50" s="18" t="str">
        <f aca="false">IF(B50="","",IFERROR(INDEX(NV_PN,MATCH(B50,NV_MA,0)),""))</f>
        <v/>
      </c>
      <c r="E50" s="18" t="str">
        <f aca="false">IF(B50="","",IFERROR(INDEX(NV_HT,MATCH(B50,NV_MA,0)),""))</f>
        <v/>
      </c>
      <c r="F50" s="18" t="str">
        <f aca="false">IF(B50="","",IFERROR(INDEX(NV_CC,MATCH(B50,NV_MA,0)),""))</f>
        <v/>
      </c>
      <c r="G50" s="29" t="str">
        <f aca="false">IF(B50="","",IFERROR(INDEX(NV_CB,MATCH(B50,NV_MA,0)),""))</f>
        <v/>
      </c>
      <c r="H50" s="29" t="str">
        <f aca="false">IF(B50="","",IFERROR(INDEX(NV_TV,MATCH(B50,NV_MA,0)),""))</f>
        <v/>
      </c>
      <c r="I50" s="29" t="str">
        <f aca="false">IF(B50="","",IFERROR(INDEX(NV_BHXH,MATCH(B50,NV_MA,0)),""))</f>
        <v/>
      </c>
      <c r="J50" s="29" t="str">
        <f aca="false">IF(B50="","",IFERROR(INDEX(NV_DONG,MATCH(B50,NV_MA,0)),""))</f>
        <v/>
      </c>
      <c r="K50" s="29" t="str">
        <f aca="false">IF(B50="","",IFERROR(INDEX(NV_PC,MATCH(B50,NV_MA,0)),""))</f>
        <v/>
      </c>
      <c r="L50" s="18" t="str">
        <f aca="false">IF(B50="","",IFERROR(INDEX(NV_NHOMCC,MATCH(B50,NV_MA,0)),""))</f>
        <v/>
      </c>
      <c r="M50" s="25" t="str">
        <f aca="false">IF(B50="","",IFERROR(INDEX(BCC_CONG,MATCH(B50,BCC_MA,0)),0))</f>
        <v/>
      </c>
      <c r="N50" s="18" t="str">
        <f aca="false">IF(B50="","",IFERROR(INDEX(BCC_PHEP,MATCH(B50,BCC_MA,0)),0))</f>
        <v/>
      </c>
      <c r="O50" s="18" t="str">
        <f aca="false">IF(B50="","",IFERROR(INDEX(BCC_LE,MATCH(B50,BCC_MA,0)),0))</f>
        <v/>
      </c>
      <c r="P50" s="18" t="str">
        <f aca="false">IF(B50="","",IFERROR(INDEX(BCC_LEDL,MATCH(B50,BCC_MA,0)),0))</f>
        <v/>
      </c>
      <c r="Q50" s="18" t="str">
        <f aca="false">IF(B50="","",IFERROR(INDEX(BCC_CD,MATCH(B50,BCC_MA,0)),0))</f>
        <v/>
      </c>
      <c r="R50" s="29" t="str">
        <f aca="false">IF(B50="","",IF(E50="Khoán tháng",G50,IF(E50="Thử việc",IF(N(H50)&gt;0,H50,G50*TL_THUVIEC),G50)/F50*M50))</f>
        <v/>
      </c>
      <c r="S50" s="29" t="str">
        <f aca="false">IF(B50="","",IF(E50="Khoán tháng",0,I50/NGAY_CHIA*N50))</f>
        <v/>
      </c>
      <c r="T50" s="29" t="str">
        <f aca="false">IF(B50="","",IF(E50="Khoán tháng",0,I50/NGAY_CHIA*O50))</f>
        <v/>
      </c>
      <c r="U50" s="29" t="str">
        <f aca="false">IF(B50="","",IF(E50="Khoán tháng",0,G50/F50/GIO_CONG*P50*HS_LE))</f>
        <v/>
      </c>
      <c r="V50" s="29" t="str">
        <f aca="false">IF(B50="","",IF(E50="Khoán tháng",0,I50/NGAY_CHIA*Q50))</f>
        <v/>
      </c>
      <c r="W50" s="29" t="str">
        <f aca="false">IF(B50="","",IF(L50="Chung",IF(M50&gt;=CC_NGUONG,CC_TIEN,0),IF(L50="Cơ điện",IF(M50&gt;CD_N2,CD_T2,IF(M50&gt;CD_N1,CD_T1,0)),0))+SUMIFS(DC_TIEN,DC_MA,$B50,DC_LOAI,"Chuyên cần",DC_AP,"Có"))</f>
        <v/>
      </c>
      <c r="X50" s="29" t="str">
        <f aca="false">IF(B50="","",N(K50))</f>
        <v/>
      </c>
      <c r="Y50" s="29" t="str">
        <f aca="false">IF(B50="","",SUMIFS(DC_TIEN,DC_MA,$B50,DC_LOAI,"Truy lĩnh",DC_AP,"Có")+SUMIFS(DC_TIEN,DC_MA,$B50,DC_LOAI,"Cộng khác",DC_AP,"Có"))</f>
        <v/>
      </c>
      <c r="Z50" s="30" t="str">
        <f aca="false">IF(B50="","",SUM(R50:Y50))</f>
        <v/>
      </c>
      <c r="AA50" s="29" t="str">
        <f aca="false">IF(B50="","",IF(J50="Có",I50*BHXH_NLD,0))</f>
        <v/>
      </c>
      <c r="AB50" s="29" t="str">
        <f aca="false">IF(B50="","",SUMIFS(DC_TIEN,DC_MA,$B50,DC_LOAI,"Tạm ứng",DC_AP,"Có"))</f>
        <v/>
      </c>
      <c r="AC50" s="29" t="str">
        <f aca="false">IF(B50="","",SUMIFS(DC_TIEN,DC_MA,$B50,DC_LOAI,"Trừ khác",DC_AP,"Có"))</f>
        <v/>
      </c>
      <c r="AD50" s="29" t="str">
        <f aca="false">IF(B50="","",SUMIFS(DC_TIEN,DC_MA,$B50,DC_LOAI,"KPI trừ",DC_AP,"Có"))</f>
        <v/>
      </c>
      <c r="AE50" s="29" t="str">
        <f aca="false">IF(B50="","",SUM(AA50:AD50))</f>
        <v/>
      </c>
      <c r="AF50" s="30" t="str">
        <f aca="false">IF(B50="","",ROUNDDOWN(Z50-AE50,-3))</f>
        <v/>
      </c>
      <c r="AG50" s="20"/>
    </row>
    <row r="51" customFormat="false" ht="15" hidden="false" customHeight="false" outlineLevel="0" collapsed="false">
      <c r="A51" s="18" t="str">
        <f aca="false">IF(B51="","",ROW()-5)</f>
        <v/>
      </c>
      <c r="B51" s="28" t="str">
        <f aca="false">IF(BCC!B51="","",BCC!B51)</f>
        <v/>
      </c>
      <c r="C51" s="18" t="str">
        <f aca="false">IF(B51="","",IFERROR(INDEX(NV_TEN,MATCH(B51,NV_MA,0)),"MÃ KHÔNG CÓ"))</f>
        <v/>
      </c>
      <c r="D51" s="18" t="str">
        <f aca="false">IF(B51="","",IFERROR(INDEX(NV_PN,MATCH(B51,NV_MA,0)),""))</f>
        <v/>
      </c>
      <c r="E51" s="18" t="str">
        <f aca="false">IF(B51="","",IFERROR(INDEX(NV_HT,MATCH(B51,NV_MA,0)),""))</f>
        <v/>
      </c>
      <c r="F51" s="18" t="str">
        <f aca="false">IF(B51="","",IFERROR(INDEX(NV_CC,MATCH(B51,NV_MA,0)),""))</f>
        <v/>
      </c>
      <c r="G51" s="29" t="str">
        <f aca="false">IF(B51="","",IFERROR(INDEX(NV_CB,MATCH(B51,NV_MA,0)),""))</f>
        <v/>
      </c>
      <c r="H51" s="29" t="str">
        <f aca="false">IF(B51="","",IFERROR(INDEX(NV_TV,MATCH(B51,NV_MA,0)),""))</f>
        <v/>
      </c>
      <c r="I51" s="29" t="str">
        <f aca="false">IF(B51="","",IFERROR(INDEX(NV_BHXH,MATCH(B51,NV_MA,0)),""))</f>
        <v/>
      </c>
      <c r="J51" s="29" t="str">
        <f aca="false">IF(B51="","",IFERROR(INDEX(NV_DONG,MATCH(B51,NV_MA,0)),""))</f>
        <v/>
      </c>
      <c r="K51" s="29" t="str">
        <f aca="false">IF(B51="","",IFERROR(INDEX(NV_PC,MATCH(B51,NV_MA,0)),""))</f>
        <v/>
      </c>
      <c r="L51" s="18" t="str">
        <f aca="false">IF(B51="","",IFERROR(INDEX(NV_NHOMCC,MATCH(B51,NV_MA,0)),""))</f>
        <v/>
      </c>
      <c r="M51" s="25" t="str">
        <f aca="false">IF(B51="","",IFERROR(INDEX(BCC_CONG,MATCH(B51,BCC_MA,0)),0))</f>
        <v/>
      </c>
      <c r="N51" s="18" t="str">
        <f aca="false">IF(B51="","",IFERROR(INDEX(BCC_PHEP,MATCH(B51,BCC_MA,0)),0))</f>
        <v/>
      </c>
      <c r="O51" s="18" t="str">
        <f aca="false">IF(B51="","",IFERROR(INDEX(BCC_LE,MATCH(B51,BCC_MA,0)),0))</f>
        <v/>
      </c>
      <c r="P51" s="18" t="str">
        <f aca="false">IF(B51="","",IFERROR(INDEX(BCC_LEDL,MATCH(B51,BCC_MA,0)),0))</f>
        <v/>
      </c>
      <c r="Q51" s="18" t="str">
        <f aca="false">IF(B51="","",IFERROR(INDEX(BCC_CD,MATCH(B51,BCC_MA,0)),0))</f>
        <v/>
      </c>
      <c r="R51" s="29" t="str">
        <f aca="false">IF(B51="","",IF(E51="Khoán tháng",G51,IF(E51="Thử việc",IF(N(H51)&gt;0,H51,G51*TL_THUVIEC),G51)/F51*M51))</f>
        <v/>
      </c>
      <c r="S51" s="29" t="str">
        <f aca="false">IF(B51="","",IF(E51="Khoán tháng",0,I51/NGAY_CHIA*N51))</f>
        <v/>
      </c>
      <c r="T51" s="29" t="str">
        <f aca="false">IF(B51="","",IF(E51="Khoán tháng",0,I51/NGAY_CHIA*O51))</f>
        <v/>
      </c>
      <c r="U51" s="29" t="str">
        <f aca="false">IF(B51="","",IF(E51="Khoán tháng",0,G51/F51/GIO_CONG*P51*HS_LE))</f>
        <v/>
      </c>
      <c r="V51" s="29" t="str">
        <f aca="false">IF(B51="","",IF(E51="Khoán tháng",0,I51/NGAY_CHIA*Q51))</f>
        <v/>
      </c>
      <c r="W51" s="29" t="str">
        <f aca="false">IF(B51="","",IF(L51="Chung",IF(M51&gt;=CC_NGUONG,CC_TIEN,0),IF(L51="Cơ điện",IF(M51&gt;CD_N2,CD_T2,IF(M51&gt;CD_N1,CD_T1,0)),0))+SUMIFS(DC_TIEN,DC_MA,$B51,DC_LOAI,"Chuyên cần",DC_AP,"Có"))</f>
        <v/>
      </c>
      <c r="X51" s="29" t="str">
        <f aca="false">IF(B51="","",N(K51))</f>
        <v/>
      </c>
      <c r="Y51" s="29" t="str">
        <f aca="false">IF(B51="","",SUMIFS(DC_TIEN,DC_MA,$B51,DC_LOAI,"Truy lĩnh",DC_AP,"Có")+SUMIFS(DC_TIEN,DC_MA,$B51,DC_LOAI,"Cộng khác",DC_AP,"Có"))</f>
        <v/>
      </c>
      <c r="Z51" s="30" t="str">
        <f aca="false">IF(B51="","",SUM(R51:Y51))</f>
        <v/>
      </c>
      <c r="AA51" s="29" t="str">
        <f aca="false">IF(B51="","",IF(J51="Có",I51*BHXH_NLD,0))</f>
        <v/>
      </c>
      <c r="AB51" s="29" t="str">
        <f aca="false">IF(B51="","",SUMIFS(DC_TIEN,DC_MA,$B51,DC_LOAI,"Tạm ứng",DC_AP,"Có"))</f>
        <v/>
      </c>
      <c r="AC51" s="29" t="str">
        <f aca="false">IF(B51="","",SUMIFS(DC_TIEN,DC_MA,$B51,DC_LOAI,"Trừ khác",DC_AP,"Có"))</f>
        <v/>
      </c>
      <c r="AD51" s="29" t="str">
        <f aca="false">IF(B51="","",SUMIFS(DC_TIEN,DC_MA,$B51,DC_LOAI,"KPI trừ",DC_AP,"Có"))</f>
        <v/>
      </c>
      <c r="AE51" s="29" t="str">
        <f aca="false">IF(B51="","",SUM(AA51:AD51))</f>
        <v/>
      </c>
      <c r="AF51" s="30" t="str">
        <f aca="false">IF(B51="","",ROUNDDOWN(Z51-AE51,-3))</f>
        <v/>
      </c>
      <c r="AG51" s="20"/>
    </row>
    <row r="52" customFormat="false" ht="15" hidden="false" customHeight="false" outlineLevel="0" collapsed="false">
      <c r="A52" s="18" t="str">
        <f aca="false">IF(B52="","",ROW()-5)</f>
        <v/>
      </c>
      <c r="B52" s="28" t="str">
        <f aca="false">IF(BCC!B52="","",BCC!B52)</f>
        <v/>
      </c>
      <c r="C52" s="18" t="str">
        <f aca="false">IF(B52="","",IFERROR(INDEX(NV_TEN,MATCH(B52,NV_MA,0)),"MÃ KHÔNG CÓ"))</f>
        <v/>
      </c>
      <c r="D52" s="18" t="str">
        <f aca="false">IF(B52="","",IFERROR(INDEX(NV_PN,MATCH(B52,NV_MA,0)),""))</f>
        <v/>
      </c>
      <c r="E52" s="18" t="str">
        <f aca="false">IF(B52="","",IFERROR(INDEX(NV_HT,MATCH(B52,NV_MA,0)),""))</f>
        <v/>
      </c>
      <c r="F52" s="18" t="str">
        <f aca="false">IF(B52="","",IFERROR(INDEX(NV_CC,MATCH(B52,NV_MA,0)),""))</f>
        <v/>
      </c>
      <c r="G52" s="29" t="str">
        <f aca="false">IF(B52="","",IFERROR(INDEX(NV_CB,MATCH(B52,NV_MA,0)),""))</f>
        <v/>
      </c>
      <c r="H52" s="29" t="str">
        <f aca="false">IF(B52="","",IFERROR(INDEX(NV_TV,MATCH(B52,NV_MA,0)),""))</f>
        <v/>
      </c>
      <c r="I52" s="29" t="str">
        <f aca="false">IF(B52="","",IFERROR(INDEX(NV_BHXH,MATCH(B52,NV_MA,0)),""))</f>
        <v/>
      </c>
      <c r="J52" s="29" t="str">
        <f aca="false">IF(B52="","",IFERROR(INDEX(NV_DONG,MATCH(B52,NV_MA,0)),""))</f>
        <v/>
      </c>
      <c r="K52" s="29" t="str">
        <f aca="false">IF(B52="","",IFERROR(INDEX(NV_PC,MATCH(B52,NV_MA,0)),""))</f>
        <v/>
      </c>
      <c r="L52" s="18" t="str">
        <f aca="false">IF(B52="","",IFERROR(INDEX(NV_NHOMCC,MATCH(B52,NV_MA,0)),""))</f>
        <v/>
      </c>
      <c r="M52" s="25" t="str">
        <f aca="false">IF(B52="","",IFERROR(INDEX(BCC_CONG,MATCH(B52,BCC_MA,0)),0))</f>
        <v/>
      </c>
      <c r="N52" s="18" t="str">
        <f aca="false">IF(B52="","",IFERROR(INDEX(BCC_PHEP,MATCH(B52,BCC_MA,0)),0))</f>
        <v/>
      </c>
      <c r="O52" s="18" t="str">
        <f aca="false">IF(B52="","",IFERROR(INDEX(BCC_LE,MATCH(B52,BCC_MA,0)),0))</f>
        <v/>
      </c>
      <c r="P52" s="18" t="str">
        <f aca="false">IF(B52="","",IFERROR(INDEX(BCC_LEDL,MATCH(B52,BCC_MA,0)),0))</f>
        <v/>
      </c>
      <c r="Q52" s="18" t="str">
        <f aca="false">IF(B52="","",IFERROR(INDEX(BCC_CD,MATCH(B52,BCC_MA,0)),0))</f>
        <v/>
      </c>
      <c r="R52" s="29" t="str">
        <f aca="false">IF(B52="","",IF(E52="Khoán tháng",G52,IF(E52="Thử việc",IF(N(H52)&gt;0,H52,G52*TL_THUVIEC),G52)/F52*M52))</f>
        <v/>
      </c>
      <c r="S52" s="29" t="str">
        <f aca="false">IF(B52="","",IF(E52="Khoán tháng",0,I52/NGAY_CHIA*N52))</f>
        <v/>
      </c>
      <c r="T52" s="29" t="str">
        <f aca="false">IF(B52="","",IF(E52="Khoán tháng",0,I52/NGAY_CHIA*O52))</f>
        <v/>
      </c>
      <c r="U52" s="29" t="str">
        <f aca="false">IF(B52="","",IF(E52="Khoán tháng",0,G52/F52/GIO_CONG*P52*HS_LE))</f>
        <v/>
      </c>
      <c r="V52" s="29" t="str">
        <f aca="false">IF(B52="","",IF(E52="Khoán tháng",0,I52/NGAY_CHIA*Q52))</f>
        <v/>
      </c>
      <c r="W52" s="29" t="str">
        <f aca="false">IF(B52="","",IF(L52="Chung",IF(M52&gt;=CC_NGUONG,CC_TIEN,0),IF(L52="Cơ điện",IF(M52&gt;CD_N2,CD_T2,IF(M52&gt;CD_N1,CD_T1,0)),0))+SUMIFS(DC_TIEN,DC_MA,$B52,DC_LOAI,"Chuyên cần",DC_AP,"Có"))</f>
        <v/>
      </c>
      <c r="X52" s="29" t="str">
        <f aca="false">IF(B52="","",N(K52))</f>
        <v/>
      </c>
      <c r="Y52" s="29" t="str">
        <f aca="false">IF(B52="","",SUMIFS(DC_TIEN,DC_MA,$B52,DC_LOAI,"Truy lĩnh",DC_AP,"Có")+SUMIFS(DC_TIEN,DC_MA,$B52,DC_LOAI,"Cộng khác",DC_AP,"Có"))</f>
        <v/>
      </c>
      <c r="Z52" s="30" t="str">
        <f aca="false">IF(B52="","",SUM(R52:Y52))</f>
        <v/>
      </c>
      <c r="AA52" s="29" t="str">
        <f aca="false">IF(B52="","",IF(J52="Có",I52*BHXH_NLD,0))</f>
        <v/>
      </c>
      <c r="AB52" s="29" t="str">
        <f aca="false">IF(B52="","",SUMIFS(DC_TIEN,DC_MA,$B52,DC_LOAI,"Tạm ứng",DC_AP,"Có"))</f>
        <v/>
      </c>
      <c r="AC52" s="29" t="str">
        <f aca="false">IF(B52="","",SUMIFS(DC_TIEN,DC_MA,$B52,DC_LOAI,"Trừ khác",DC_AP,"Có"))</f>
        <v/>
      </c>
      <c r="AD52" s="29" t="str">
        <f aca="false">IF(B52="","",SUMIFS(DC_TIEN,DC_MA,$B52,DC_LOAI,"KPI trừ",DC_AP,"Có"))</f>
        <v/>
      </c>
      <c r="AE52" s="29" t="str">
        <f aca="false">IF(B52="","",SUM(AA52:AD52))</f>
        <v/>
      </c>
      <c r="AF52" s="30" t="str">
        <f aca="false">IF(B52="","",ROUNDDOWN(Z52-AE52,-3))</f>
        <v/>
      </c>
      <c r="AG52" s="20"/>
    </row>
    <row r="53" customFormat="false" ht="15" hidden="false" customHeight="false" outlineLevel="0" collapsed="false">
      <c r="A53" s="18" t="str">
        <f aca="false">IF(B53="","",ROW()-5)</f>
        <v/>
      </c>
      <c r="B53" s="28" t="str">
        <f aca="false">IF(BCC!B53="","",BCC!B53)</f>
        <v/>
      </c>
      <c r="C53" s="18" t="str">
        <f aca="false">IF(B53="","",IFERROR(INDEX(NV_TEN,MATCH(B53,NV_MA,0)),"MÃ KHÔNG CÓ"))</f>
        <v/>
      </c>
      <c r="D53" s="18" t="str">
        <f aca="false">IF(B53="","",IFERROR(INDEX(NV_PN,MATCH(B53,NV_MA,0)),""))</f>
        <v/>
      </c>
      <c r="E53" s="18" t="str">
        <f aca="false">IF(B53="","",IFERROR(INDEX(NV_HT,MATCH(B53,NV_MA,0)),""))</f>
        <v/>
      </c>
      <c r="F53" s="18" t="str">
        <f aca="false">IF(B53="","",IFERROR(INDEX(NV_CC,MATCH(B53,NV_MA,0)),""))</f>
        <v/>
      </c>
      <c r="G53" s="29" t="str">
        <f aca="false">IF(B53="","",IFERROR(INDEX(NV_CB,MATCH(B53,NV_MA,0)),""))</f>
        <v/>
      </c>
      <c r="H53" s="29" t="str">
        <f aca="false">IF(B53="","",IFERROR(INDEX(NV_TV,MATCH(B53,NV_MA,0)),""))</f>
        <v/>
      </c>
      <c r="I53" s="29" t="str">
        <f aca="false">IF(B53="","",IFERROR(INDEX(NV_BHXH,MATCH(B53,NV_MA,0)),""))</f>
        <v/>
      </c>
      <c r="J53" s="29" t="str">
        <f aca="false">IF(B53="","",IFERROR(INDEX(NV_DONG,MATCH(B53,NV_MA,0)),""))</f>
        <v/>
      </c>
      <c r="K53" s="29" t="str">
        <f aca="false">IF(B53="","",IFERROR(INDEX(NV_PC,MATCH(B53,NV_MA,0)),""))</f>
        <v/>
      </c>
      <c r="L53" s="18" t="str">
        <f aca="false">IF(B53="","",IFERROR(INDEX(NV_NHOMCC,MATCH(B53,NV_MA,0)),""))</f>
        <v/>
      </c>
      <c r="M53" s="25" t="str">
        <f aca="false">IF(B53="","",IFERROR(INDEX(BCC_CONG,MATCH(B53,BCC_MA,0)),0))</f>
        <v/>
      </c>
      <c r="N53" s="18" t="str">
        <f aca="false">IF(B53="","",IFERROR(INDEX(BCC_PHEP,MATCH(B53,BCC_MA,0)),0))</f>
        <v/>
      </c>
      <c r="O53" s="18" t="str">
        <f aca="false">IF(B53="","",IFERROR(INDEX(BCC_LE,MATCH(B53,BCC_MA,0)),0))</f>
        <v/>
      </c>
      <c r="P53" s="18" t="str">
        <f aca="false">IF(B53="","",IFERROR(INDEX(BCC_LEDL,MATCH(B53,BCC_MA,0)),0))</f>
        <v/>
      </c>
      <c r="Q53" s="18" t="str">
        <f aca="false">IF(B53="","",IFERROR(INDEX(BCC_CD,MATCH(B53,BCC_MA,0)),0))</f>
        <v/>
      </c>
      <c r="R53" s="29" t="str">
        <f aca="false">IF(B53="","",IF(E53="Khoán tháng",G53,IF(E53="Thử việc",IF(N(H53)&gt;0,H53,G53*TL_THUVIEC),G53)/F53*M53))</f>
        <v/>
      </c>
      <c r="S53" s="29" t="str">
        <f aca="false">IF(B53="","",IF(E53="Khoán tháng",0,I53/NGAY_CHIA*N53))</f>
        <v/>
      </c>
      <c r="T53" s="29" t="str">
        <f aca="false">IF(B53="","",IF(E53="Khoán tháng",0,I53/NGAY_CHIA*O53))</f>
        <v/>
      </c>
      <c r="U53" s="29" t="str">
        <f aca="false">IF(B53="","",IF(E53="Khoán tháng",0,G53/F53/GIO_CONG*P53*HS_LE))</f>
        <v/>
      </c>
      <c r="V53" s="29" t="str">
        <f aca="false">IF(B53="","",IF(E53="Khoán tháng",0,I53/NGAY_CHIA*Q53))</f>
        <v/>
      </c>
      <c r="W53" s="29" t="str">
        <f aca="false">IF(B53="","",IF(L53="Chung",IF(M53&gt;=CC_NGUONG,CC_TIEN,0),IF(L53="Cơ điện",IF(M53&gt;CD_N2,CD_T2,IF(M53&gt;CD_N1,CD_T1,0)),0))+SUMIFS(DC_TIEN,DC_MA,$B53,DC_LOAI,"Chuyên cần",DC_AP,"Có"))</f>
        <v/>
      </c>
      <c r="X53" s="29" t="str">
        <f aca="false">IF(B53="","",N(K53))</f>
        <v/>
      </c>
      <c r="Y53" s="29" t="str">
        <f aca="false">IF(B53="","",SUMIFS(DC_TIEN,DC_MA,$B53,DC_LOAI,"Truy lĩnh",DC_AP,"Có")+SUMIFS(DC_TIEN,DC_MA,$B53,DC_LOAI,"Cộng khác",DC_AP,"Có"))</f>
        <v/>
      </c>
      <c r="Z53" s="30" t="str">
        <f aca="false">IF(B53="","",SUM(R53:Y53))</f>
        <v/>
      </c>
      <c r="AA53" s="29" t="str">
        <f aca="false">IF(B53="","",IF(J53="Có",I53*BHXH_NLD,0))</f>
        <v/>
      </c>
      <c r="AB53" s="29" t="str">
        <f aca="false">IF(B53="","",SUMIFS(DC_TIEN,DC_MA,$B53,DC_LOAI,"Tạm ứng",DC_AP,"Có"))</f>
        <v/>
      </c>
      <c r="AC53" s="29" t="str">
        <f aca="false">IF(B53="","",SUMIFS(DC_TIEN,DC_MA,$B53,DC_LOAI,"Trừ khác",DC_AP,"Có"))</f>
        <v/>
      </c>
      <c r="AD53" s="29" t="str">
        <f aca="false">IF(B53="","",SUMIFS(DC_TIEN,DC_MA,$B53,DC_LOAI,"KPI trừ",DC_AP,"Có"))</f>
        <v/>
      </c>
      <c r="AE53" s="29" t="str">
        <f aca="false">IF(B53="","",SUM(AA53:AD53))</f>
        <v/>
      </c>
      <c r="AF53" s="30" t="str">
        <f aca="false">IF(B53="","",ROUNDDOWN(Z53-AE53,-3))</f>
        <v/>
      </c>
      <c r="AG53" s="20"/>
    </row>
    <row r="54" customFormat="false" ht="15" hidden="false" customHeight="false" outlineLevel="0" collapsed="false">
      <c r="A54" s="18" t="str">
        <f aca="false">IF(B54="","",ROW()-5)</f>
        <v/>
      </c>
      <c r="B54" s="28" t="str">
        <f aca="false">IF(BCC!B54="","",BCC!B54)</f>
        <v/>
      </c>
      <c r="C54" s="18" t="str">
        <f aca="false">IF(B54="","",IFERROR(INDEX(NV_TEN,MATCH(B54,NV_MA,0)),"MÃ KHÔNG CÓ"))</f>
        <v/>
      </c>
      <c r="D54" s="18" t="str">
        <f aca="false">IF(B54="","",IFERROR(INDEX(NV_PN,MATCH(B54,NV_MA,0)),""))</f>
        <v/>
      </c>
      <c r="E54" s="18" t="str">
        <f aca="false">IF(B54="","",IFERROR(INDEX(NV_HT,MATCH(B54,NV_MA,0)),""))</f>
        <v/>
      </c>
      <c r="F54" s="18" t="str">
        <f aca="false">IF(B54="","",IFERROR(INDEX(NV_CC,MATCH(B54,NV_MA,0)),""))</f>
        <v/>
      </c>
      <c r="G54" s="29" t="str">
        <f aca="false">IF(B54="","",IFERROR(INDEX(NV_CB,MATCH(B54,NV_MA,0)),""))</f>
        <v/>
      </c>
      <c r="H54" s="29" t="str">
        <f aca="false">IF(B54="","",IFERROR(INDEX(NV_TV,MATCH(B54,NV_MA,0)),""))</f>
        <v/>
      </c>
      <c r="I54" s="29" t="str">
        <f aca="false">IF(B54="","",IFERROR(INDEX(NV_BHXH,MATCH(B54,NV_MA,0)),""))</f>
        <v/>
      </c>
      <c r="J54" s="29" t="str">
        <f aca="false">IF(B54="","",IFERROR(INDEX(NV_DONG,MATCH(B54,NV_MA,0)),""))</f>
        <v/>
      </c>
      <c r="K54" s="29" t="str">
        <f aca="false">IF(B54="","",IFERROR(INDEX(NV_PC,MATCH(B54,NV_MA,0)),""))</f>
        <v/>
      </c>
      <c r="L54" s="18" t="str">
        <f aca="false">IF(B54="","",IFERROR(INDEX(NV_NHOMCC,MATCH(B54,NV_MA,0)),""))</f>
        <v/>
      </c>
      <c r="M54" s="25" t="str">
        <f aca="false">IF(B54="","",IFERROR(INDEX(BCC_CONG,MATCH(B54,BCC_MA,0)),0))</f>
        <v/>
      </c>
      <c r="N54" s="18" t="str">
        <f aca="false">IF(B54="","",IFERROR(INDEX(BCC_PHEP,MATCH(B54,BCC_MA,0)),0))</f>
        <v/>
      </c>
      <c r="O54" s="18" t="str">
        <f aca="false">IF(B54="","",IFERROR(INDEX(BCC_LE,MATCH(B54,BCC_MA,0)),0))</f>
        <v/>
      </c>
      <c r="P54" s="18" t="str">
        <f aca="false">IF(B54="","",IFERROR(INDEX(BCC_LEDL,MATCH(B54,BCC_MA,0)),0))</f>
        <v/>
      </c>
      <c r="Q54" s="18" t="str">
        <f aca="false">IF(B54="","",IFERROR(INDEX(BCC_CD,MATCH(B54,BCC_MA,0)),0))</f>
        <v/>
      </c>
      <c r="R54" s="29" t="str">
        <f aca="false">IF(B54="","",IF(E54="Khoán tháng",G54,IF(E54="Thử việc",IF(N(H54)&gt;0,H54,G54*TL_THUVIEC),G54)/F54*M54))</f>
        <v/>
      </c>
      <c r="S54" s="29" t="str">
        <f aca="false">IF(B54="","",IF(E54="Khoán tháng",0,I54/NGAY_CHIA*N54))</f>
        <v/>
      </c>
      <c r="T54" s="29" t="str">
        <f aca="false">IF(B54="","",IF(E54="Khoán tháng",0,I54/NGAY_CHIA*O54))</f>
        <v/>
      </c>
      <c r="U54" s="29" t="str">
        <f aca="false">IF(B54="","",IF(E54="Khoán tháng",0,G54/F54/GIO_CONG*P54*HS_LE))</f>
        <v/>
      </c>
      <c r="V54" s="29" t="str">
        <f aca="false">IF(B54="","",IF(E54="Khoán tháng",0,I54/NGAY_CHIA*Q54))</f>
        <v/>
      </c>
      <c r="W54" s="29" t="str">
        <f aca="false">IF(B54="","",IF(L54="Chung",IF(M54&gt;=CC_NGUONG,CC_TIEN,0),IF(L54="Cơ điện",IF(M54&gt;CD_N2,CD_T2,IF(M54&gt;CD_N1,CD_T1,0)),0))+SUMIFS(DC_TIEN,DC_MA,$B54,DC_LOAI,"Chuyên cần",DC_AP,"Có"))</f>
        <v/>
      </c>
      <c r="X54" s="29" t="str">
        <f aca="false">IF(B54="","",N(K54))</f>
        <v/>
      </c>
      <c r="Y54" s="29" t="str">
        <f aca="false">IF(B54="","",SUMIFS(DC_TIEN,DC_MA,$B54,DC_LOAI,"Truy lĩnh",DC_AP,"Có")+SUMIFS(DC_TIEN,DC_MA,$B54,DC_LOAI,"Cộng khác",DC_AP,"Có"))</f>
        <v/>
      </c>
      <c r="Z54" s="30" t="str">
        <f aca="false">IF(B54="","",SUM(R54:Y54))</f>
        <v/>
      </c>
      <c r="AA54" s="29" t="str">
        <f aca="false">IF(B54="","",IF(J54="Có",I54*BHXH_NLD,0))</f>
        <v/>
      </c>
      <c r="AB54" s="29" t="str">
        <f aca="false">IF(B54="","",SUMIFS(DC_TIEN,DC_MA,$B54,DC_LOAI,"Tạm ứng",DC_AP,"Có"))</f>
        <v/>
      </c>
      <c r="AC54" s="29" t="str">
        <f aca="false">IF(B54="","",SUMIFS(DC_TIEN,DC_MA,$B54,DC_LOAI,"Trừ khác",DC_AP,"Có"))</f>
        <v/>
      </c>
      <c r="AD54" s="29" t="str">
        <f aca="false">IF(B54="","",SUMIFS(DC_TIEN,DC_MA,$B54,DC_LOAI,"KPI trừ",DC_AP,"Có"))</f>
        <v/>
      </c>
      <c r="AE54" s="29" t="str">
        <f aca="false">IF(B54="","",SUM(AA54:AD54))</f>
        <v/>
      </c>
      <c r="AF54" s="30" t="str">
        <f aca="false">IF(B54="","",ROUNDDOWN(Z54-AE54,-3))</f>
        <v/>
      </c>
      <c r="AG54" s="20"/>
    </row>
    <row r="55" customFormat="false" ht="15" hidden="false" customHeight="false" outlineLevel="0" collapsed="false">
      <c r="A55" s="18" t="str">
        <f aca="false">IF(B55="","",ROW()-5)</f>
        <v/>
      </c>
      <c r="B55" s="28" t="str">
        <f aca="false">IF(BCC!B55="","",BCC!B55)</f>
        <v/>
      </c>
      <c r="C55" s="18" t="str">
        <f aca="false">IF(B55="","",IFERROR(INDEX(NV_TEN,MATCH(B55,NV_MA,0)),"MÃ KHÔNG CÓ"))</f>
        <v/>
      </c>
      <c r="D55" s="18" t="str">
        <f aca="false">IF(B55="","",IFERROR(INDEX(NV_PN,MATCH(B55,NV_MA,0)),""))</f>
        <v/>
      </c>
      <c r="E55" s="18" t="str">
        <f aca="false">IF(B55="","",IFERROR(INDEX(NV_HT,MATCH(B55,NV_MA,0)),""))</f>
        <v/>
      </c>
      <c r="F55" s="18" t="str">
        <f aca="false">IF(B55="","",IFERROR(INDEX(NV_CC,MATCH(B55,NV_MA,0)),""))</f>
        <v/>
      </c>
      <c r="G55" s="29" t="str">
        <f aca="false">IF(B55="","",IFERROR(INDEX(NV_CB,MATCH(B55,NV_MA,0)),""))</f>
        <v/>
      </c>
      <c r="H55" s="29" t="str">
        <f aca="false">IF(B55="","",IFERROR(INDEX(NV_TV,MATCH(B55,NV_MA,0)),""))</f>
        <v/>
      </c>
      <c r="I55" s="29" t="str">
        <f aca="false">IF(B55="","",IFERROR(INDEX(NV_BHXH,MATCH(B55,NV_MA,0)),""))</f>
        <v/>
      </c>
      <c r="J55" s="29" t="str">
        <f aca="false">IF(B55="","",IFERROR(INDEX(NV_DONG,MATCH(B55,NV_MA,0)),""))</f>
        <v/>
      </c>
      <c r="K55" s="29" t="str">
        <f aca="false">IF(B55="","",IFERROR(INDEX(NV_PC,MATCH(B55,NV_MA,0)),""))</f>
        <v/>
      </c>
      <c r="L55" s="18" t="str">
        <f aca="false">IF(B55="","",IFERROR(INDEX(NV_NHOMCC,MATCH(B55,NV_MA,0)),""))</f>
        <v/>
      </c>
      <c r="M55" s="25" t="str">
        <f aca="false">IF(B55="","",IFERROR(INDEX(BCC_CONG,MATCH(B55,BCC_MA,0)),0))</f>
        <v/>
      </c>
      <c r="N55" s="18" t="str">
        <f aca="false">IF(B55="","",IFERROR(INDEX(BCC_PHEP,MATCH(B55,BCC_MA,0)),0))</f>
        <v/>
      </c>
      <c r="O55" s="18" t="str">
        <f aca="false">IF(B55="","",IFERROR(INDEX(BCC_LE,MATCH(B55,BCC_MA,0)),0))</f>
        <v/>
      </c>
      <c r="P55" s="18" t="str">
        <f aca="false">IF(B55="","",IFERROR(INDEX(BCC_LEDL,MATCH(B55,BCC_MA,0)),0))</f>
        <v/>
      </c>
      <c r="Q55" s="18" t="str">
        <f aca="false">IF(B55="","",IFERROR(INDEX(BCC_CD,MATCH(B55,BCC_MA,0)),0))</f>
        <v/>
      </c>
      <c r="R55" s="29" t="str">
        <f aca="false">IF(B55="","",IF(E55="Khoán tháng",G55,IF(E55="Thử việc",IF(N(H55)&gt;0,H55,G55*TL_THUVIEC),G55)/F55*M55))</f>
        <v/>
      </c>
      <c r="S55" s="29" t="str">
        <f aca="false">IF(B55="","",IF(E55="Khoán tháng",0,I55/NGAY_CHIA*N55))</f>
        <v/>
      </c>
      <c r="T55" s="29" t="str">
        <f aca="false">IF(B55="","",IF(E55="Khoán tháng",0,I55/NGAY_CHIA*O55))</f>
        <v/>
      </c>
      <c r="U55" s="29" t="str">
        <f aca="false">IF(B55="","",IF(E55="Khoán tháng",0,G55/F55/GIO_CONG*P55*HS_LE))</f>
        <v/>
      </c>
      <c r="V55" s="29" t="str">
        <f aca="false">IF(B55="","",IF(E55="Khoán tháng",0,I55/NGAY_CHIA*Q55))</f>
        <v/>
      </c>
      <c r="W55" s="29" t="str">
        <f aca="false">IF(B55="","",IF(L55="Chung",IF(M55&gt;=CC_NGUONG,CC_TIEN,0),IF(L55="Cơ điện",IF(M55&gt;CD_N2,CD_T2,IF(M55&gt;CD_N1,CD_T1,0)),0))+SUMIFS(DC_TIEN,DC_MA,$B55,DC_LOAI,"Chuyên cần",DC_AP,"Có"))</f>
        <v/>
      </c>
      <c r="X55" s="29" t="str">
        <f aca="false">IF(B55="","",N(K55))</f>
        <v/>
      </c>
      <c r="Y55" s="29" t="str">
        <f aca="false">IF(B55="","",SUMIFS(DC_TIEN,DC_MA,$B55,DC_LOAI,"Truy lĩnh",DC_AP,"Có")+SUMIFS(DC_TIEN,DC_MA,$B55,DC_LOAI,"Cộng khác",DC_AP,"Có"))</f>
        <v/>
      </c>
      <c r="Z55" s="30" t="str">
        <f aca="false">IF(B55="","",SUM(R55:Y55))</f>
        <v/>
      </c>
      <c r="AA55" s="29" t="str">
        <f aca="false">IF(B55="","",IF(J55="Có",I55*BHXH_NLD,0))</f>
        <v/>
      </c>
      <c r="AB55" s="29" t="str">
        <f aca="false">IF(B55="","",SUMIFS(DC_TIEN,DC_MA,$B55,DC_LOAI,"Tạm ứng",DC_AP,"Có"))</f>
        <v/>
      </c>
      <c r="AC55" s="29" t="str">
        <f aca="false">IF(B55="","",SUMIFS(DC_TIEN,DC_MA,$B55,DC_LOAI,"Trừ khác",DC_AP,"Có"))</f>
        <v/>
      </c>
      <c r="AD55" s="29" t="str">
        <f aca="false">IF(B55="","",SUMIFS(DC_TIEN,DC_MA,$B55,DC_LOAI,"KPI trừ",DC_AP,"Có"))</f>
        <v/>
      </c>
      <c r="AE55" s="29" t="str">
        <f aca="false">IF(B55="","",SUM(AA55:AD55))</f>
        <v/>
      </c>
      <c r="AF55" s="30" t="str">
        <f aca="false">IF(B55="","",ROUNDDOWN(Z55-AE55,-3))</f>
        <v/>
      </c>
      <c r="AG55" s="20"/>
    </row>
    <row r="56" customFormat="false" ht="15" hidden="false" customHeight="false" outlineLevel="0" collapsed="false">
      <c r="A56" s="18" t="str">
        <f aca="false">IF(B56="","",ROW()-5)</f>
        <v/>
      </c>
      <c r="B56" s="28" t="str">
        <f aca="false">IF(BCC!B56="","",BCC!B56)</f>
        <v/>
      </c>
      <c r="C56" s="18" t="str">
        <f aca="false">IF(B56="","",IFERROR(INDEX(NV_TEN,MATCH(B56,NV_MA,0)),"MÃ KHÔNG CÓ"))</f>
        <v/>
      </c>
      <c r="D56" s="18" t="str">
        <f aca="false">IF(B56="","",IFERROR(INDEX(NV_PN,MATCH(B56,NV_MA,0)),""))</f>
        <v/>
      </c>
      <c r="E56" s="18" t="str">
        <f aca="false">IF(B56="","",IFERROR(INDEX(NV_HT,MATCH(B56,NV_MA,0)),""))</f>
        <v/>
      </c>
      <c r="F56" s="18" t="str">
        <f aca="false">IF(B56="","",IFERROR(INDEX(NV_CC,MATCH(B56,NV_MA,0)),""))</f>
        <v/>
      </c>
      <c r="G56" s="29" t="str">
        <f aca="false">IF(B56="","",IFERROR(INDEX(NV_CB,MATCH(B56,NV_MA,0)),""))</f>
        <v/>
      </c>
      <c r="H56" s="29" t="str">
        <f aca="false">IF(B56="","",IFERROR(INDEX(NV_TV,MATCH(B56,NV_MA,0)),""))</f>
        <v/>
      </c>
      <c r="I56" s="29" t="str">
        <f aca="false">IF(B56="","",IFERROR(INDEX(NV_BHXH,MATCH(B56,NV_MA,0)),""))</f>
        <v/>
      </c>
      <c r="J56" s="29" t="str">
        <f aca="false">IF(B56="","",IFERROR(INDEX(NV_DONG,MATCH(B56,NV_MA,0)),""))</f>
        <v/>
      </c>
      <c r="K56" s="29" t="str">
        <f aca="false">IF(B56="","",IFERROR(INDEX(NV_PC,MATCH(B56,NV_MA,0)),""))</f>
        <v/>
      </c>
      <c r="L56" s="18" t="str">
        <f aca="false">IF(B56="","",IFERROR(INDEX(NV_NHOMCC,MATCH(B56,NV_MA,0)),""))</f>
        <v/>
      </c>
      <c r="M56" s="25" t="str">
        <f aca="false">IF(B56="","",IFERROR(INDEX(BCC_CONG,MATCH(B56,BCC_MA,0)),0))</f>
        <v/>
      </c>
      <c r="N56" s="18" t="str">
        <f aca="false">IF(B56="","",IFERROR(INDEX(BCC_PHEP,MATCH(B56,BCC_MA,0)),0))</f>
        <v/>
      </c>
      <c r="O56" s="18" t="str">
        <f aca="false">IF(B56="","",IFERROR(INDEX(BCC_LE,MATCH(B56,BCC_MA,0)),0))</f>
        <v/>
      </c>
      <c r="P56" s="18" t="str">
        <f aca="false">IF(B56="","",IFERROR(INDEX(BCC_LEDL,MATCH(B56,BCC_MA,0)),0))</f>
        <v/>
      </c>
      <c r="Q56" s="18" t="str">
        <f aca="false">IF(B56="","",IFERROR(INDEX(BCC_CD,MATCH(B56,BCC_MA,0)),0))</f>
        <v/>
      </c>
      <c r="R56" s="29" t="str">
        <f aca="false">IF(B56="","",IF(E56="Khoán tháng",G56,IF(E56="Thử việc",IF(N(H56)&gt;0,H56,G56*TL_THUVIEC),G56)/F56*M56))</f>
        <v/>
      </c>
      <c r="S56" s="29" t="str">
        <f aca="false">IF(B56="","",IF(E56="Khoán tháng",0,I56/NGAY_CHIA*N56))</f>
        <v/>
      </c>
      <c r="T56" s="29" t="str">
        <f aca="false">IF(B56="","",IF(E56="Khoán tháng",0,I56/NGAY_CHIA*O56))</f>
        <v/>
      </c>
      <c r="U56" s="29" t="str">
        <f aca="false">IF(B56="","",IF(E56="Khoán tháng",0,G56/F56/GIO_CONG*P56*HS_LE))</f>
        <v/>
      </c>
      <c r="V56" s="29" t="str">
        <f aca="false">IF(B56="","",IF(E56="Khoán tháng",0,I56/NGAY_CHIA*Q56))</f>
        <v/>
      </c>
      <c r="W56" s="29" t="str">
        <f aca="false">IF(B56="","",IF(L56="Chung",IF(M56&gt;=CC_NGUONG,CC_TIEN,0),IF(L56="Cơ điện",IF(M56&gt;CD_N2,CD_T2,IF(M56&gt;CD_N1,CD_T1,0)),0))+SUMIFS(DC_TIEN,DC_MA,$B56,DC_LOAI,"Chuyên cần",DC_AP,"Có"))</f>
        <v/>
      </c>
      <c r="X56" s="29" t="str">
        <f aca="false">IF(B56="","",N(K56))</f>
        <v/>
      </c>
      <c r="Y56" s="29" t="str">
        <f aca="false">IF(B56="","",SUMIFS(DC_TIEN,DC_MA,$B56,DC_LOAI,"Truy lĩnh",DC_AP,"Có")+SUMIFS(DC_TIEN,DC_MA,$B56,DC_LOAI,"Cộng khác",DC_AP,"Có"))</f>
        <v/>
      </c>
      <c r="Z56" s="30" t="str">
        <f aca="false">IF(B56="","",SUM(R56:Y56))</f>
        <v/>
      </c>
      <c r="AA56" s="29" t="str">
        <f aca="false">IF(B56="","",IF(J56="Có",I56*BHXH_NLD,0))</f>
        <v/>
      </c>
      <c r="AB56" s="29" t="str">
        <f aca="false">IF(B56="","",SUMIFS(DC_TIEN,DC_MA,$B56,DC_LOAI,"Tạm ứng",DC_AP,"Có"))</f>
        <v/>
      </c>
      <c r="AC56" s="29" t="str">
        <f aca="false">IF(B56="","",SUMIFS(DC_TIEN,DC_MA,$B56,DC_LOAI,"Trừ khác",DC_AP,"Có"))</f>
        <v/>
      </c>
      <c r="AD56" s="29" t="str">
        <f aca="false">IF(B56="","",SUMIFS(DC_TIEN,DC_MA,$B56,DC_LOAI,"KPI trừ",DC_AP,"Có"))</f>
        <v/>
      </c>
      <c r="AE56" s="29" t="str">
        <f aca="false">IF(B56="","",SUM(AA56:AD56))</f>
        <v/>
      </c>
      <c r="AF56" s="30" t="str">
        <f aca="false">IF(B56="","",ROUNDDOWN(Z56-AE56,-3))</f>
        <v/>
      </c>
      <c r="AG56" s="20"/>
    </row>
    <row r="57" customFormat="false" ht="15" hidden="false" customHeight="false" outlineLevel="0" collapsed="false">
      <c r="A57" s="18" t="str">
        <f aca="false">IF(B57="","",ROW()-5)</f>
        <v/>
      </c>
      <c r="B57" s="28" t="str">
        <f aca="false">IF(BCC!B57="","",BCC!B57)</f>
        <v/>
      </c>
      <c r="C57" s="18" t="str">
        <f aca="false">IF(B57="","",IFERROR(INDEX(NV_TEN,MATCH(B57,NV_MA,0)),"MÃ KHÔNG CÓ"))</f>
        <v/>
      </c>
      <c r="D57" s="18" t="str">
        <f aca="false">IF(B57="","",IFERROR(INDEX(NV_PN,MATCH(B57,NV_MA,0)),""))</f>
        <v/>
      </c>
      <c r="E57" s="18" t="str">
        <f aca="false">IF(B57="","",IFERROR(INDEX(NV_HT,MATCH(B57,NV_MA,0)),""))</f>
        <v/>
      </c>
      <c r="F57" s="18" t="str">
        <f aca="false">IF(B57="","",IFERROR(INDEX(NV_CC,MATCH(B57,NV_MA,0)),""))</f>
        <v/>
      </c>
      <c r="G57" s="29" t="str">
        <f aca="false">IF(B57="","",IFERROR(INDEX(NV_CB,MATCH(B57,NV_MA,0)),""))</f>
        <v/>
      </c>
      <c r="H57" s="29" t="str">
        <f aca="false">IF(B57="","",IFERROR(INDEX(NV_TV,MATCH(B57,NV_MA,0)),""))</f>
        <v/>
      </c>
      <c r="I57" s="29" t="str">
        <f aca="false">IF(B57="","",IFERROR(INDEX(NV_BHXH,MATCH(B57,NV_MA,0)),""))</f>
        <v/>
      </c>
      <c r="J57" s="29" t="str">
        <f aca="false">IF(B57="","",IFERROR(INDEX(NV_DONG,MATCH(B57,NV_MA,0)),""))</f>
        <v/>
      </c>
      <c r="K57" s="29" t="str">
        <f aca="false">IF(B57="","",IFERROR(INDEX(NV_PC,MATCH(B57,NV_MA,0)),""))</f>
        <v/>
      </c>
      <c r="L57" s="18" t="str">
        <f aca="false">IF(B57="","",IFERROR(INDEX(NV_NHOMCC,MATCH(B57,NV_MA,0)),""))</f>
        <v/>
      </c>
      <c r="M57" s="25" t="str">
        <f aca="false">IF(B57="","",IFERROR(INDEX(BCC_CONG,MATCH(B57,BCC_MA,0)),0))</f>
        <v/>
      </c>
      <c r="N57" s="18" t="str">
        <f aca="false">IF(B57="","",IFERROR(INDEX(BCC_PHEP,MATCH(B57,BCC_MA,0)),0))</f>
        <v/>
      </c>
      <c r="O57" s="18" t="str">
        <f aca="false">IF(B57="","",IFERROR(INDEX(BCC_LE,MATCH(B57,BCC_MA,0)),0))</f>
        <v/>
      </c>
      <c r="P57" s="18" t="str">
        <f aca="false">IF(B57="","",IFERROR(INDEX(BCC_LEDL,MATCH(B57,BCC_MA,0)),0))</f>
        <v/>
      </c>
      <c r="Q57" s="18" t="str">
        <f aca="false">IF(B57="","",IFERROR(INDEX(BCC_CD,MATCH(B57,BCC_MA,0)),0))</f>
        <v/>
      </c>
      <c r="R57" s="29" t="str">
        <f aca="false">IF(B57="","",IF(E57="Khoán tháng",G57,IF(E57="Thử việc",IF(N(H57)&gt;0,H57,G57*TL_THUVIEC),G57)/F57*M57))</f>
        <v/>
      </c>
      <c r="S57" s="29" t="str">
        <f aca="false">IF(B57="","",IF(E57="Khoán tháng",0,I57/NGAY_CHIA*N57))</f>
        <v/>
      </c>
      <c r="T57" s="29" t="str">
        <f aca="false">IF(B57="","",IF(E57="Khoán tháng",0,I57/NGAY_CHIA*O57))</f>
        <v/>
      </c>
      <c r="U57" s="29" t="str">
        <f aca="false">IF(B57="","",IF(E57="Khoán tháng",0,G57/F57/GIO_CONG*P57*HS_LE))</f>
        <v/>
      </c>
      <c r="V57" s="29" t="str">
        <f aca="false">IF(B57="","",IF(E57="Khoán tháng",0,I57/NGAY_CHIA*Q57))</f>
        <v/>
      </c>
      <c r="W57" s="29" t="str">
        <f aca="false">IF(B57="","",IF(L57="Chung",IF(M57&gt;=CC_NGUONG,CC_TIEN,0),IF(L57="Cơ điện",IF(M57&gt;CD_N2,CD_T2,IF(M57&gt;CD_N1,CD_T1,0)),0))+SUMIFS(DC_TIEN,DC_MA,$B57,DC_LOAI,"Chuyên cần",DC_AP,"Có"))</f>
        <v/>
      </c>
      <c r="X57" s="29" t="str">
        <f aca="false">IF(B57="","",N(K57))</f>
        <v/>
      </c>
      <c r="Y57" s="29" t="str">
        <f aca="false">IF(B57="","",SUMIFS(DC_TIEN,DC_MA,$B57,DC_LOAI,"Truy lĩnh",DC_AP,"Có")+SUMIFS(DC_TIEN,DC_MA,$B57,DC_LOAI,"Cộng khác",DC_AP,"Có"))</f>
        <v/>
      </c>
      <c r="Z57" s="30" t="str">
        <f aca="false">IF(B57="","",SUM(R57:Y57))</f>
        <v/>
      </c>
      <c r="AA57" s="29" t="str">
        <f aca="false">IF(B57="","",IF(J57="Có",I57*BHXH_NLD,0))</f>
        <v/>
      </c>
      <c r="AB57" s="29" t="str">
        <f aca="false">IF(B57="","",SUMIFS(DC_TIEN,DC_MA,$B57,DC_LOAI,"Tạm ứng",DC_AP,"Có"))</f>
        <v/>
      </c>
      <c r="AC57" s="29" t="str">
        <f aca="false">IF(B57="","",SUMIFS(DC_TIEN,DC_MA,$B57,DC_LOAI,"Trừ khác",DC_AP,"Có"))</f>
        <v/>
      </c>
      <c r="AD57" s="29" t="str">
        <f aca="false">IF(B57="","",SUMIFS(DC_TIEN,DC_MA,$B57,DC_LOAI,"KPI trừ",DC_AP,"Có"))</f>
        <v/>
      </c>
      <c r="AE57" s="29" t="str">
        <f aca="false">IF(B57="","",SUM(AA57:AD57))</f>
        <v/>
      </c>
      <c r="AF57" s="30" t="str">
        <f aca="false">IF(B57="","",ROUNDDOWN(Z57-AE57,-3))</f>
        <v/>
      </c>
      <c r="AG57" s="20"/>
    </row>
    <row r="58" customFormat="false" ht="15" hidden="false" customHeight="false" outlineLevel="0" collapsed="false">
      <c r="A58" s="18" t="str">
        <f aca="false">IF(B58="","",ROW()-5)</f>
        <v/>
      </c>
      <c r="B58" s="28" t="str">
        <f aca="false">IF(BCC!B58="","",BCC!B58)</f>
        <v/>
      </c>
      <c r="C58" s="18" t="str">
        <f aca="false">IF(B58="","",IFERROR(INDEX(NV_TEN,MATCH(B58,NV_MA,0)),"MÃ KHÔNG CÓ"))</f>
        <v/>
      </c>
      <c r="D58" s="18" t="str">
        <f aca="false">IF(B58="","",IFERROR(INDEX(NV_PN,MATCH(B58,NV_MA,0)),""))</f>
        <v/>
      </c>
      <c r="E58" s="18" t="str">
        <f aca="false">IF(B58="","",IFERROR(INDEX(NV_HT,MATCH(B58,NV_MA,0)),""))</f>
        <v/>
      </c>
      <c r="F58" s="18" t="str">
        <f aca="false">IF(B58="","",IFERROR(INDEX(NV_CC,MATCH(B58,NV_MA,0)),""))</f>
        <v/>
      </c>
      <c r="G58" s="29" t="str">
        <f aca="false">IF(B58="","",IFERROR(INDEX(NV_CB,MATCH(B58,NV_MA,0)),""))</f>
        <v/>
      </c>
      <c r="H58" s="29" t="str">
        <f aca="false">IF(B58="","",IFERROR(INDEX(NV_TV,MATCH(B58,NV_MA,0)),""))</f>
        <v/>
      </c>
      <c r="I58" s="29" t="str">
        <f aca="false">IF(B58="","",IFERROR(INDEX(NV_BHXH,MATCH(B58,NV_MA,0)),""))</f>
        <v/>
      </c>
      <c r="J58" s="29" t="str">
        <f aca="false">IF(B58="","",IFERROR(INDEX(NV_DONG,MATCH(B58,NV_MA,0)),""))</f>
        <v/>
      </c>
      <c r="K58" s="29" t="str">
        <f aca="false">IF(B58="","",IFERROR(INDEX(NV_PC,MATCH(B58,NV_MA,0)),""))</f>
        <v/>
      </c>
      <c r="L58" s="18" t="str">
        <f aca="false">IF(B58="","",IFERROR(INDEX(NV_NHOMCC,MATCH(B58,NV_MA,0)),""))</f>
        <v/>
      </c>
      <c r="M58" s="25" t="str">
        <f aca="false">IF(B58="","",IFERROR(INDEX(BCC_CONG,MATCH(B58,BCC_MA,0)),0))</f>
        <v/>
      </c>
      <c r="N58" s="18" t="str">
        <f aca="false">IF(B58="","",IFERROR(INDEX(BCC_PHEP,MATCH(B58,BCC_MA,0)),0))</f>
        <v/>
      </c>
      <c r="O58" s="18" t="str">
        <f aca="false">IF(B58="","",IFERROR(INDEX(BCC_LE,MATCH(B58,BCC_MA,0)),0))</f>
        <v/>
      </c>
      <c r="P58" s="18" t="str">
        <f aca="false">IF(B58="","",IFERROR(INDEX(BCC_LEDL,MATCH(B58,BCC_MA,0)),0))</f>
        <v/>
      </c>
      <c r="Q58" s="18" t="str">
        <f aca="false">IF(B58="","",IFERROR(INDEX(BCC_CD,MATCH(B58,BCC_MA,0)),0))</f>
        <v/>
      </c>
      <c r="R58" s="29" t="str">
        <f aca="false">IF(B58="","",IF(E58="Khoán tháng",G58,IF(E58="Thử việc",IF(N(H58)&gt;0,H58,G58*TL_THUVIEC),G58)/F58*M58))</f>
        <v/>
      </c>
      <c r="S58" s="29" t="str">
        <f aca="false">IF(B58="","",IF(E58="Khoán tháng",0,I58/NGAY_CHIA*N58))</f>
        <v/>
      </c>
      <c r="T58" s="29" t="str">
        <f aca="false">IF(B58="","",IF(E58="Khoán tháng",0,I58/NGAY_CHIA*O58))</f>
        <v/>
      </c>
      <c r="U58" s="29" t="str">
        <f aca="false">IF(B58="","",IF(E58="Khoán tháng",0,G58/F58/GIO_CONG*P58*HS_LE))</f>
        <v/>
      </c>
      <c r="V58" s="29" t="str">
        <f aca="false">IF(B58="","",IF(E58="Khoán tháng",0,I58/NGAY_CHIA*Q58))</f>
        <v/>
      </c>
      <c r="W58" s="29" t="str">
        <f aca="false">IF(B58="","",IF(L58="Chung",IF(M58&gt;=CC_NGUONG,CC_TIEN,0),IF(L58="Cơ điện",IF(M58&gt;CD_N2,CD_T2,IF(M58&gt;CD_N1,CD_T1,0)),0))+SUMIFS(DC_TIEN,DC_MA,$B58,DC_LOAI,"Chuyên cần",DC_AP,"Có"))</f>
        <v/>
      </c>
      <c r="X58" s="29" t="str">
        <f aca="false">IF(B58="","",N(K58))</f>
        <v/>
      </c>
      <c r="Y58" s="29" t="str">
        <f aca="false">IF(B58="","",SUMIFS(DC_TIEN,DC_MA,$B58,DC_LOAI,"Truy lĩnh",DC_AP,"Có")+SUMIFS(DC_TIEN,DC_MA,$B58,DC_LOAI,"Cộng khác",DC_AP,"Có"))</f>
        <v/>
      </c>
      <c r="Z58" s="30" t="str">
        <f aca="false">IF(B58="","",SUM(R58:Y58))</f>
        <v/>
      </c>
      <c r="AA58" s="29" t="str">
        <f aca="false">IF(B58="","",IF(J58="Có",I58*BHXH_NLD,0))</f>
        <v/>
      </c>
      <c r="AB58" s="29" t="str">
        <f aca="false">IF(B58="","",SUMIFS(DC_TIEN,DC_MA,$B58,DC_LOAI,"Tạm ứng",DC_AP,"Có"))</f>
        <v/>
      </c>
      <c r="AC58" s="29" t="str">
        <f aca="false">IF(B58="","",SUMIFS(DC_TIEN,DC_MA,$B58,DC_LOAI,"Trừ khác",DC_AP,"Có"))</f>
        <v/>
      </c>
      <c r="AD58" s="29" t="str">
        <f aca="false">IF(B58="","",SUMIFS(DC_TIEN,DC_MA,$B58,DC_LOAI,"KPI trừ",DC_AP,"Có"))</f>
        <v/>
      </c>
      <c r="AE58" s="29" t="str">
        <f aca="false">IF(B58="","",SUM(AA58:AD58))</f>
        <v/>
      </c>
      <c r="AF58" s="30" t="str">
        <f aca="false">IF(B58="","",ROUNDDOWN(Z58-AE58,-3))</f>
        <v/>
      </c>
      <c r="AG58" s="20"/>
    </row>
    <row r="59" customFormat="false" ht="15" hidden="false" customHeight="false" outlineLevel="0" collapsed="false">
      <c r="A59" s="18" t="str">
        <f aca="false">IF(B59="","",ROW()-5)</f>
        <v/>
      </c>
      <c r="B59" s="28" t="str">
        <f aca="false">IF(BCC!B59="","",BCC!B59)</f>
        <v/>
      </c>
      <c r="C59" s="18" t="str">
        <f aca="false">IF(B59="","",IFERROR(INDEX(NV_TEN,MATCH(B59,NV_MA,0)),"MÃ KHÔNG CÓ"))</f>
        <v/>
      </c>
      <c r="D59" s="18" t="str">
        <f aca="false">IF(B59="","",IFERROR(INDEX(NV_PN,MATCH(B59,NV_MA,0)),""))</f>
        <v/>
      </c>
      <c r="E59" s="18" t="str">
        <f aca="false">IF(B59="","",IFERROR(INDEX(NV_HT,MATCH(B59,NV_MA,0)),""))</f>
        <v/>
      </c>
      <c r="F59" s="18" t="str">
        <f aca="false">IF(B59="","",IFERROR(INDEX(NV_CC,MATCH(B59,NV_MA,0)),""))</f>
        <v/>
      </c>
      <c r="G59" s="29" t="str">
        <f aca="false">IF(B59="","",IFERROR(INDEX(NV_CB,MATCH(B59,NV_MA,0)),""))</f>
        <v/>
      </c>
      <c r="H59" s="29" t="str">
        <f aca="false">IF(B59="","",IFERROR(INDEX(NV_TV,MATCH(B59,NV_MA,0)),""))</f>
        <v/>
      </c>
      <c r="I59" s="29" t="str">
        <f aca="false">IF(B59="","",IFERROR(INDEX(NV_BHXH,MATCH(B59,NV_MA,0)),""))</f>
        <v/>
      </c>
      <c r="J59" s="29" t="str">
        <f aca="false">IF(B59="","",IFERROR(INDEX(NV_DONG,MATCH(B59,NV_MA,0)),""))</f>
        <v/>
      </c>
      <c r="K59" s="29" t="str">
        <f aca="false">IF(B59="","",IFERROR(INDEX(NV_PC,MATCH(B59,NV_MA,0)),""))</f>
        <v/>
      </c>
      <c r="L59" s="18" t="str">
        <f aca="false">IF(B59="","",IFERROR(INDEX(NV_NHOMCC,MATCH(B59,NV_MA,0)),""))</f>
        <v/>
      </c>
      <c r="M59" s="25" t="str">
        <f aca="false">IF(B59="","",IFERROR(INDEX(BCC_CONG,MATCH(B59,BCC_MA,0)),0))</f>
        <v/>
      </c>
      <c r="N59" s="18" t="str">
        <f aca="false">IF(B59="","",IFERROR(INDEX(BCC_PHEP,MATCH(B59,BCC_MA,0)),0))</f>
        <v/>
      </c>
      <c r="O59" s="18" t="str">
        <f aca="false">IF(B59="","",IFERROR(INDEX(BCC_LE,MATCH(B59,BCC_MA,0)),0))</f>
        <v/>
      </c>
      <c r="P59" s="18" t="str">
        <f aca="false">IF(B59="","",IFERROR(INDEX(BCC_LEDL,MATCH(B59,BCC_MA,0)),0))</f>
        <v/>
      </c>
      <c r="Q59" s="18" t="str">
        <f aca="false">IF(B59="","",IFERROR(INDEX(BCC_CD,MATCH(B59,BCC_MA,0)),0))</f>
        <v/>
      </c>
      <c r="R59" s="29" t="str">
        <f aca="false">IF(B59="","",IF(E59="Khoán tháng",G59,IF(E59="Thử việc",IF(N(H59)&gt;0,H59,G59*TL_THUVIEC),G59)/F59*M59))</f>
        <v/>
      </c>
      <c r="S59" s="29" t="str">
        <f aca="false">IF(B59="","",IF(E59="Khoán tháng",0,I59/NGAY_CHIA*N59))</f>
        <v/>
      </c>
      <c r="T59" s="29" t="str">
        <f aca="false">IF(B59="","",IF(E59="Khoán tháng",0,I59/NGAY_CHIA*O59))</f>
        <v/>
      </c>
      <c r="U59" s="29" t="str">
        <f aca="false">IF(B59="","",IF(E59="Khoán tháng",0,G59/F59/GIO_CONG*P59*HS_LE))</f>
        <v/>
      </c>
      <c r="V59" s="29" t="str">
        <f aca="false">IF(B59="","",IF(E59="Khoán tháng",0,I59/NGAY_CHIA*Q59))</f>
        <v/>
      </c>
      <c r="W59" s="29" t="str">
        <f aca="false">IF(B59="","",IF(L59="Chung",IF(M59&gt;=CC_NGUONG,CC_TIEN,0),IF(L59="Cơ điện",IF(M59&gt;CD_N2,CD_T2,IF(M59&gt;CD_N1,CD_T1,0)),0))+SUMIFS(DC_TIEN,DC_MA,$B59,DC_LOAI,"Chuyên cần",DC_AP,"Có"))</f>
        <v/>
      </c>
      <c r="X59" s="29" t="str">
        <f aca="false">IF(B59="","",N(K59))</f>
        <v/>
      </c>
      <c r="Y59" s="29" t="str">
        <f aca="false">IF(B59="","",SUMIFS(DC_TIEN,DC_MA,$B59,DC_LOAI,"Truy lĩnh",DC_AP,"Có")+SUMIFS(DC_TIEN,DC_MA,$B59,DC_LOAI,"Cộng khác",DC_AP,"Có"))</f>
        <v/>
      </c>
      <c r="Z59" s="30" t="str">
        <f aca="false">IF(B59="","",SUM(R59:Y59))</f>
        <v/>
      </c>
      <c r="AA59" s="29" t="str">
        <f aca="false">IF(B59="","",IF(J59="Có",I59*BHXH_NLD,0))</f>
        <v/>
      </c>
      <c r="AB59" s="29" t="str">
        <f aca="false">IF(B59="","",SUMIFS(DC_TIEN,DC_MA,$B59,DC_LOAI,"Tạm ứng",DC_AP,"Có"))</f>
        <v/>
      </c>
      <c r="AC59" s="29" t="str">
        <f aca="false">IF(B59="","",SUMIFS(DC_TIEN,DC_MA,$B59,DC_LOAI,"Trừ khác",DC_AP,"Có"))</f>
        <v/>
      </c>
      <c r="AD59" s="29" t="str">
        <f aca="false">IF(B59="","",SUMIFS(DC_TIEN,DC_MA,$B59,DC_LOAI,"KPI trừ",DC_AP,"Có"))</f>
        <v/>
      </c>
      <c r="AE59" s="29" t="str">
        <f aca="false">IF(B59="","",SUM(AA59:AD59))</f>
        <v/>
      </c>
      <c r="AF59" s="30" t="str">
        <f aca="false">IF(B59="","",ROUNDDOWN(Z59-AE59,-3))</f>
        <v/>
      </c>
      <c r="AG59" s="20"/>
    </row>
    <row r="60" customFormat="false" ht="15" hidden="false" customHeight="false" outlineLevel="0" collapsed="false">
      <c r="A60" s="18" t="str">
        <f aca="false">IF(B60="","",ROW()-5)</f>
        <v/>
      </c>
      <c r="B60" s="28" t="str">
        <f aca="false">IF(BCC!B60="","",BCC!B60)</f>
        <v/>
      </c>
      <c r="C60" s="18" t="str">
        <f aca="false">IF(B60="","",IFERROR(INDEX(NV_TEN,MATCH(B60,NV_MA,0)),"MÃ KHÔNG CÓ"))</f>
        <v/>
      </c>
      <c r="D60" s="18" t="str">
        <f aca="false">IF(B60="","",IFERROR(INDEX(NV_PN,MATCH(B60,NV_MA,0)),""))</f>
        <v/>
      </c>
      <c r="E60" s="18" t="str">
        <f aca="false">IF(B60="","",IFERROR(INDEX(NV_HT,MATCH(B60,NV_MA,0)),""))</f>
        <v/>
      </c>
      <c r="F60" s="18" t="str">
        <f aca="false">IF(B60="","",IFERROR(INDEX(NV_CC,MATCH(B60,NV_MA,0)),""))</f>
        <v/>
      </c>
      <c r="G60" s="29" t="str">
        <f aca="false">IF(B60="","",IFERROR(INDEX(NV_CB,MATCH(B60,NV_MA,0)),""))</f>
        <v/>
      </c>
      <c r="H60" s="29" t="str">
        <f aca="false">IF(B60="","",IFERROR(INDEX(NV_TV,MATCH(B60,NV_MA,0)),""))</f>
        <v/>
      </c>
      <c r="I60" s="29" t="str">
        <f aca="false">IF(B60="","",IFERROR(INDEX(NV_BHXH,MATCH(B60,NV_MA,0)),""))</f>
        <v/>
      </c>
      <c r="J60" s="29" t="str">
        <f aca="false">IF(B60="","",IFERROR(INDEX(NV_DONG,MATCH(B60,NV_MA,0)),""))</f>
        <v/>
      </c>
      <c r="K60" s="29" t="str">
        <f aca="false">IF(B60="","",IFERROR(INDEX(NV_PC,MATCH(B60,NV_MA,0)),""))</f>
        <v/>
      </c>
      <c r="L60" s="18" t="str">
        <f aca="false">IF(B60="","",IFERROR(INDEX(NV_NHOMCC,MATCH(B60,NV_MA,0)),""))</f>
        <v/>
      </c>
      <c r="M60" s="25" t="str">
        <f aca="false">IF(B60="","",IFERROR(INDEX(BCC_CONG,MATCH(B60,BCC_MA,0)),0))</f>
        <v/>
      </c>
      <c r="N60" s="18" t="str">
        <f aca="false">IF(B60="","",IFERROR(INDEX(BCC_PHEP,MATCH(B60,BCC_MA,0)),0))</f>
        <v/>
      </c>
      <c r="O60" s="18" t="str">
        <f aca="false">IF(B60="","",IFERROR(INDEX(BCC_LE,MATCH(B60,BCC_MA,0)),0))</f>
        <v/>
      </c>
      <c r="P60" s="18" t="str">
        <f aca="false">IF(B60="","",IFERROR(INDEX(BCC_LEDL,MATCH(B60,BCC_MA,0)),0))</f>
        <v/>
      </c>
      <c r="Q60" s="18" t="str">
        <f aca="false">IF(B60="","",IFERROR(INDEX(BCC_CD,MATCH(B60,BCC_MA,0)),0))</f>
        <v/>
      </c>
      <c r="R60" s="29" t="str">
        <f aca="false">IF(B60="","",IF(E60="Khoán tháng",G60,IF(E60="Thử việc",IF(N(H60)&gt;0,H60,G60*TL_THUVIEC),G60)/F60*M60))</f>
        <v/>
      </c>
      <c r="S60" s="29" t="str">
        <f aca="false">IF(B60="","",IF(E60="Khoán tháng",0,I60/NGAY_CHIA*N60))</f>
        <v/>
      </c>
      <c r="T60" s="29" t="str">
        <f aca="false">IF(B60="","",IF(E60="Khoán tháng",0,I60/NGAY_CHIA*O60))</f>
        <v/>
      </c>
      <c r="U60" s="29" t="str">
        <f aca="false">IF(B60="","",IF(E60="Khoán tháng",0,G60/F60/GIO_CONG*P60*HS_LE))</f>
        <v/>
      </c>
      <c r="V60" s="29" t="str">
        <f aca="false">IF(B60="","",IF(E60="Khoán tháng",0,I60/NGAY_CHIA*Q60))</f>
        <v/>
      </c>
      <c r="W60" s="29" t="str">
        <f aca="false">IF(B60="","",IF(L60="Chung",IF(M60&gt;=CC_NGUONG,CC_TIEN,0),IF(L60="Cơ điện",IF(M60&gt;CD_N2,CD_T2,IF(M60&gt;CD_N1,CD_T1,0)),0))+SUMIFS(DC_TIEN,DC_MA,$B60,DC_LOAI,"Chuyên cần",DC_AP,"Có"))</f>
        <v/>
      </c>
      <c r="X60" s="29" t="str">
        <f aca="false">IF(B60="","",N(K60))</f>
        <v/>
      </c>
      <c r="Y60" s="29" t="str">
        <f aca="false">IF(B60="","",SUMIFS(DC_TIEN,DC_MA,$B60,DC_LOAI,"Truy lĩnh",DC_AP,"Có")+SUMIFS(DC_TIEN,DC_MA,$B60,DC_LOAI,"Cộng khác",DC_AP,"Có"))</f>
        <v/>
      </c>
      <c r="Z60" s="30" t="str">
        <f aca="false">IF(B60="","",SUM(R60:Y60))</f>
        <v/>
      </c>
      <c r="AA60" s="29" t="str">
        <f aca="false">IF(B60="","",IF(J60="Có",I60*BHXH_NLD,0))</f>
        <v/>
      </c>
      <c r="AB60" s="29" t="str">
        <f aca="false">IF(B60="","",SUMIFS(DC_TIEN,DC_MA,$B60,DC_LOAI,"Tạm ứng",DC_AP,"Có"))</f>
        <v/>
      </c>
      <c r="AC60" s="29" t="str">
        <f aca="false">IF(B60="","",SUMIFS(DC_TIEN,DC_MA,$B60,DC_LOAI,"Trừ khác",DC_AP,"Có"))</f>
        <v/>
      </c>
      <c r="AD60" s="29" t="str">
        <f aca="false">IF(B60="","",SUMIFS(DC_TIEN,DC_MA,$B60,DC_LOAI,"KPI trừ",DC_AP,"Có"))</f>
        <v/>
      </c>
      <c r="AE60" s="29" t="str">
        <f aca="false">IF(B60="","",SUM(AA60:AD60))</f>
        <v/>
      </c>
      <c r="AF60" s="30" t="str">
        <f aca="false">IF(B60="","",ROUNDDOWN(Z60-AE60,-3))</f>
        <v/>
      </c>
      <c r="AG60" s="20"/>
    </row>
    <row r="61" customFormat="false" ht="15" hidden="false" customHeight="false" outlineLevel="0" collapsed="false">
      <c r="A61" s="18" t="str">
        <f aca="false">IF(B61="","",ROW()-5)</f>
        <v/>
      </c>
      <c r="B61" s="28" t="str">
        <f aca="false">IF(BCC!B61="","",BCC!B61)</f>
        <v/>
      </c>
      <c r="C61" s="18" t="str">
        <f aca="false">IF(B61="","",IFERROR(INDEX(NV_TEN,MATCH(B61,NV_MA,0)),"MÃ KHÔNG CÓ"))</f>
        <v/>
      </c>
      <c r="D61" s="18" t="str">
        <f aca="false">IF(B61="","",IFERROR(INDEX(NV_PN,MATCH(B61,NV_MA,0)),""))</f>
        <v/>
      </c>
      <c r="E61" s="18" t="str">
        <f aca="false">IF(B61="","",IFERROR(INDEX(NV_HT,MATCH(B61,NV_MA,0)),""))</f>
        <v/>
      </c>
      <c r="F61" s="18" t="str">
        <f aca="false">IF(B61="","",IFERROR(INDEX(NV_CC,MATCH(B61,NV_MA,0)),""))</f>
        <v/>
      </c>
      <c r="G61" s="29" t="str">
        <f aca="false">IF(B61="","",IFERROR(INDEX(NV_CB,MATCH(B61,NV_MA,0)),""))</f>
        <v/>
      </c>
      <c r="H61" s="29" t="str">
        <f aca="false">IF(B61="","",IFERROR(INDEX(NV_TV,MATCH(B61,NV_MA,0)),""))</f>
        <v/>
      </c>
      <c r="I61" s="29" t="str">
        <f aca="false">IF(B61="","",IFERROR(INDEX(NV_BHXH,MATCH(B61,NV_MA,0)),""))</f>
        <v/>
      </c>
      <c r="J61" s="29" t="str">
        <f aca="false">IF(B61="","",IFERROR(INDEX(NV_DONG,MATCH(B61,NV_MA,0)),""))</f>
        <v/>
      </c>
      <c r="K61" s="29" t="str">
        <f aca="false">IF(B61="","",IFERROR(INDEX(NV_PC,MATCH(B61,NV_MA,0)),""))</f>
        <v/>
      </c>
      <c r="L61" s="18" t="str">
        <f aca="false">IF(B61="","",IFERROR(INDEX(NV_NHOMCC,MATCH(B61,NV_MA,0)),""))</f>
        <v/>
      </c>
      <c r="M61" s="25" t="str">
        <f aca="false">IF(B61="","",IFERROR(INDEX(BCC_CONG,MATCH(B61,BCC_MA,0)),0))</f>
        <v/>
      </c>
      <c r="N61" s="18" t="str">
        <f aca="false">IF(B61="","",IFERROR(INDEX(BCC_PHEP,MATCH(B61,BCC_MA,0)),0))</f>
        <v/>
      </c>
      <c r="O61" s="18" t="str">
        <f aca="false">IF(B61="","",IFERROR(INDEX(BCC_LE,MATCH(B61,BCC_MA,0)),0))</f>
        <v/>
      </c>
      <c r="P61" s="18" t="str">
        <f aca="false">IF(B61="","",IFERROR(INDEX(BCC_LEDL,MATCH(B61,BCC_MA,0)),0))</f>
        <v/>
      </c>
      <c r="Q61" s="18" t="str">
        <f aca="false">IF(B61="","",IFERROR(INDEX(BCC_CD,MATCH(B61,BCC_MA,0)),0))</f>
        <v/>
      </c>
      <c r="R61" s="29" t="str">
        <f aca="false">IF(B61="","",IF(E61="Khoán tháng",G61,IF(E61="Thử việc",IF(N(H61)&gt;0,H61,G61*TL_THUVIEC),G61)/F61*M61))</f>
        <v/>
      </c>
      <c r="S61" s="29" t="str">
        <f aca="false">IF(B61="","",IF(E61="Khoán tháng",0,I61/NGAY_CHIA*N61))</f>
        <v/>
      </c>
      <c r="T61" s="29" t="str">
        <f aca="false">IF(B61="","",IF(E61="Khoán tháng",0,I61/NGAY_CHIA*O61))</f>
        <v/>
      </c>
      <c r="U61" s="29" t="str">
        <f aca="false">IF(B61="","",IF(E61="Khoán tháng",0,G61/F61/GIO_CONG*P61*HS_LE))</f>
        <v/>
      </c>
      <c r="V61" s="29" t="str">
        <f aca="false">IF(B61="","",IF(E61="Khoán tháng",0,I61/NGAY_CHIA*Q61))</f>
        <v/>
      </c>
      <c r="W61" s="29" t="str">
        <f aca="false">IF(B61="","",IF(L61="Chung",IF(M61&gt;=CC_NGUONG,CC_TIEN,0),IF(L61="Cơ điện",IF(M61&gt;CD_N2,CD_T2,IF(M61&gt;CD_N1,CD_T1,0)),0))+SUMIFS(DC_TIEN,DC_MA,$B61,DC_LOAI,"Chuyên cần",DC_AP,"Có"))</f>
        <v/>
      </c>
      <c r="X61" s="29" t="str">
        <f aca="false">IF(B61="","",N(K61))</f>
        <v/>
      </c>
      <c r="Y61" s="29" t="str">
        <f aca="false">IF(B61="","",SUMIFS(DC_TIEN,DC_MA,$B61,DC_LOAI,"Truy lĩnh",DC_AP,"Có")+SUMIFS(DC_TIEN,DC_MA,$B61,DC_LOAI,"Cộng khác",DC_AP,"Có"))</f>
        <v/>
      </c>
      <c r="Z61" s="30" t="str">
        <f aca="false">IF(B61="","",SUM(R61:Y61))</f>
        <v/>
      </c>
      <c r="AA61" s="29" t="str">
        <f aca="false">IF(B61="","",IF(J61="Có",I61*BHXH_NLD,0))</f>
        <v/>
      </c>
      <c r="AB61" s="29" t="str">
        <f aca="false">IF(B61="","",SUMIFS(DC_TIEN,DC_MA,$B61,DC_LOAI,"Tạm ứng",DC_AP,"Có"))</f>
        <v/>
      </c>
      <c r="AC61" s="29" t="str">
        <f aca="false">IF(B61="","",SUMIFS(DC_TIEN,DC_MA,$B61,DC_LOAI,"Trừ khác",DC_AP,"Có"))</f>
        <v/>
      </c>
      <c r="AD61" s="29" t="str">
        <f aca="false">IF(B61="","",SUMIFS(DC_TIEN,DC_MA,$B61,DC_LOAI,"KPI trừ",DC_AP,"Có"))</f>
        <v/>
      </c>
      <c r="AE61" s="29" t="str">
        <f aca="false">IF(B61="","",SUM(AA61:AD61))</f>
        <v/>
      </c>
      <c r="AF61" s="30" t="str">
        <f aca="false">IF(B61="","",ROUNDDOWN(Z61-AE61,-3))</f>
        <v/>
      </c>
      <c r="AG61" s="20"/>
    </row>
    <row r="62" customFormat="false" ht="15" hidden="false" customHeight="false" outlineLevel="0" collapsed="false">
      <c r="A62" s="18" t="str">
        <f aca="false">IF(B62="","",ROW()-5)</f>
        <v/>
      </c>
      <c r="B62" s="28" t="str">
        <f aca="false">IF(BCC!B62="","",BCC!B62)</f>
        <v/>
      </c>
      <c r="C62" s="18" t="str">
        <f aca="false">IF(B62="","",IFERROR(INDEX(NV_TEN,MATCH(B62,NV_MA,0)),"MÃ KHÔNG CÓ"))</f>
        <v/>
      </c>
      <c r="D62" s="18" t="str">
        <f aca="false">IF(B62="","",IFERROR(INDEX(NV_PN,MATCH(B62,NV_MA,0)),""))</f>
        <v/>
      </c>
      <c r="E62" s="18" t="str">
        <f aca="false">IF(B62="","",IFERROR(INDEX(NV_HT,MATCH(B62,NV_MA,0)),""))</f>
        <v/>
      </c>
      <c r="F62" s="18" t="str">
        <f aca="false">IF(B62="","",IFERROR(INDEX(NV_CC,MATCH(B62,NV_MA,0)),""))</f>
        <v/>
      </c>
      <c r="G62" s="29" t="str">
        <f aca="false">IF(B62="","",IFERROR(INDEX(NV_CB,MATCH(B62,NV_MA,0)),""))</f>
        <v/>
      </c>
      <c r="H62" s="29" t="str">
        <f aca="false">IF(B62="","",IFERROR(INDEX(NV_TV,MATCH(B62,NV_MA,0)),""))</f>
        <v/>
      </c>
      <c r="I62" s="29" t="str">
        <f aca="false">IF(B62="","",IFERROR(INDEX(NV_BHXH,MATCH(B62,NV_MA,0)),""))</f>
        <v/>
      </c>
      <c r="J62" s="29" t="str">
        <f aca="false">IF(B62="","",IFERROR(INDEX(NV_DONG,MATCH(B62,NV_MA,0)),""))</f>
        <v/>
      </c>
      <c r="K62" s="29" t="str">
        <f aca="false">IF(B62="","",IFERROR(INDEX(NV_PC,MATCH(B62,NV_MA,0)),""))</f>
        <v/>
      </c>
      <c r="L62" s="18" t="str">
        <f aca="false">IF(B62="","",IFERROR(INDEX(NV_NHOMCC,MATCH(B62,NV_MA,0)),""))</f>
        <v/>
      </c>
      <c r="M62" s="25" t="str">
        <f aca="false">IF(B62="","",IFERROR(INDEX(BCC_CONG,MATCH(B62,BCC_MA,0)),0))</f>
        <v/>
      </c>
      <c r="N62" s="18" t="str">
        <f aca="false">IF(B62="","",IFERROR(INDEX(BCC_PHEP,MATCH(B62,BCC_MA,0)),0))</f>
        <v/>
      </c>
      <c r="O62" s="18" t="str">
        <f aca="false">IF(B62="","",IFERROR(INDEX(BCC_LE,MATCH(B62,BCC_MA,0)),0))</f>
        <v/>
      </c>
      <c r="P62" s="18" t="str">
        <f aca="false">IF(B62="","",IFERROR(INDEX(BCC_LEDL,MATCH(B62,BCC_MA,0)),0))</f>
        <v/>
      </c>
      <c r="Q62" s="18" t="str">
        <f aca="false">IF(B62="","",IFERROR(INDEX(BCC_CD,MATCH(B62,BCC_MA,0)),0))</f>
        <v/>
      </c>
      <c r="R62" s="29" t="str">
        <f aca="false">IF(B62="","",IF(E62="Khoán tháng",G62,IF(E62="Thử việc",IF(N(H62)&gt;0,H62,G62*TL_THUVIEC),G62)/F62*M62))</f>
        <v/>
      </c>
      <c r="S62" s="29" t="str">
        <f aca="false">IF(B62="","",IF(E62="Khoán tháng",0,I62/NGAY_CHIA*N62))</f>
        <v/>
      </c>
      <c r="T62" s="29" t="str">
        <f aca="false">IF(B62="","",IF(E62="Khoán tháng",0,I62/NGAY_CHIA*O62))</f>
        <v/>
      </c>
      <c r="U62" s="29" t="str">
        <f aca="false">IF(B62="","",IF(E62="Khoán tháng",0,G62/F62/GIO_CONG*P62*HS_LE))</f>
        <v/>
      </c>
      <c r="V62" s="29" t="str">
        <f aca="false">IF(B62="","",IF(E62="Khoán tháng",0,I62/NGAY_CHIA*Q62))</f>
        <v/>
      </c>
      <c r="W62" s="29" t="str">
        <f aca="false">IF(B62="","",IF(L62="Chung",IF(M62&gt;=CC_NGUONG,CC_TIEN,0),IF(L62="Cơ điện",IF(M62&gt;CD_N2,CD_T2,IF(M62&gt;CD_N1,CD_T1,0)),0))+SUMIFS(DC_TIEN,DC_MA,$B62,DC_LOAI,"Chuyên cần",DC_AP,"Có"))</f>
        <v/>
      </c>
      <c r="X62" s="29" t="str">
        <f aca="false">IF(B62="","",N(K62))</f>
        <v/>
      </c>
      <c r="Y62" s="29" t="str">
        <f aca="false">IF(B62="","",SUMIFS(DC_TIEN,DC_MA,$B62,DC_LOAI,"Truy lĩnh",DC_AP,"Có")+SUMIFS(DC_TIEN,DC_MA,$B62,DC_LOAI,"Cộng khác",DC_AP,"Có"))</f>
        <v/>
      </c>
      <c r="Z62" s="30" t="str">
        <f aca="false">IF(B62="","",SUM(R62:Y62))</f>
        <v/>
      </c>
      <c r="AA62" s="29" t="str">
        <f aca="false">IF(B62="","",IF(J62="Có",I62*BHXH_NLD,0))</f>
        <v/>
      </c>
      <c r="AB62" s="29" t="str">
        <f aca="false">IF(B62="","",SUMIFS(DC_TIEN,DC_MA,$B62,DC_LOAI,"Tạm ứng",DC_AP,"Có"))</f>
        <v/>
      </c>
      <c r="AC62" s="29" t="str">
        <f aca="false">IF(B62="","",SUMIFS(DC_TIEN,DC_MA,$B62,DC_LOAI,"Trừ khác",DC_AP,"Có"))</f>
        <v/>
      </c>
      <c r="AD62" s="29" t="str">
        <f aca="false">IF(B62="","",SUMIFS(DC_TIEN,DC_MA,$B62,DC_LOAI,"KPI trừ",DC_AP,"Có"))</f>
        <v/>
      </c>
      <c r="AE62" s="29" t="str">
        <f aca="false">IF(B62="","",SUM(AA62:AD62))</f>
        <v/>
      </c>
      <c r="AF62" s="30" t="str">
        <f aca="false">IF(B62="","",ROUNDDOWN(Z62-AE62,-3))</f>
        <v/>
      </c>
      <c r="AG62" s="20"/>
    </row>
    <row r="63" customFormat="false" ht="15" hidden="false" customHeight="false" outlineLevel="0" collapsed="false">
      <c r="A63" s="18" t="str">
        <f aca="false">IF(B63="","",ROW()-5)</f>
        <v/>
      </c>
      <c r="B63" s="28" t="str">
        <f aca="false">IF(BCC!B63="","",BCC!B63)</f>
        <v/>
      </c>
      <c r="C63" s="18" t="str">
        <f aca="false">IF(B63="","",IFERROR(INDEX(NV_TEN,MATCH(B63,NV_MA,0)),"MÃ KHÔNG CÓ"))</f>
        <v/>
      </c>
      <c r="D63" s="18" t="str">
        <f aca="false">IF(B63="","",IFERROR(INDEX(NV_PN,MATCH(B63,NV_MA,0)),""))</f>
        <v/>
      </c>
      <c r="E63" s="18" t="str">
        <f aca="false">IF(B63="","",IFERROR(INDEX(NV_HT,MATCH(B63,NV_MA,0)),""))</f>
        <v/>
      </c>
      <c r="F63" s="18" t="str">
        <f aca="false">IF(B63="","",IFERROR(INDEX(NV_CC,MATCH(B63,NV_MA,0)),""))</f>
        <v/>
      </c>
      <c r="G63" s="29" t="str">
        <f aca="false">IF(B63="","",IFERROR(INDEX(NV_CB,MATCH(B63,NV_MA,0)),""))</f>
        <v/>
      </c>
      <c r="H63" s="29" t="str">
        <f aca="false">IF(B63="","",IFERROR(INDEX(NV_TV,MATCH(B63,NV_MA,0)),""))</f>
        <v/>
      </c>
      <c r="I63" s="29" t="str">
        <f aca="false">IF(B63="","",IFERROR(INDEX(NV_BHXH,MATCH(B63,NV_MA,0)),""))</f>
        <v/>
      </c>
      <c r="J63" s="29" t="str">
        <f aca="false">IF(B63="","",IFERROR(INDEX(NV_DONG,MATCH(B63,NV_MA,0)),""))</f>
        <v/>
      </c>
      <c r="K63" s="29" t="str">
        <f aca="false">IF(B63="","",IFERROR(INDEX(NV_PC,MATCH(B63,NV_MA,0)),""))</f>
        <v/>
      </c>
      <c r="L63" s="18" t="str">
        <f aca="false">IF(B63="","",IFERROR(INDEX(NV_NHOMCC,MATCH(B63,NV_MA,0)),""))</f>
        <v/>
      </c>
      <c r="M63" s="25" t="str">
        <f aca="false">IF(B63="","",IFERROR(INDEX(BCC_CONG,MATCH(B63,BCC_MA,0)),0))</f>
        <v/>
      </c>
      <c r="N63" s="18" t="str">
        <f aca="false">IF(B63="","",IFERROR(INDEX(BCC_PHEP,MATCH(B63,BCC_MA,0)),0))</f>
        <v/>
      </c>
      <c r="O63" s="18" t="str">
        <f aca="false">IF(B63="","",IFERROR(INDEX(BCC_LE,MATCH(B63,BCC_MA,0)),0))</f>
        <v/>
      </c>
      <c r="P63" s="18" t="str">
        <f aca="false">IF(B63="","",IFERROR(INDEX(BCC_LEDL,MATCH(B63,BCC_MA,0)),0))</f>
        <v/>
      </c>
      <c r="Q63" s="18" t="str">
        <f aca="false">IF(B63="","",IFERROR(INDEX(BCC_CD,MATCH(B63,BCC_MA,0)),0))</f>
        <v/>
      </c>
      <c r="R63" s="29" t="str">
        <f aca="false">IF(B63="","",IF(E63="Khoán tháng",G63,IF(E63="Thử việc",IF(N(H63)&gt;0,H63,G63*TL_THUVIEC),G63)/F63*M63))</f>
        <v/>
      </c>
      <c r="S63" s="29" t="str">
        <f aca="false">IF(B63="","",IF(E63="Khoán tháng",0,I63/NGAY_CHIA*N63))</f>
        <v/>
      </c>
      <c r="T63" s="29" t="str">
        <f aca="false">IF(B63="","",IF(E63="Khoán tháng",0,I63/NGAY_CHIA*O63))</f>
        <v/>
      </c>
      <c r="U63" s="29" t="str">
        <f aca="false">IF(B63="","",IF(E63="Khoán tháng",0,G63/F63/GIO_CONG*P63*HS_LE))</f>
        <v/>
      </c>
      <c r="V63" s="29" t="str">
        <f aca="false">IF(B63="","",IF(E63="Khoán tháng",0,I63/NGAY_CHIA*Q63))</f>
        <v/>
      </c>
      <c r="W63" s="29" t="str">
        <f aca="false">IF(B63="","",IF(L63="Chung",IF(M63&gt;=CC_NGUONG,CC_TIEN,0),IF(L63="Cơ điện",IF(M63&gt;CD_N2,CD_T2,IF(M63&gt;CD_N1,CD_T1,0)),0))+SUMIFS(DC_TIEN,DC_MA,$B63,DC_LOAI,"Chuyên cần",DC_AP,"Có"))</f>
        <v/>
      </c>
      <c r="X63" s="29" t="str">
        <f aca="false">IF(B63="","",N(K63))</f>
        <v/>
      </c>
      <c r="Y63" s="29" t="str">
        <f aca="false">IF(B63="","",SUMIFS(DC_TIEN,DC_MA,$B63,DC_LOAI,"Truy lĩnh",DC_AP,"Có")+SUMIFS(DC_TIEN,DC_MA,$B63,DC_LOAI,"Cộng khác",DC_AP,"Có"))</f>
        <v/>
      </c>
      <c r="Z63" s="30" t="str">
        <f aca="false">IF(B63="","",SUM(R63:Y63))</f>
        <v/>
      </c>
      <c r="AA63" s="29" t="str">
        <f aca="false">IF(B63="","",IF(J63="Có",I63*BHXH_NLD,0))</f>
        <v/>
      </c>
      <c r="AB63" s="29" t="str">
        <f aca="false">IF(B63="","",SUMIFS(DC_TIEN,DC_MA,$B63,DC_LOAI,"Tạm ứng",DC_AP,"Có"))</f>
        <v/>
      </c>
      <c r="AC63" s="29" t="str">
        <f aca="false">IF(B63="","",SUMIFS(DC_TIEN,DC_MA,$B63,DC_LOAI,"Trừ khác",DC_AP,"Có"))</f>
        <v/>
      </c>
      <c r="AD63" s="29" t="str">
        <f aca="false">IF(B63="","",SUMIFS(DC_TIEN,DC_MA,$B63,DC_LOAI,"KPI trừ",DC_AP,"Có"))</f>
        <v/>
      </c>
      <c r="AE63" s="29" t="str">
        <f aca="false">IF(B63="","",SUM(AA63:AD63))</f>
        <v/>
      </c>
      <c r="AF63" s="30" t="str">
        <f aca="false">IF(B63="","",ROUNDDOWN(Z63-AE63,-3))</f>
        <v/>
      </c>
      <c r="AG63" s="20"/>
    </row>
    <row r="64" customFormat="false" ht="15" hidden="false" customHeight="false" outlineLevel="0" collapsed="false">
      <c r="A64" s="18" t="str">
        <f aca="false">IF(B64="","",ROW()-5)</f>
        <v/>
      </c>
      <c r="B64" s="28" t="str">
        <f aca="false">IF(BCC!B64="","",BCC!B64)</f>
        <v/>
      </c>
      <c r="C64" s="18" t="str">
        <f aca="false">IF(B64="","",IFERROR(INDEX(NV_TEN,MATCH(B64,NV_MA,0)),"MÃ KHÔNG CÓ"))</f>
        <v/>
      </c>
      <c r="D64" s="18" t="str">
        <f aca="false">IF(B64="","",IFERROR(INDEX(NV_PN,MATCH(B64,NV_MA,0)),""))</f>
        <v/>
      </c>
      <c r="E64" s="18" t="str">
        <f aca="false">IF(B64="","",IFERROR(INDEX(NV_HT,MATCH(B64,NV_MA,0)),""))</f>
        <v/>
      </c>
      <c r="F64" s="18" t="str">
        <f aca="false">IF(B64="","",IFERROR(INDEX(NV_CC,MATCH(B64,NV_MA,0)),""))</f>
        <v/>
      </c>
      <c r="G64" s="29" t="str">
        <f aca="false">IF(B64="","",IFERROR(INDEX(NV_CB,MATCH(B64,NV_MA,0)),""))</f>
        <v/>
      </c>
      <c r="H64" s="29" t="str">
        <f aca="false">IF(B64="","",IFERROR(INDEX(NV_TV,MATCH(B64,NV_MA,0)),""))</f>
        <v/>
      </c>
      <c r="I64" s="29" t="str">
        <f aca="false">IF(B64="","",IFERROR(INDEX(NV_BHXH,MATCH(B64,NV_MA,0)),""))</f>
        <v/>
      </c>
      <c r="J64" s="29" t="str">
        <f aca="false">IF(B64="","",IFERROR(INDEX(NV_DONG,MATCH(B64,NV_MA,0)),""))</f>
        <v/>
      </c>
      <c r="K64" s="29" t="str">
        <f aca="false">IF(B64="","",IFERROR(INDEX(NV_PC,MATCH(B64,NV_MA,0)),""))</f>
        <v/>
      </c>
      <c r="L64" s="18" t="str">
        <f aca="false">IF(B64="","",IFERROR(INDEX(NV_NHOMCC,MATCH(B64,NV_MA,0)),""))</f>
        <v/>
      </c>
      <c r="M64" s="25" t="str">
        <f aca="false">IF(B64="","",IFERROR(INDEX(BCC_CONG,MATCH(B64,BCC_MA,0)),0))</f>
        <v/>
      </c>
      <c r="N64" s="18" t="str">
        <f aca="false">IF(B64="","",IFERROR(INDEX(BCC_PHEP,MATCH(B64,BCC_MA,0)),0))</f>
        <v/>
      </c>
      <c r="O64" s="18" t="str">
        <f aca="false">IF(B64="","",IFERROR(INDEX(BCC_LE,MATCH(B64,BCC_MA,0)),0))</f>
        <v/>
      </c>
      <c r="P64" s="18" t="str">
        <f aca="false">IF(B64="","",IFERROR(INDEX(BCC_LEDL,MATCH(B64,BCC_MA,0)),0))</f>
        <v/>
      </c>
      <c r="Q64" s="18" t="str">
        <f aca="false">IF(B64="","",IFERROR(INDEX(BCC_CD,MATCH(B64,BCC_MA,0)),0))</f>
        <v/>
      </c>
      <c r="R64" s="29" t="str">
        <f aca="false">IF(B64="","",IF(E64="Khoán tháng",G64,IF(E64="Thử việc",IF(N(H64)&gt;0,H64,G64*TL_THUVIEC),G64)/F64*M64))</f>
        <v/>
      </c>
      <c r="S64" s="29" t="str">
        <f aca="false">IF(B64="","",IF(E64="Khoán tháng",0,I64/NGAY_CHIA*N64))</f>
        <v/>
      </c>
      <c r="T64" s="29" t="str">
        <f aca="false">IF(B64="","",IF(E64="Khoán tháng",0,I64/NGAY_CHIA*O64))</f>
        <v/>
      </c>
      <c r="U64" s="29" t="str">
        <f aca="false">IF(B64="","",IF(E64="Khoán tháng",0,G64/F64/GIO_CONG*P64*HS_LE))</f>
        <v/>
      </c>
      <c r="V64" s="29" t="str">
        <f aca="false">IF(B64="","",IF(E64="Khoán tháng",0,I64/NGAY_CHIA*Q64))</f>
        <v/>
      </c>
      <c r="W64" s="29" t="str">
        <f aca="false">IF(B64="","",IF(L64="Chung",IF(M64&gt;=CC_NGUONG,CC_TIEN,0),IF(L64="Cơ điện",IF(M64&gt;CD_N2,CD_T2,IF(M64&gt;CD_N1,CD_T1,0)),0))+SUMIFS(DC_TIEN,DC_MA,$B64,DC_LOAI,"Chuyên cần",DC_AP,"Có"))</f>
        <v/>
      </c>
      <c r="X64" s="29" t="str">
        <f aca="false">IF(B64="","",N(K64))</f>
        <v/>
      </c>
      <c r="Y64" s="29" t="str">
        <f aca="false">IF(B64="","",SUMIFS(DC_TIEN,DC_MA,$B64,DC_LOAI,"Truy lĩnh",DC_AP,"Có")+SUMIFS(DC_TIEN,DC_MA,$B64,DC_LOAI,"Cộng khác",DC_AP,"Có"))</f>
        <v/>
      </c>
      <c r="Z64" s="30" t="str">
        <f aca="false">IF(B64="","",SUM(R64:Y64))</f>
        <v/>
      </c>
      <c r="AA64" s="29" t="str">
        <f aca="false">IF(B64="","",IF(J64="Có",I64*BHXH_NLD,0))</f>
        <v/>
      </c>
      <c r="AB64" s="29" t="str">
        <f aca="false">IF(B64="","",SUMIFS(DC_TIEN,DC_MA,$B64,DC_LOAI,"Tạm ứng",DC_AP,"Có"))</f>
        <v/>
      </c>
      <c r="AC64" s="29" t="str">
        <f aca="false">IF(B64="","",SUMIFS(DC_TIEN,DC_MA,$B64,DC_LOAI,"Trừ khác",DC_AP,"Có"))</f>
        <v/>
      </c>
      <c r="AD64" s="29" t="str">
        <f aca="false">IF(B64="","",SUMIFS(DC_TIEN,DC_MA,$B64,DC_LOAI,"KPI trừ",DC_AP,"Có"))</f>
        <v/>
      </c>
      <c r="AE64" s="29" t="str">
        <f aca="false">IF(B64="","",SUM(AA64:AD64))</f>
        <v/>
      </c>
      <c r="AF64" s="30" t="str">
        <f aca="false">IF(B64="","",ROUNDDOWN(Z64-AE64,-3))</f>
        <v/>
      </c>
      <c r="AG64" s="20"/>
    </row>
    <row r="65" customFormat="false" ht="15" hidden="false" customHeight="false" outlineLevel="0" collapsed="false">
      <c r="A65" s="18" t="str">
        <f aca="false">IF(B65="","",ROW()-5)</f>
        <v/>
      </c>
      <c r="B65" s="28" t="str">
        <f aca="false">IF(BCC!B65="","",BCC!B65)</f>
        <v/>
      </c>
      <c r="C65" s="18" t="str">
        <f aca="false">IF(B65="","",IFERROR(INDEX(NV_TEN,MATCH(B65,NV_MA,0)),"MÃ KHÔNG CÓ"))</f>
        <v/>
      </c>
      <c r="D65" s="18" t="str">
        <f aca="false">IF(B65="","",IFERROR(INDEX(NV_PN,MATCH(B65,NV_MA,0)),""))</f>
        <v/>
      </c>
      <c r="E65" s="18" t="str">
        <f aca="false">IF(B65="","",IFERROR(INDEX(NV_HT,MATCH(B65,NV_MA,0)),""))</f>
        <v/>
      </c>
      <c r="F65" s="18" t="str">
        <f aca="false">IF(B65="","",IFERROR(INDEX(NV_CC,MATCH(B65,NV_MA,0)),""))</f>
        <v/>
      </c>
      <c r="G65" s="29" t="str">
        <f aca="false">IF(B65="","",IFERROR(INDEX(NV_CB,MATCH(B65,NV_MA,0)),""))</f>
        <v/>
      </c>
      <c r="H65" s="29" t="str">
        <f aca="false">IF(B65="","",IFERROR(INDEX(NV_TV,MATCH(B65,NV_MA,0)),""))</f>
        <v/>
      </c>
      <c r="I65" s="29" t="str">
        <f aca="false">IF(B65="","",IFERROR(INDEX(NV_BHXH,MATCH(B65,NV_MA,0)),""))</f>
        <v/>
      </c>
      <c r="J65" s="29" t="str">
        <f aca="false">IF(B65="","",IFERROR(INDEX(NV_DONG,MATCH(B65,NV_MA,0)),""))</f>
        <v/>
      </c>
      <c r="K65" s="29" t="str">
        <f aca="false">IF(B65="","",IFERROR(INDEX(NV_PC,MATCH(B65,NV_MA,0)),""))</f>
        <v/>
      </c>
      <c r="L65" s="18" t="str">
        <f aca="false">IF(B65="","",IFERROR(INDEX(NV_NHOMCC,MATCH(B65,NV_MA,0)),""))</f>
        <v/>
      </c>
      <c r="M65" s="25" t="str">
        <f aca="false">IF(B65="","",IFERROR(INDEX(BCC_CONG,MATCH(B65,BCC_MA,0)),0))</f>
        <v/>
      </c>
      <c r="N65" s="18" t="str">
        <f aca="false">IF(B65="","",IFERROR(INDEX(BCC_PHEP,MATCH(B65,BCC_MA,0)),0))</f>
        <v/>
      </c>
      <c r="O65" s="18" t="str">
        <f aca="false">IF(B65="","",IFERROR(INDEX(BCC_LE,MATCH(B65,BCC_MA,0)),0))</f>
        <v/>
      </c>
      <c r="P65" s="18" t="str">
        <f aca="false">IF(B65="","",IFERROR(INDEX(BCC_LEDL,MATCH(B65,BCC_MA,0)),0))</f>
        <v/>
      </c>
      <c r="Q65" s="18" t="str">
        <f aca="false">IF(B65="","",IFERROR(INDEX(BCC_CD,MATCH(B65,BCC_MA,0)),0))</f>
        <v/>
      </c>
      <c r="R65" s="29" t="str">
        <f aca="false">IF(B65="","",IF(E65="Khoán tháng",G65,IF(E65="Thử việc",IF(N(H65)&gt;0,H65,G65*TL_THUVIEC),G65)/F65*M65))</f>
        <v/>
      </c>
      <c r="S65" s="29" t="str">
        <f aca="false">IF(B65="","",IF(E65="Khoán tháng",0,I65/NGAY_CHIA*N65))</f>
        <v/>
      </c>
      <c r="T65" s="29" t="str">
        <f aca="false">IF(B65="","",IF(E65="Khoán tháng",0,I65/NGAY_CHIA*O65))</f>
        <v/>
      </c>
      <c r="U65" s="29" t="str">
        <f aca="false">IF(B65="","",IF(E65="Khoán tháng",0,G65/F65/GIO_CONG*P65*HS_LE))</f>
        <v/>
      </c>
      <c r="V65" s="29" t="str">
        <f aca="false">IF(B65="","",IF(E65="Khoán tháng",0,I65/NGAY_CHIA*Q65))</f>
        <v/>
      </c>
      <c r="W65" s="29" t="str">
        <f aca="false">IF(B65="","",IF(L65="Chung",IF(M65&gt;=CC_NGUONG,CC_TIEN,0),IF(L65="Cơ điện",IF(M65&gt;CD_N2,CD_T2,IF(M65&gt;CD_N1,CD_T1,0)),0))+SUMIFS(DC_TIEN,DC_MA,$B65,DC_LOAI,"Chuyên cần",DC_AP,"Có"))</f>
        <v/>
      </c>
      <c r="X65" s="29" t="str">
        <f aca="false">IF(B65="","",N(K65))</f>
        <v/>
      </c>
      <c r="Y65" s="29" t="str">
        <f aca="false">IF(B65="","",SUMIFS(DC_TIEN,DC_MA,$B65,DC_LOAI,"Truy lĩnh",DC_AP,"Có")+SUMIFS(DC_TIEN,DC_MA,$B65,DC_LOAI,"Cộng khác",DC_AP,"Có"))</f>
        <v/>
      </c>
      <c r="Z65" s="30" t="str">
        <f aca="false">IF(B65="","",SUM(R65:Y65))</f>
        <v/>
      </c>
      <c r="AA65" s="29" t="str">
        <f aca="false">IF(B65="","",IF(J65="Có",I65*BHXH_NLD,0))</f>
        <v/>
      </c>
      <c r="AB65" s="29" t="str">
        <f aca="false">IF(B65="","",SUMIFS(DC_TIEN,DC_MA,$B65,DC_LOAI,"Tạm ứng",DC_AP,"Có"))</f>
        <v/>
      </c>
      <c r="AC65" s="29" t="str">
        <f aca="false">IF(B65="","",SUMIFS(DC_TIEN,DC_MA,$B65,DC_LOAI,"Trừ khác",DC_AP,"Có"))</f>
        <v/>
      </c>
      <c r="AD65" s="29" t="str">
        <f aca="false">IF(B65="","",SUMIFS(DC_TIEN,DC_MA,$B65,DC_LOAI,"KPI trừ",DC_AP,"Có"))</f>
        <v/>
      </c>
      <c r="AE65" s="29" t="str">
        <f aca="false">IF(B65="","",SUM(AA65:AD65))</f>
        <v/>
      </c>
      <c r="AF65" s="30" t="str">
        <f aca="false">IF(B65="","",ROUNDDOWN(Z65-AE65,-3))</f>
        <v/>
      </c>
      <c r="AG65" s="20"/>
    </row>
    <row r="66" customFormat="false" ht="15" hidden="false" customHeight="false" outlineLevel="0" collapsed="false">
      <c r="A66" s="18" t="str">
        <f aca="false">IF(B66="","",ROW()-5)</f>
        <v/>
      </c>
      <c r="B66" s="28" t="str">
        <f aca="false">IF(BCC!B66="","",BCC!B66)</f>
        <v/>
      </c>
      <c r="C66" s="18" t="str">
        <f aca="false">IF(B66="","",IFERROR(INDEX(NV_TEN,MATCH(B66,NV_MA,0)),"MÃ KHÔNG CÓ"))</f>
        <v/>
      </c>
      <c r="D66" s="18" t="str">
        <f aca="false">IF(B66="","",IFERROR(INDEX(NV_PN,MATCH(B66,NV_MA,0)),""))</f>
        <v/>
      </c>
      <c r="E66" s="18" t="str">
        <f aca="false">IF(B66="","",IFERROR(INDEX(NV_HT,MATCH(B66,NV_MA,0)),""))</f>
        <v/>
      </c>
      <c r="F66" s="18" t="str">
        <f aca="false">IF(B66="","",IFERROR(INDEX(NV_CC,MATCH(B66,NV_MA,0)),""))</f>
        <v/>
      </c>
      <c r="G66" s="29" t="str">
        <f aca="false">IF(B66="","",IFERROR(INDEX(NV_CB,MATCH(B66,NV_MA,0)),""))</f>
        <v/>
      </c>
      <c r="H66" s="29" t="str">
        <f aca="false">IF(B66="","",IFERROR(INDEX(NV_TV,MATCH(B66,NV_MA,0)),""))</f>
        <v/>
      </c>
      <c r="I66" s="29" t="str">
        <f aca="false">IF(B66="","",IFERROR(INDEX(NV_BHXH,MATCH(B66,NV_MA,0)),""))</f>
        <v/>
      </c>
      <c r="J66" s="29" t="str">
        <f aca="false">IF(B66="","",IFERROR(INDEX(NV_DONG,MATCH(B66,NV_MA,0)),""))</f>
        <v/>
      </c>
      <c r="K66" s="29" t="str">
        <f aca="false">IF(B66="","",IFERROR(INDEX(NV_PC,MATCH(B66,NV_MA,0)),""))</f>
        <v/>
      </c>
      <c r="L66" s="18" t="str">
        <f aca="false">IF(B66="","",IFERROR(INDEX(NV_NHOMCC,MATCH(B66,NV_MA,0)),""))</f>
        <v/>
      </c>
      <c r="M66" s="25" t="str">
        <f aca="false">IF(B66="","",IFERROR(INDEX(BCC_CONG,MATCH(B66,BCC_MA,0)),0))</f>
        <v/>
      </c>
      <c r="N66" s="18" t="str">
        <f aca="false">IF(B66="","",IFERROR(INDEX(BCC_PHEP,MATCH(B66,BCC_MA,0)),0))</f>
        <v/>
      </c>
      <c r="O66" s="18" t="str">
        <f aca="false">IF(B66="","",IFERROR(INDEX(BCC_LE,MATCH(B66,BCC_MA,0)),0))</f>
        <v/>
      </c>
      <c r="P66" s="18" t="str">
        <f aca="false">IF(B66="","",IFERROR(INDEX(BCC_LEDL,MATCH(B66,BCC_MA,0)),0))</f>
        <v/>
      </c>
      <c r="Q66" s="18" t="str">
        <f aca="false">IF(B66="","",IFERROR(INDEX(BCC_CD,MATCH(B66,BCC_MA,0)),0))</f>
        <v/>
      </c>
      <c r="R66" s="29" t="str">
        <f aca="false">IF(B66="","",IF(E66="Khoán tháng",G66,IF(E66="Thử việc",IF(N(H66)&gt;0,H66,G66*TL_THUVIEC),G66)/F66*M66))</f>
        <v/>
      </c>
      <c r="S66" s="29" t="str">
        <f aca="false">IF(B66="","",IF(E66="Khoán tháng",0,I66/NGAY_CHIA*N66))</f>
        <v/>
      </c>
      <c r="T66" s="29" t="str">
        <f aca="false">IF(B66="","",IF(E66="Khoán tháng",0,I66/NGAY_CHIA*O66))</f>
        <v/>
      </c>
      <c r="U66" s="29" t="str">
        <f aca="false">IF(B66="","",IF(E66="Khoán tháng",0,G66/F66/GIO_CONG*P66*HS_LE))</f>
        <v/>
      </c>
      <c r="V66" s="29" t="str">
        <f aca="false">IF(B66="","",IF(E66="Khoán tháng",0,I66/NGAY_CHIA*Q66))</f>
        <v/>
      </c>
      <c r="W66" s="29" t="str">
        <f aca="false">IF(B66="","",IF(L66="Chung",IF(M66&gt;=CC_NGUONG,CC_TIEN,0),IF(L66="Cơ điện",IF(M66&gt;CD_N2,CD_T2,IF(M66&gt;CD_N1,CD_T1,0)),0))+SUMIFS(DC_TIEN,DC_MA,$B66,DC_LOAI,"Chuyên cần",DC_AP,"Có"))</f>
        <v/>
      </c>
      <c r="X66" s="29" t="str">
        <f aca="false">IF(B66="","",N(K66))</f>
        <v/>
      </c>
      <c r="Y66" s="29" t="str">
        <f aca="false">IF(B66="","",SUMIFS(DC_TIEN,DC_MA,$B66,DC_LOAI,"Truy lĩnh",DC_AP,"Có")+SUMIFS(DC_TIEN,DC_MA,$B66,DC_LOAI,"Cộng khác",DC_AP,"Có"))</f>
        <v/>
      </c>
      <c r="Z66" s="30" t="str">
        <f aca="false">IF(B66="","",SUM(R66:Y66))</f>
        <v/>
      </c>
      <c r="AA66" s="29" t="str">
        <f aca="false">IF(B66="","",IF(J66="Có",I66*BHXH_NLD,0))</f>
        <v/>
      </c>
      <c r="AB66" s="29" t="str">
        <f aca="false">IF(B66="","",SUMIFS(DC_TIEN,DC_MA,$B66,DC_LOAI,"Tạm ứng",DC_AP,"Có"))</f>
        <v/>
      </c>
      <c r="AC66" s="29" t="str">
        <f aca="false">IF(B66="","",SUMIFS(DC_TIEN,DC_MA,$B66,DC_LOAI,"Trừ khác",DC_AP,"Có"))</f>
        <v/>
      </c>
      <c r="AD66" s="29" t="str">
        <f aca="false">IF(B66="","",SUMIFS(DC_TIEN,DC_MA,$B66,DC_LOAI,"KPI trừ",DC_AP,"Có"))</f>
        <v/>
      </c>
      <c r="AE66" s="29" t="str">
        <f aca="false">IF(B66="","",SUM(AA66:AD66))</f>
        <v/>
      </c>
      <c r="AF66" s="30" t="str">
        <f aca="false">IF(B66="","",ROUNDDOWN(Z66-AE66,-3))</f>
        <v/>
      </c>
      <c r="AG66" s="20"/>
    </row>
    <row r="67" customFormat="false" ht="15" hidden="false" customHeight="false" outlineLevel="0" collapsed="false">
      <c r="A67" s="18" t="str">
        <f aca="false">IF(B67="","",ROW()-5)</f>
        <v/>
      </c>
      <c r="B67" s="28" t="str">
        <f aca="false">IF(BCC!B67="","",BCC!B67)</f>
        <v/>
      </c>
      <c r="C67" s="18" t="str">
        <f aca="false">IF(B67="","",IFERROR(INDEX(NV_TEN,MATCH(B67,NV_MA,0)),"MÃ KHÔNG CÓ"))</f>
        <v/>
      </c>
      <c r="D67" s="18" t="str">
        <f aca="false">IF(B67="","",IFERROR(INDEX(NV_PN,MATCH(B67,NV_MA,0)),""))</f>
        <v/>
      </c>
      <c r="E67" s="18" t="str">
        <f aca="false">IF(B67="","",IFERROR(INDEX(NV_HT,MATCH(B67,NV_MA,0)),""))</f>
        <v/>
      </c>
      <c r="F67" s="18" t="str">
        <f aca="false">IF(B67="","",IFERROR(INDEX(NV_CC,MATCH(B67,NV_MA,0)),""))</f>
        <v/>
      </c>
      <c r="G67" s="29" t="str">
        <f aca="false">IF(B67="","",IFERROR(INDEX(NV_CB,MATCH(B67,NV_MA,0)),""))</f>
        <v/>
      </c>
      <c r="H67" s="29" t="str">
        <f aca="false">IF(B67="","",IFERROR(INDEX(NV_TV,MATCH(B67,NV_MA,0)),""))</f>
        <v/>
      </c>
      <c r="I67" s="29" t="str">
        <f aca="false">IF(B67="","",IFERROR(INDEX(NV_BHXH,MATCH(B67,NV_MA,0)),""))</f>
        <v/>
      </c>
      <c r="J67" s="29" t="str">
        <f aca="false">IF(B67="","",IFERROR(INDEX(NV_DONG,MATCH(B67,NV_MA,0)),""))</f>
        <v/>
      </c>
      <c r="K67" s="29" t="str">
        <f aca="false">IF(B67="","",IFERROR(INDEX(NV_PC,MATCH(B67,NV_MA,0)),""))</f>
        <v/>
      </c>
      <c r="L67" s="18" t="str">
        <f aca="false">IF(B67="","",IFERROR(INDEX(NV_NHOMCC,MATCH(B67,NV_MA,0)),""))</f>
        <v/>
      </c>
      <c r="M67" s="25" t="str">
        <f aca="false">IF(B67="","",IFERROR(INDEX(BCC_CONG,MATCH(B67,BCC_MA,0)),0))</f>
        <v/>
      </c>
      <c r="N67" s="18" t="str">
        <f aca="false">IF(B67="","",IFERROR(INDEX(BCC_PHEP,MATCH(B67,BCC_MA,0)),0))</f>
        <v/>
      </c>
      <c r="O67" s="18" t="str">
        <f aca="false">IF(B67="","",IFERROR(INDEX(BCC_LE,MATCH(B67,BCC_MA,0)),0))</f>
        <v/>
      </c>
      <c r="P67" s="18" t="str">
        <f aca="false">IF(B67="","",IFERROR(INDEX(BCC_LEDL,MATCH(B67,BCC_MA,0)),0))</f>
        <v/>
      </c>
      <c r="Q67" s="18" t="str">
        <f aca="false">IF(B67="","",IFERROR(INDEX(BCC_CD,MATCH(B67,BCC_MA,0)),0))</f>
        <v/>
      </c>
      <c r="R67" s="29" t="str">
        <f aca="false">IF(B67="","",IF(E67="Khoán tháng",G67,IF(E67="Thử việc",IF(N(H67)&gt;0,H67,G67*TL_THUVIEC),G67)/F67*M67))</f>
        <v/>
      </c>
      <c r="S67" s="29" t="str">
        <f aca="false">IF(B67="","",IF(E67="Khoán tháng",0,I67/NGAY_CHIA*N67))</f>
        <v/>
      </c>
      <c r="T67" s="29" t="str">
        <f aca="false">IF(B67="","",IF(E67="Khoán tháng",0,I67/NGAY_CHIA*O67))</f>
        <v/>
      </c>
      <c r="U67" s="29" t="str">
        <f aca="false">IF(B67="","",IF(E67="Khoán tháng",0,G67/F67/GIO_CONG*P67*HS_LE))</f>
        <v/>
      </c>
      <c r="V67" s="29" t="str">
        <f aca="false">IF(B67="","",IF(E67="Khoán tháng",0,I67/NGAY_CHIA*Q67))</f>
        <v/>
      </c>
      <c r="W67" s="29" t="str">
        <f aca="false">IF(B67="","",IF(L67="Chung",IF(M67&gt;=CC_NGUONG,CC_TIEN,0),IF(L67="Cơ điện",IF(M67&gt;CD_N2,CD_T2,IF(M67&gt;CD_N1,CD_T1,0)),0))+SUMIFS(DC_TIEN,DC_MA,$B67,DC_LOAI,"Chuyên cần",DC_AP,"Có"))</f>
        <v/>
      </c>
      <c r="X67" s="29" t="str">
        <f aca="false">IF(B67="","",N(K67))</f>
        <v/>
      </c>
      <c r="Y67" s="29" t="str">
        <f aca="false">IF(B67="","",SUMIFS(DC_TIEN,DC_MA,$B67,DC_LOAI,"Truy lĩnh",DC_AP,"Có")+SUMIFS(DC_TIEN,DC_MA,$B67,DC_LOAI,"Cộng khác",DC_AP,"Có"))</f>
        <v/>
      </c>
      <c r="Z67" s="30" t="str">
        <f aca="false">IF(B67="","",SUM(R67:Y67))</f>
        <v/>
      </c>
      <c r="AA67" s="29" t="str">
        <f aca="false">IF(B67="","",IF(J67="Có",I67*BHXH_NLD,0))</f>
        <v/>
      </c>
      <c r="AB67" s="29" t="str">
        <f aca="false">IF(B67="","",SUMIFS(DC_TIEN,DC_MA,$B67,DC_LOAI,"Tạm ứng",DC_AP,"Có"))</f>
        <v/>
      </c>
      <c r="AC67" s="29" t="str">
        <f aca="false">IF(B67="","",SUMIFS(DC_TIEN,DC_MA,$B67,DC_LOAI,"Trừ khác",DC_AP,"Có"))</f>
        <v/>
      </c>
      <c r="AD67" s="29" t="str">
        <f aca="false">IF(B67="","",SUMIFS(DC_TIEN,DC_MA,$B67,DC_LOAI,"KPI trừ",DC_AP,"Có"))</f>
        <v/>
      </c>
      <c r="AE67" s="29" t="str">
        <f aca="false">IF(B67="","",SUM(AA67:AD67))</f>
        <v/>
      </c>
      <c r="AF67" s="30" t="str">
        <f aca="false">IF(B67="","",ROUNDDOWN(Z67-AE67,-3))</f>
        <v/>
      </c>
      <c r="AG67" s="20"/>
    </row>
    <row r="68" customFormat="false" ht="15" hidden="false" customHeight="false" outlineLevel="0" collapsed="false">
      <c r="A68" s="18" t="str">
        <f aca="false">IF(B68="","",ROW()-5)</f>
        <v/>
      </c>
      <c r="B68" s="28" t="str">
        <f aca="false">IF(BCC!B68="","",BCC!B68)</f>
        <v/>
      </c>
      <c r="C68" s="18" t="str">
        <f aca="false">IF(B68="","",IFERROR(INDEX(NV_TEN,MATCH(B68,NV_MA,0)),"MÃ KHÔNG CÓ"))</f>
        <v/>
      </c>
      <c r="D68" s="18" t="str">
        <f aca="false">IF(B68="","",IFERROR(INDEX(NV_PN,MATCH(B68,NV_MA,0)),""))</f>
        <v/>
      </c>
      <c r="E68" s="18" t="str">
        <f aca="false">IF(B68="","",IFERROR(INDEX(NV_HT,MATCH(B68,NV_MA,0)),""))</f>
        <v/>
      </c>
      <c r="F68" s="18" t="str">
        <f aca="false">IF(B68="","",IFERROR(INDEX(NV_CC,MATCH(B68,NV_MA,0)),""))</f>
        <v/>
      </c>
      <c r="G68" s="29" t="str">
        <f aca="false">IF(B68="","",IFERROR(INDEX(NV_CB,MATCH(B68,NV_MA,0)),""))</f>
        <v/>
      </c>
      <c r="H68" s="29" t="str">
        <f aca="false">IF(B68="","",IFERROR(INDEX(NV_TV,MATCH(B68,NV_MA,0)),""))</f>
        <v/>
      </c>
      <c r="I68" s="29" t="str">
        <f aca="false">IF(B68="","",IFERROR(INDEX(NV_BHXH,MATCH(B68,NV_MA,0)),""))</f>
        <v/>
      </c>
      <c r="J68" s="29" t="str">
        <f aca="false">IF(B68="","",IFERROR(INDEX(NV_DONG,MATCH(B68,NV_MA,0)),""))</f>
        <v/>
      </c>
      <c r="K68" s="29" t="str">
        <f aca="false">IF(B68="","",IFERROR(INDEX(NV_PC,MATCH(B68,NV_MA,0)),""))</f>
        <v/>
      </c>
      <c r="L68" s="18" t="str">
        <f aca="false">IF(B68="","",IFERROR(INDEX(NV_NHOMCC,MATCH(B68,NV_MA,0)),""))</f>
        <v/>
      </c>
      <c r="M68" s="25" t="str">
        <f aca="false">IF(B68="","",IFERROR(INDEX(BCC_CONG,MATCH(B68,BCC_MA,0)),0))</f>
        <v/>
      </c>
      <c r="N68" s="18" t="str">
        <f aca="false">IF(B68="","",IFERROR(INDEX(BCC_PHEP,MATCH(B68,BCC_MA,0)),0))</f>
        <v/>
      </c>
      <c r="O68" s="18" t="str">
        <f aca="false">IF(B68="","",IFERROR(INDEX(BCC_LE,MATCH(B68,BCC_MA,0)),0))</f>
        <v/>
      </c>
      <c r="P68" s="18" t="str">
        <f aca="false">IF(B68="","",IFERROR(INDEX(BCC_LEDL,MATCH(B68,BCC_MA,0)),0))</f>
        <v/>
      </c>
      <c r="Q68" s="18" t="str">
        <f aca="false">IF(B68="","",IFERROR(INDEX(BCC_CD,MATCH(B68,BCC_MA,0)),0))</f>
        <v/>
      </c>
      <c r="R68" s="29" t="str">
        <f aca="false">IF(B68="","",IF(E68="Khoán tháng",G68,IF(E68="Thử việc",IF(N(H68)&gt;0,H68,G68*TL_THUVIEC),G68)/F68*M68))</f>
        <v/>
      </c>
      <c r="S68" s="29" t="str">
        <f aca="false">IF(B68="","",IF(E68="Khoán tháng",0,I68/NGAY_CHIA*N68))</f>
        <v/>
      </c>
      <c r="T68" s="29" t="str">
        <f aca="false">IF(B68="","",IF(E68="Khoán tháng",0,I68/NGAY_CHIA*O68))</f>
        <v/>
      </c>
      <c r="U68" s="29" t="str">
        <f aca="false">IF(B68="","",IF(E68="Khoán tháng",0,G68/F68/GIO_CONG*P68*HS_LE))</f>
        <v/>
      </c>
      <c r="V68" s="29" t="str">
        <f aca="false">IF(B68="","",IF(E68="Khoán tháng",0,I68/NGAY_CHIA*Q68))</f>
        <v/>
      </c>
      <c r="W68" s="29" t="str">
        <f aca="false">IF(B68="","",IF(L68="Chung",IF(M68&gt;=CC_NGUONG,CC_TIEN,0),IF(L68="Cơ điện",IF(M68&gt;CD_N2,CD_T2,IF(M68&gt;CD_N1,CD_T1,0)),0))+SUMIFS(DC_TIEN,DC_MA,$B68,DC_LOAI,"Chuyên cần",DC_AP,"Có"))</f>
        <v/>
      </c>
      <c r="X68" s="29" t="str">
        <f aca="false">IF(B68="","",N(K68))</f>
        <v/>
      </c>
      <c r="Y68" s="29" t="str">
        <f aca="false">IF(B68="","",SUMIFS(DC_TIEN,DC_MA,$B68,DC_LOAI,"Truy lĩnh",DC_AP,"Có")+SUMIFS(DC_TIEN,DC_MA,$B68,DC_LOAI,"Cộng khác",DC_AP,"Có"))</f>
        <v/>
      </c>
      <c r="Z68" s="30" t="str">
        <f aca="false">IF(B68="","",SUM(R68:Y68))</f>
        <v/>
      </c>
      <c r="AA68" s="29" t="str">
        <f aca="false">IF(B68="","",IF(J68="Có",I68*BHXH_NLD,0))</f>
        <v/>
      </c>
      <c r="AB68" s="29" t="str">
        <f aca="false">IF(B68="","",SUMIFS(DC_TIEN,DC_MA,$B68,DC_LOAI,"Tạm ứng",DC_AP,"Có"))</f>
        <v/>
      </c>
      <c r="AC68" s="29" t="str">
        <f aca="false">IF(B68="","",SUMIFS(DC_TIEN,DC_MA,$B68,DC_LOAI,"Trừ khác",DC_AP,"Có"))</f>
        <v/>
      </c>
      <c r="AD68" s="29" t="str">
        <f aca="false">IF(B68="","",SUMIFS(DC_TIEN,DC_MA,$B68,DC_LOAI,"KPI trừ",DC_AP,"Có"))</f>
        <v/>
      </c>
      <c r="AE68" s="29" t="str">
        <f aca="false">IF(B68="","",SUM(AA68:AD68))</f>
        <v/>
      </c>
      <c r="AF68" s="30" t="str">
        <f aca="false">IF(B68="","",ROUNDDOWN(Z68-AE68,-3))</f>
        <v/>
      </c>
      <c r="AG68" s="20"/>
    </row>
    <row r="69" customFormat="false" ht="15" hidden="false" customHeight="false" outlineLevel="0" collapsed="false">
      <c r="A69" s="18" t="str">
        <f aca="false">IF(B69="","",ROW()-5)</f>
        <v/>
      </c>
      <c r="B69" s="28" t="str">
        <f aca="false">IF(BCC!B69="","",BCC!B69)</f>
        <v/>
      </c>
      <c r="C69" s="18" t="str">
        <f aca="false">IF(B69="","",IFERROR(INDEX(NV_TEN,MATCH(B69,NV_MA,0)),"MÃ KHÔNG CÓ"))</f>
        <v/>
      </c>
      <c r="D69" s="18" t="str">
        <f aca="false">IF(B69="","",IFERROR(INDEX(NV_PN,MATCH(B69,NV_MA,0)),""))</f>
        <v/>
      </c>
      <c r="E69" s="18" t="str">
        <f aca="false">IF(B69="","",IFERROR(INDEX(NV_HT,MATCH(B69,NV_MA,0)),""))</f>
        <v/>
      </c>
      <c r="F69" s="18" t="str">
        <f aca="false">IF(B69="","",IFERROR(INDEX(NV_CC,MATCH(B69,NV_MA,0)),""))</f>
        <v/>
      </c>
      <c r="G69" s="29" t="str">
        <f aca="false">IF(B69="","",IFERROR(INDEX(NV_CB,MATCH(B69,NV_MA,0)),""))</f>
        <v/>
      </c>
      <c r="H69" s="29" t="str">
        <f aca="false">IF(B69="","",IFERROR(INDEX(NV_TV,MATCH(B69,NV_MA,0)),""))</f>
        <v/>
      </c>
      <c r="I69" s="29" t="str">
        <f aca="false">IF(B69="","",IFERROR(INDEX(NV_BHXH,MATCH(B69,NV_MA,0)),""))</f>
        <v/>
      </c>
      <c r="J69" s="29" t="str">
        <f aca="false">IF(B69="","",IFERROR(INDEX(NV_DONG,MATCH(B69,NV_MA,0)),""))</f>
        <v/>
      </c>
      <c r="K69" s="29" t="str">
        <f aca="false">IF(B69="","",IFERROR(INDEX(NV_PC,MATCH(B69,NV_MA,0)),""))</f>
        <v/>
      </c>
      <c r="L69" s="18" t="str">
        <f aca="false">IF(B69="","",IFERROR(INDEX(NV_NHOMCC,MATCH(B69,NV_MA,0)),""))</f>
        <v/>
      </c>
      <c r="M69" s="25" t="str">
        <f aca="false">IF(B69="","",IFERROR(INDEX(BCC_CONG,MATCH(B69,BCC_MA,0)),0))</f>
        <v/>
      </c>
      <c r="N69" s="18" t="str">
        <f aca="false">IF(B69="","",IFERROR(INDEX(BCC_PHEP,MATCH(B69,BCC_MA,0)),0))</f>
        <v/>
      </c>
      <c r="O69" s="18" t="str">
        <f aca="false">IF(B69="","",IFERROR(INDEX(BCC_LE,MATCH(B69,BCC_MA,0)),0))</f>
        <v/>
      </c>
      <c r="P69" s="18" t="str">
        <f aca="false">IF(B69="","",IFERROR(INDEX(BCC_LEDL,MATCH(B69,BCC_MA,0)),0))</f>
        <v/>
      </c>
      <c r="Q69" s="18" t="str">
        <f aca="false">IF(B69="","",IFERROR(INDEX(BCC_CD,MATCH(B69,BCC_MA,0)),0))</f>
        <v/>
      </c>
      <c r="R69" s="29" t="str">
        <f aca="false">IF(B69="","",IF(E69="Khoán tháng",G69,IF(E69="Thử việc",IF(N(H69)&gt;0,H69,G69*TL_THUVIEC),G69)/F69*M69))</f>
        <v/>
      </c>
      <c r="S69" s="29" t="str">
        <f aca="false">IF(B69="","",IF(E69="Khoán tháng",0,I69/NGAY_CHIA*N69))</f>
        <v/>
      </c>
      <c r="T69" s="29" t="str">
        <f aca="false">IF(B69="","",IF(E69="Khoán tháng",0,I69/NGAY_CHIA*O69))</f>
        <v/>
      </c>
      <c r="U69" s="29" t="str">
        <f aca="false">IF(B69="","",IF(E69="Khoán tháng",0,G69/F69/GIO_CONG*P69*HS_LE))</f>
        <v/>
      </c>
      <c r="V69" s="29" t="str">
        <f aca="false">IF(B69="","",IF(E69="Khoán tháng",0,I69/NGAY_CHIA*Q69))</f>
        <v/>
      </c>
      <c r="W69" s="29" t="str">
        <f aca="false">IF(B69="","",IF(L69="Chung",IF(M69&gt;=CC_NGUONG,CC_TIEN,0),IF(L69="Cơ điện",IF(M69&gt;CD_N2,CD_T2,IF(M69&gt;CD_N1,CD_T1,0)),0))+SUMIFS(DC_TIEN,DC_MA,$B69,DC_LOAI,"Chuyên cần",DC_AP,"Có"))</f>
        <v/>
      </c>
      <c r="X69" s="29" t="str">
        <f aca="false">IF(B69="","",N(K69))</f>
        <v/>
      </c>
      <c r="Y69" s="29" t="str">
        <f aca="false">IF(B69="","",SUMIFS(DC_TIEN,DC_MA,$B69,DC_LOAI,"Truy lĩnh",DC_AP,"Có")+SUMIFS(DC_TIEN,DC_MA,$B69,DC_LOAI,"Cộng khác",DC_AP,"Có"))</f>
        <v/>
      </c>
      <c r="Z69" s="30" t="str">
        <f aca="false">IF(B69="","",SUM(R69:Y69))</f>
        <v/>
      </c>
      <c r="AA69" s="29" t="str">
        <f aca="false">IF(B69="","",IF(J69="Có",I69*BHXH_NLD,0))</f>
        <v/>
      </c>
      <c r="AB69" s="29" t="str">
        <f aca="false">IF(B69="","",SUMIFS(DC_TIEN,DC_MA,$B69,DC_LOAI,"Tạm ứng",DC_AP,"Có"))</f>
        <v/>
      </c>
      <c r="AC69" s="29" t="str">
        <f aca="false">IF(B69="","",SUMIFS(DC_TIEN,DC_MA,$B69,DC_LOAI,"Trừ khác",DC_AP,"Có"))</f>
        <v/>
      </c>
      <c r="AD69" s="29" t="str">
        <f aca="false">IF(B69="","",SUMIFS(DC_TIEN,DC_MA,$B69,DC_LOAI,"KPI trừ",DC_AP,"Có"))</f>
        <v/>
      </c>
      <c r="AE69" s="29" t="str">
        <f aca="false">IF(B69="","",SUM(AA69:AD69))</f>
        <v/>
      </c>
      <c r="AF69" s="30" t="str">
        <f aca="false">IF(B69="","",ROUNDDOWN(Z69-AE69,-3))</f>
        <v/>
      </c>
      <c r="AG69" s="20"/>
    </row>
    <row r="70" customFormat="false" ht="15" hidden="false" customHeight="false" outlineLevel="0" collapsed="false">
      <c r="A70" s="18" t="str">
        <f aca="false">IF(B70="","",ROW()-5)</f>
        <v/>
      </c>
      <c r="B70" s="28" t="str">
        <f aca="false">IF(BCC!B70="","",BCC!B70)</f>
        <v/>
      </c>
      <c r="C70" s="18" t="str">
        <f aca="false">IF(B70="","",IFERROR(INDEX(NV_TEN,MATCH(B70,NV_MA,0)),"MÃ KHÔNG CÓ"))</f>
        <v/>
      </c>
      <c r="D70" s="18" t="str">
        <f aca="false">IF(B70="","",IFERROR(INDEX(NV_PN,MATCH(B70,NV_MA,0)),""))</f>
        <v/>
      </c>
      <c r="E70" s="18" t="str">
        <f aca="false">IF(B70="","",IFERROR(INDEX(NV_HT,MATCH(B70,NV_MA,0)),""))</f>
        <v/>
      </c>
      <c r="F70" s="18" t="str">
        <f aca="false">IF(B70="","",IFERROR(INDEX(NV_CC,MATCH(B70,NV_MA,0)),""))</f>
        <v/>
      </c>
      <c r="G70" s="29" t="str">
        <f aca="false">IF(B70="","",IFERROR(INDEX(NV_CB,MATCH(B70,NV_MA,0)),""))</f>
        <v/>
      </c>
      <c r="H70" s="29" t="str">
        <f aca="false">IF(B70="","",IFERROR(INDEX(NV_TV,MATCH(B70,NV_MA,0)),""))</f>
        <v/>
      </c>
      <c r="I70" s="29" t="str">
        <f aca="false">IF(B70="","",IFERROR(INDEX(NV_BHXH,MATCH(B70,NV_MA,0)),""))</f>
        <v/>
      </c>
      <c r="J70" s="29" t="str">
        <f aca="false">IF(B70="","",IFERROR(INDEX(NV_DONG,MATCH(B70,NV_MA,0)),""))</f>
        <v/>
      </c>
      <c r="K70" s="29" t="str">
        <f aca="false">IF(B70="","",IFERROR(INDEX(NV_PC,MATCH(B70,NV_MA,0)),""))</f>
        <v/>
      </c>
      <c r="L70" s="18" t="str">
        <f aca="false">IF(B70="","",IFERROR(INDEX(NV_NHOMCC,MATCH(B70,NV_MA,0)),""))</f>
        <v/>
      </c>
      <c r="M70" s="25" t="str">
        <f aca="false">IF(B70="","",IFERROR(INDEX(BCC_CONG,MATCH(B70,BCC_MA,0)),0))</f>
        <v/>
      </c>
      <c r="N70" s="18" t="str">
        <f aca="false">IF(B70="","",IFERROR(INDEX(BCC_PHEP,MATCH(B70,BCC_MA,0)),0))</f>
        <v/>
      </c>
      <c r="O70" s="18" t="str">
        <f aca="false">IF(B70="","",IFERROR(INDEX(BCC_LE,MATCH(B70,BCC_MA,0)),0))</f>
        <v/>
      </c>
      <c r="P70" s="18" t="str">
        <f aca="false">IF(B70="","",IFERROR(INDEX(BCC_LEDL,MATCH(B70,BCC_MA,0)),0))</f>
        <v/>
      </c>
      <c r="Q70" s="18" t="str">
        <f aca="false">IF(B70="","",IFERROR(INDEX(BCC_CD,MATCH(B70,BCC_MA,0)),0))</f>
        <v/>
      </c>
      <c r="R70" s="29" t="str">
        <f aca="false">IF(B70="","",IF(E70="Khoán tháng",G70,IF(E70="Thử việc",IF(N(H70)&gt;0,H70,G70*TL_THUVIEC),G70)/F70*M70))</f>
        <v/>
      </c>
      <c r="S70" s="29" t="str">
        <f aca="false">IF(B70="","",IF(E70="Khoán tháng",0,I70/NGAY_CHIA*N70))</f>
        <v/>
      </c>
      <c r="T70" s="29" t="str">
        <f aca="false">IF(B70="","",IF(E70="Khoán tháng",0,I70/NGAY_CHIA*O70))</f>
        <v/>
      </c>
      <c r="U70" s="29" t="str">
        <f aca="false">IF(B70="","",IF(E70="Khoán tháng",0,G70/F70/GIO_CONG*P70*HS_LE))</f>
        <v/>
      </c>
      <c r="V70" s="29" t="str">
        <f aca="false">IF(B70="","",IF(E70="Khoán tháng",0,I70/NGAY_CHIA*Q70))</f>
        <v/>
      </c>
      <c r="W70" s="29" t="str">
        <f aca="false">IF(B70="","",IF(L70="Chung",IF(M70&gt;=CC_NGUONG,CC_TIEN,0),IF(L70="Cơ điện",IF(M70&gt;CD_N2,CD_T2,IF(M70&gt;CD_N1,CD_T1,0)),0))+SUMIFS(DC_TIEN,DC_MA,$B70,DC_LOAI,"Chuyên cần",DC_AP,"Có"))</f>
        <v/>
      </c>
      <c r="X70" s="29" t="str">
        <f aca="false">IF(B70="","",N(K70))</f>
        <v/>
      </c>
      <c r="Y70" s="29" t="str">
        <f aca="false">IF(B70="","",SUMIFS(DC_TIEN,DC_MA,$B70,DC_LOAI,"Truy lĩnh",DC_AP,"Có")+SUMIFS(DC_TIEN,DC_MA,$B70,DC_LOAI,"Cộng khác",DC_AP,"Có"))</f>
        <v/>
      </c>
      <c r="Z70" s="30" t="str">
        <f aca="false">IF(B70="","",SUM(R70:Y70))</f>
        <v/>
      </c>
      <c r="AA70" s="29" t="str">
        <f aca="false">IF(B70="","",IF(J70="Có",I70*BHXH_NLD,0))</f>
        <v/>
      </c>
      <c r="AB70" s="29" t="str">
        <f aca="false">IF(B70="","",SUMIFS(DC_TIEN,DC_MA,$B70,DC_LOAI,"Tạm ứng",DC_AP,"Có"))</f>
        <v/>
      </c>
      <c r="AC70" s="29" t="str">
        <f aca="false">IF(B70="","",SUMIFS(DC_TIEN,DC_MA,$B70,DC_LOAI,"Trừ khác",DC_AP,"Có"))</f>
        <v/>
      </c>
      <c r="AD70" s="29" t="str">
        <f aca="false">IF(B70="","",SUMIFS(DC_TIEN,DC_MA,$B70,DC_LOAI,"KPI trừ",DC_AP,"Có"))</f>
        <v/>
      </c>
      <c r="AE70" s="29" t="str">
        <f aca="false">IF(B70="","",SUM(AA70:AD70))</f>
        <v/>
      </c>
      <c r="AF70" s="30" t="str">
        <f aca="false">IF(B70="","",ROUNDDOWN(Z70-AE70,-3))</f>
        <v/>
      </c>
      <c r="AG70" s="20"/>
    </row>
    <row r="71" customFormat="false" ht="15" hidden="false" customHeight="false" outlineLevel="0" collapsed="false">
      <c r="A71" s="18" t="str">
        <f aca="false">IF(B71="","",ROW()-5)</f>
        <v/>
      </c>
      <c r="B71" s="28" t="str">
        <f aca="false">IF(BCC!B71="","",BCC!B71)</f>
        <v/>
      </c>
      <c r="C71" s="18" t="str">
        <f aca="false">IF(B71="","",IFERROR(INDEX(NV_TEN,MATCH(B71,NV_MA,0)),"MÃ KHÔNG CÓ"))</f>
        <v/>
      </c>
      <c r="D71" s="18" t="str">
        <f aca="false">IF(B71="","",IFERROR(INDEX(NV_PN,MATCH(B71,NV_MA,0)),""))</f>
        <v/>
      </c>
      <c r="E71" s="18" t="str">
        <f aca="false">IF(B71="","",IFERROR(INDEX(NV_HT,MATCH(B71,NV_MA,0)),""))</f>
        <v/>
      </c>
      <c r="F71" s="18" t="str">
        <f aca="false">IF(B71="","",IFERROR(INDEX(NV_CC,MATCH(B71,NV_MA,0)),""))</f>
        <v/>
      </c>
      <c r="G71" s="29" t="str">
        <f aca="false">IF(B71="","",IFERROR(INDEX(NV_CB,MATCH(B71,NV_MA,0)),""))</f>
        <v/>
      </c>
      <c r="H71" s="29" t="str">
        <f aca="false">IF(B71="","",IFERROR(INDEX(NV_TV,MATCH(B71,NV_MA,0)),""))</f>
        <v/>
      </c>
      <c r="I71" s="29" t="str">
        <f aca="false">IF(B71="","",IFERROR(INDEX(NV_BHXH,MATCH(B71,NV_MA,0)),""))</f>
        <v/>
      </c>
      <c r="J71" s="29" t="str">
        <f aca="false">IF(B71="","",IFERROR(INDEX(NV_DONG,MATCH(B71,NV_MA,0)),""))</f>
        <v/>
      </c>
      <c r="K71" s="29" t="str">
        <f aca="false">IF(B71="","",IFERROR(INDEX(NV_PC,MATCH(B71,NV_MA,0)),""))</f>
        <v/>
      </c>
      <c r="L71" s="18" t="str">
        <f aca="false">IF(B71="","",IFERROR(INDEX(NV_NHOMCC,MATCH(B71,NV_MA,0)),""))</f>
        <v/>
      </c>
      <c r="M71" s="25" t="str">
        <f aca="false">IF(B71="","",IFERROR(INDEX(BCC_CONG,MATCH(B71,BCC_MA,0)),0))</f>
        <v/>
      </c>
      <c r="N71" s="18" t="str">
        <f aca="false">IF(B71="","",IFERROR(INDEX(BCC_PHEP,MATCH(B71,BCC_MA,0)),0))</f>
        <v/>
      </c>
      <c r="O71" s="18" t="str">
        <f aca="false">IF(B71="","",IFERROR(INDEX(BCC_LE,MATCH(B71,BCC_MA,0)),0))</f>
        <v/>
      </c>
      <c r="P71" s="18" t="str">
        <f aca="false">IF(B71="","",IFERROR(INDEX(BCC_LEDL,MATCH(B71,BCC_MA,0)),0))</f>
        <v/>
      </c>
      <c r="Q71" s="18" t="str">
        <f aca="false">IF(B71="","",IFERROR(INDEX(BCC_CD,MATCH(B71,BCC_MA,0)),0))</f>
        <v/>
      </c>
      <c r="R71" s="29" t="str">
        <f aca="false">IF(B71="","",IF(E71="Khoán tháng",G71,IF(E71="Thử việc",IF(N(H71)&gt;0,H71,G71*TL_THUVIEC),G71)/F71*M71))</f>
        <v/>
      </c>
      <c r="S71" s="29" t="str">
        <f aca="false">IF(B71="","",IF(E71="Khoán tháng",0,I71/NGAY_CHIA*N71))</f>
        <v/>
      </c>
      <c r="T71" s="29" t="str">
        <f aca="false">IF(B71="","",IF(E71="Khoán tháng",0,I71/NGAY_CHIA*O71))</f>
        <v/>
      </c>
      <c r="U71" s="29" t="str">
        <f aca="false">IF(B71="","",IF(E71="Khoán tháng",0,G71/F71/GIO_CONG*P71*HS_LE))</f>
        <v/>
      </c>
      <c r="V71" s="29" t="str">
        <f aca="false">IF(B71="","",IF(E71="Khoán tháng",0,I71/NGAY_CHIA*Q71))</f>
        <v/>
      </c>
      <c r="W71" s="29" t="str">
        <f aca="false">IF(B71="","",IF(L71="Chung",IF(M71&gt;=CC_NGUONG,CC_TIEN,0),IF(L71="Cơ điện",IF(M71&gt;CD_N2,CD_T2,IF(M71&gt;CD_N1,CD_T1,0)),0))+SUMIFS(DC_TIEN,DC_MA,$B71,DC_LOAI,"Chuyên cần",DC_AP,"Có"))</f>
        <v/>
      </c>
      <c r="X71" s="29" t="str">
        <f aca="false">IF(B71="","",N(K71))</f>
        <v/>
      </c>
      <c r="Y71" s="29" t="str">
        <f aca="false">IF(B71="","",SUMIFS(DC_TIEN,DC_MA,$B71,DC_LOAI,"Truy lĩnh",DC_AP,"Có")+SUMIFS(DC_TIEN,DC_MA,$B71,DC_LOAI,"Cộng khác",DC_AP,"Có"))</f>
        <v/>
      </c>
      <c r="Z71" s="30" t="str">
        <f aca="false">IF(B71="","",SUM(R71:Y71))</f>
        <v/>
      </c>
      <c r="AA71" s="29" t="str">
        <f aca="false">IF(B71="","",IF(J71="Có",I71*BHXH_NLD,0))</f>
        <v/>
      </c>
      <c r="AB71" s="29" t="str">
        <f aca="false">IF(B71="","",SUMIFS(DC_TIEN,DC_MA,$B71,DC_LOAI,"Tạm ứng",DC_AP,"Có"))</f>
        <v/>
      </c>
      <c r="AC71" s="29" t="str">
        <f aca="false">IF(B71="","",SUMIFS(DC_TIEN,DC_MA,$B71,DC_LOAI,"Trừ khác",DC_AP,"Có"))</f>
        <v/>
      </c>
      <c r="AD71" s="29" t="str">
        <f aca="false">IF(B71="","",SUMIFS(DC_TIEN,DC_MA,$B71,DC_LOAI,"KPI trừ",DC_AP,"Có"))</f>
        <v/>
      </c>
      <c r="AE71" s="29" t="str">
        <f aca="false">IF(B71="","",SUM(AA71:AD71))</f>
        <v/>
      </c>
      <c r="AF71" s="30" t="str">
        <f aca="false">IF(B71="","",ROUNDDOWN(Z71-AE71,-3))</f>
        <v/>
      </c>
      <c r="AG71" s="20"/>
    </row>
    <row r="72" customFormat="false" ht="15" hidden="false" customHeight="false" outlineLevel="0" collapsed="false">
      <c r="A72" s="18" t="str">
        <f aca="false">IF(B72="","",ROW()-5)</f>
        <v/>
      </c>
      <c r="B72" s="28" t="str">
        <f aca="false">IF(BCC!B72="","",BCC!B72)</f>
        <v/>
      </c>
      <c r="C72" s="18" t="str">
        <f aca="false">IF(B72="","",IFERROR(INDEX(NV_TEN,MATCH(B72,NV_MA,0)),"MÃ KHÔNG CÓ"))</f>
        <v/>
      </c>
      <c r="D72" s="18" t="str">
        <f aca="false">IF(B72="","",IFERROR(INDEX(NV_PN,MATCH(B72,NV_MA,0)),""))</f>
        <v/>
      </c>
      <c r="E72" s="18" t="str">
        <f aca="false">IF(B72="","",IFERROR(INDEX(NV_HT,MATCH(B72,NV_MA,0)),""))</f>
        <v/>
      </c>
      <c r="F72" s="18" t="str">
        <f aca="false">IF(B72="","",IFERROR(INDEX(NV_CC,MATCH(B72,NV_MA,0)),""))</f>
        <v/>
      </c>
      <c r="G72" s="29" t="str">
        <f aca="false">IF(B72="","",IFERROR(INDEX(NV_CB,MATCH(B72,NV_MA,0)),""))</f>
        <v/>
      </c>
      <c r="H72" s="29" t="str">
        <f aca="false">IF(B72="","",IFERROR(INDEX(NV_TV,MATCH(B72,NV_MA,0)),""))</f>
        <v/>
      </c>
      <c r="I72" s="29" t="str">
        <f aca="false">IF(B72="","",IFERROR(INDEX(NV_BHXH,MATCH(B72,NV_MA,0)),""))</f>
        <v/>
      </c>
      <c r="J72" s="29" t="str">
        <f aca="false">IF(B72="","",IFERROR(INDEX(NV_DONG,MATCH(B72,NV_MA,0)),""))</f>
        <v/>
      </c>
      <c r="K72" s="29" t="str">
        <f aca="false">IF(B72="","",IFERROR(INDEX(NV_PC,MATCH(B72,NV_MA,0)),""))</f>
        <v/>
      </c>
      <c r="L72" s="18" t="str">
        <f aca="false">IF(B72="","",IFERROR(INDEX(NV_NHOMCC,MATCH(B72,NV_MA,0)),""))</f>
        <v/>
      </c>
      <c r="M72" s="25" t="str">
        <f aca="false">IF(B72="","",IFERROR(INDEX(BCC_CONG,MATCH(B72,BCC_MA,0)),0))</f>
        <v/>
      </c>
      <c r="N72" s="18" t="str">
        <f aca="false">IF(B72="","",IFERROR(INDEX(BCC_PHEP,MATCH(B72,BCC_MA,0)),0))</f>
        <v/>
      </c>
      <c r="O72" s="18" t="str">
        <f aca="false">IF(B72="","",IFERROR(INDEX(BCC_LE,MATCH(B72,BCC_MA,0)),0))</f>
        <v/>
      </c>
      <c r="P72" s="18" t="str">
        <f aca="false">IF(B72="","",IFERROR(INDEX(BCC_LEDL,MATCH(B72,BCC_MA,0)),0))</f>
        <v/>
      </c>
      <c r="Q72" s="18" t="str">
        <f aca="false">IF(B72="","",IFERROR(INDEX(BCC_CD,MATCH(B72,BCC_MA,0)),0))</f>
        <v/>
      </c>
      <c r="R72" s="29" t="str">
        <f aca="false">IF(B72="","",IF(E72="Khoán tháng",G72,IF(E72="Thử việc",IF(N(H72)&gt;0,H72,G72*TL_THUVIEC),G72)/F72*M72))</f>
        <v/>
      </c>
      <c r="S72" s="29" t="str">
        <f aca="false">IF(B72="","",IF(E72="Khoán tháng",0,I72/NGAY_CHIA*N72))</f>
        <v/>
      </c>
      <c r="T72" s="29" t="str">
        <f aca="false">IF(B72="","",IF(E72="Khoán tháng",0,I72/NGAY_CHIA*O72))</f>
        <v/>
      </c>
      <c r="U72" s="29" t="str">
        <f aca="false">IF(B72="","",IF(E72="Khoán tháng",0,G72/F72/GIO_CONG*P72*HS_LE))</f>
        <v/>
      </c>
      <c r="V72" s="29" t="str">
        <f aca="false">IF(B72="","",IF(E72="Khoán tháng",0,I72/NGAY_CHIA*Q72))</f>
        <v/>
      </c>
      <c r="W72" s="29" t="str">
        <f aca="false">IF(B72="","",IF(L72="Chung",IF(M72&gt;=CC_NGUONG,CC_TIEN,0),IF(L72="Cơ điện",IF(M72&gt;CD_N2,CD_T2,IF(M72&gt;CD_N1,CD_T1,0)),0))+SUMIFS(DC_TIEN,DC_MA,$B72,DC_LOAI,"Chuyên cần",DC_AP,"Có"))</f>
        <v/>
      </c>
      <c r="X72" s="29" t="str">
        <f aca="false">IF(B72="","",N(K72))</f>
        <v/>
      </c>
      <c r="Y72" s="29" t="str">
        <f aca="false">IF(B72="","",SUMIFS(DC_TIEN,DC_MA,$B72,DC_LOAI,"Truy lĩnh",DC_AP,"Có")+SUMIFS(DC_TIEN,DC_MA,$B72,DC_LOAI,"Cộng khác",DC_AP,"Có"))</f>
        <v/>
      </c>
      <c r="Z72" s="30" t="str">
        <f aca="false">IF(B72="","",SUM(R72:Y72))</f>
        <v/>
      </c>
      <c r="AA72" s="29" t="str">
        <f aca="false">IF(B72="","",IF(J72="Có",I72*BHXH_NLD,0))</f>
        <v/>
      </c>
      <c r="AB72" s="29" t="str">
        <f aca="false">IF(B72="","",SUMIFS(DC_TIEN,DC_MA,$B72,DC_LOAI,"Tạm ứng",DC_AP,"Có"))</f>
        <v/>
      </c>
      <c r="AC72" s="29" t="str">
        <f aca="false">IF(B72="","",SUMIFS(DC_TIEN,DC_MA,$B72,DC_LOAI,"Trừ khác",DC_AP,"Có"))</f>
        <v/>
      </c>
      <c r="AD72" s="29" t="str">
        <f aca="false">IF(B72="","",SUMIFS(DC_TIEN,DC_MA,$B72,DC_LOAI,"KPI trừ",DC_AP,"Có"))</f>
        <v/>
      </c>
      <c r="AE72" s="29" t="str">
        <f aca="false">IF(B72="","",SUM(AA72:AD72))</f>
        <v/>
      </c>
      <c r="AF72" s="30" t="str">
        <f aca="false">IF(B72="","",ROUNDDOWN(Z72-AE72,-3))</f>
        <v/>
      </c>
      <c r="AG72" s="20"/>
    </row>
    <row r="73" customFormat="false" ht="15" hidden="false" customHeight="false" outlineLevel="0" collapsed="false">
      <c r="A73" s="18" t="str">
        <f aca="false">IF(B73="","",ROW()-5)</f>
        <v/>
      </c>
      <c r="B73" s="28" t="str">
        <f aca="false">IF(BCC!B73="","",BCC!B73)</f>
        <v/>
      </c>
      <c r="C73" s="18" t="str">
        <f aca="false">IF(B73="","",IFERROR(INDEX(NV_TEN,MATCH(B73,NV_MA,0)),"MÃ KHÔNG CÓ"))</f>
        <v/>
      </c>
      <c r="D73" s="18" t="str">
        <f aca="false">IF(B73="","",IFERROR(INDEX(NV_PN,MATCH(B73,NV_MA,0)),""))</f>
        <v/>
      </c>
      <c r="E73" s="18" t="str">
        <f aca="false">IF(B73="","",IFERROR(INDEX(NV_HT,MATCH(B73,NV_MA,0)),""))</f>
        <v/>
      </c>
      <c r="F73" s="18" t="str">
        <f aca="false">IF(B73="","",IFERROR(INDEX(NV_CC,MATCH(B73,NV_MA,0)),""))</f>
        <v/>
      </c>
      <c r="G73" s="29" t="str">
        <f aca="false">IF(B73="","",IFERROR(INDEX(NV_CB,MATCH(B73,NV_MA,0)),""))</f>
        <v/>
      </c>
      <c r="H73" s="29" t="str">
        <f aca="false">IF(B73="","",IFERROR(INDEX(NV_TV,MATCH(B73,NV_MA,0)),""))</f>
        <v/>
      </c>
      <c r="I73" s="29" t="str">
        <f aca="false">IF(B73="","",IFERROR(INDEX(NV_BHXH,MATCH(B73,NV_MA,0)),""))</f>
        <v/>
      </c>
      <c r="J73" s="29" t="str">
        <f aca="false">IF(B73="","",IFERROR(INDEX(NV_DONG,MATCH(B73,NV_MA,0)),""))</f>
        <v/>
      </c>
      <c r="K73" s="29" t="str">
        <f aca="false">IF(B73="","",IFERROR(INDEX(NV_PC,MATCH(B73,NV_MA,0)),""))</f>
        <v/>
      </c>
      <c r="L73" s="18" t="str">
        <f aca="false">IF(B73="","",IFERROR(INDEX(NV_NHOMCC,MATCH(B73,NV_MA,0)),""))</f>
        <v/>
      </c>
      <c r="M73" s="25" t="str">
        <f aca="false">IF(B73="","",IFERROR(INDEX(BCC_CONG,MATCH(B73,BCC_MA,0)),0))</f>
        <v/>
      </c>
      <c r="N73" s="18" t="str">
        <f aca="false">IF(B73="","",IFERROR(INDEX(BCC_PHEP,MATCH(B73,BCC_MA,0)),0))</f>
        <v/>
      </c>
      <c r="O73" s="18" t="str">
        <f aca="false">IF(B73="","",IFERROR(INDEX(BCC_LE,MATCH(B73,BCC_MA,0)),0))</f>
        <v/>
      </c>
      <c r="P73" s="18" t="str">
        <f aca="false">IF(B73="","",IFERROR(INDEX(BCC_LEDL,MATCH(B73,BCC_MA,0)),0))</f>
        <v/>
      </c>
      <c r="Q73" s="18" t="str">
        <f aca="false">IF(B73="","",IFERROR(INDEX(BCC_CD,MATCH(B73,BCC_MA,0)),0))</f>
        <v/>
      </c>
      <c r="R73" s="29" t="str">
        <f aca="false">IF(B73="","",IF(E73="Khoán tháng",G73,IF(E73="Thử việc",IF(N(H73)&gt;0,H73,G73*TL_THUVIEC),G73)/F73*M73))</f>
        <v/>
      </c>
      <c r="S73" s="29" t="str">
        <f aca="false">IF(B73="","",IF(E73="Khoán tháng",0,I73/NGAY_CHIA*N73))</f>
        <v/>
      </c>
      <c r="T73" s="29" t="str">
        <f aca="false">IF(B73="","",IF(E73="Khoán tháng",0,I73/NGAY_CHIA*O73))</f>
        <v/>
      </c>
      <c r="U73" s="29" t="str">
        <f aca="false">IF(B73="","",IF(E73="Khoán tháng",0,G73/F73/GIO_CONG*P73*HS_LE))</f>
        <v/>
      </c>
      <c r="V73" s="29" t="str">
        <f aca="false">IF(B73="","",IF(E73="Khoán tháng",0,I73/NGAY_CHIA*Q73))</f>
        <v/>
      </c>
      <c r="W73" s="29" t="str">
        <f aca="false">IF(B73="","",IF(L73="Chung",IF(M73&gt;=CC_NGUONG,CC_TIEN,0),IF(L73="Cơ điện",IF(M73&gt;CD_N2,CD_T2,IF(M73&gt;CD_N1,CD_T1,0)),0))+SUMIFS(DC_TIEN,DC_MA,$B73,DC_LOAI,"Chuyên cần",DC_AP,"Có"))</f>
        <v/>
      </c>
      <c r="X73" s="29" t="str">
        <f aca="false">IF(B73="","",N(K73))</f>
        <v/>
      </c>
      <c r="Y73" s="29" t="str">
        <f aca="false">IF(B73="","",SUMIFS(DC_TIEN,DC_MA,$B73,DC_LOAI,"Truy lĩnh",DC_AP,"Có")+SUMIFS(DC_TIEN,DC_MA,$B73,DC_LOAI,"Cộng khác",DC_AP,"Có"))</f>
        <v/>
      </c>
      <c r="Z73" s="30" t="str">
        <f aca="false">IF(B73="","",SUM(R73:Y73))</f>
        <v/>
      </c>
      <c r="AA73" s="29" t="str">
        <f aca="false">IF(B73="","",IF(J73="Có",I73*BHXH_NLD,0))</f>
        <v/>
      </c>
      <c r="AB73" s="29" t="str">
        <f aca="false">IF(B73="","",SUMIFS(DC_TIEN,DC_MA,$B73,DC_LOAI,"Tạm ứng",DC_AP,"Có"))</f>
        <v/>
      </c>
      <c r="AC73" s="29" t="str">
        <f aca="false">IF(B73="","",SUMIFS(DC_TIEN,DC_MA,$B73,DC_LOAI,"Trừ khác",DC_AP,"Có"))</f>
        <v/>
      </c>
      <c r="AD73" s="29" t="str">
        <f aca="false">IF(B73="","",SUMIFS(DC_TIEN,DC_MA,$B73,DC_LOAI,"KPI trừ",DC_AP,"Có"))</f>
        <v/>
      </c>
      <c r="AE73" s="29" t="str">
        <f aca="false">IF(B73="","",SUM(AA73:AD73))</f>
        <v/>
      </c>
      <c r="AF73" s="30" t="str">
        <f aca="false">IF(B73="","",ROUNDDOWN(Z73-AE73,-3))</f>
        <v/>
      </c>
      <c r="AG73" s="20"/>
    </row>
    <row r="74" customFormat="false" ht="15" hidden="false" customHeight="false" outlineLevel="0" collapsed="false">
      <c r="A74" s="18" t="str">
        <f aca="false">IF(B74="","",ROW()-5)</f>
        <v/>
      </c>
      <c r="B74" s="28" t="str">
        <f aca="false">IF(BCC!B74="","",BCC!B74)</f>
        <v/>
      </c>
      <c r="C74" s="18" t="str">
        <f aca="false">IF(B74="","",IFERROR(INDEX(NV_TEN,MATCH(B74,NV_MA,0)),"MÃ KHÔNG CÓ"))</f>
        <v/>
      </c>
      <c r="D74" s="18" t="str">
        <f aca="false">IF(B74="","",IFERROR(INDEX(NV_PN,MATCH(B74,NV_MA,0)),""))</f>
        <v/>
      </c>
      <c r="E74" s="18" t="str">
        <f aca="false">IF(B74="","",IFERROR(INDEX(NV_HT,MATCH(B74,NV_MA,0)),""))</f>
        <v/>
      </c>
      <c r="F74" s="18" t="str">
        <f aca="false">IF(B74="","",IFERROR(INDEX(NV_CC,MATCH(B74,NV_MA,0)),""))</f>
        <v/>
      </c>
      <c r="G74" s="29" t="str">
        <f aca="false">IF(B74="","",IFERROR(INDEX(NV_CB,MATCH(B74,NV_MA,0)),""))</f>
        <v/>
      </c>
      <c r="H74" s="29" t="str">
        <f aca="false">IF(B74="","",IFERROR(INDEX(NV_TV,MATCH(B74,NV_MA,0)),""))</f>
        <v/>
      </c>
      <c r="I74" s="29" t="str">
        <f aca="false">IF(B74="","",IFERROR(INDEX(NV_BHXH,MATCH(B74,NV_MA,0)),""))</f>
        <v/>
      </c>
      <c r="J74" s="29" t="str">
        <f aca="false">IF(B74="","",IFERROR(INDEX(NV_DONG,MATCH(B74,NV_MA,0)),""))</f>
        <v/>
      </c>
      <c r="K74" s="29" t="str">
        <f aca="false">IF(B74="","",IFERROR(INDEX(NV_PC,MATCH(B74,NV_MA,0)),""))</f>
        <v/>
      </c>
      <c r="L74" s="18" t="str">
        <f aca="false">IF(B74="","",IFERROR(INDEX(NV_NHOMCC,MATCH(B74,NV_MA,0)),""))</f>
        <v/>
      </c>
      <c r="M74" s="25" t="str">
        <f aca="false">IF(B74="","",IFERROR(INDEX(BCC_CONG,MATCH(B74,BCC_MA,0)),0))</f>
        <v/>
      </c>
      <c r="N74" s="18" t="str">
        <f aca="false">IF(B74="","",IFERROR(INDEX(BCC_PHEP,MATCH(B74,BCC_MA,0)),0))</f>
        <v/>
      </c>
      <c r="O74" s="18" t="str">
        <f aca="false">IF(B74="","",IFERROR(INDEX(BCC_LE,MATCH(B74,BCC_MA,0)),0))</f>
        <v/>
      </c>
      <c r="P74" s="18" t="str">
        <f aca="false">IF(B74="","",IFERROR(INDEX(BCC_LEDL,MATCH(B74,BCC_MA,0)),0))</f>
        <v/>
      </c>
      <c r="Q74" s="18" t="str">
        <f aca="false">IF(B74="","",IFERROR(INDEX(BCC_CD,MATCH(B74,BCC_MA,0)),0))</f>
        <v/>
      </c>
      <c r="R74" s="29" t="str">
        <f aca="false">IF(B74="","",IF(E74="Khoán tháng",G74,IF(E74="Thử việc",IF(N(H74)&gt;0,H74,G74*TL_THUVIEC),G74)/F74*M74))</f>
        <v/>
      </c>
      <c r="S74" s="29" t="str">
        <f aca="false">IF(B74="","",IF(E74="Khoán tháng",0,I74/NGAY_CHIA*N74))</f>
        <v/>
      </c>
      <c r="T74" s="29" t="str">
        <f aca="false">IF(B74="","",IF(E74="Khoán tháng",0,I74/NGAY_CHIA*O74))</f>
        <v/>
      </c>
      <c r="U74" s="29" t="str">
        <f aca="false">IF(B74="","",IF(E74="Khoán tháng",0,G74/F74/GIO_CONG*P74*HS_LE))</f>
        <v/>
      </c>
      <c r="V74" s="29" t="str">
        <f aca="false">IF(B74="","",IF(E74="Khoán tháng",0,I74/NGAY_CHIA*Q74))</f>
        <v/>
      </c>
      <c r="W74" s="29" t="str">
        <f aca="false">IF(B74="","",IF(L74="Chung",IF(M74&gt;=CC_NGUONG,CC_TIEN,0),IF(L74="Cơ điện",IF(M74&gt;CD_N2,CD_T2,IF(M74&gt;CD_N1,CD_T1,0)),0))+SUMIFS(DC_TIEN,DC_MA,$B74,DC_LOAI,"Chuyên cần",DC_AP,"Có"))</f>
        <v/>
      </c>
      <c r="X74" s="29" t="str">
        <f aca="false">IF(B74="","",N(K74))</f>
        <v/>
      </c>
      <c r="Y74" s="29" t="str">
        <f aca="false">IF(B74="","",SUMIFS(DC_TIEN,DC_MA,$B74,DC_LOAI,"Truy lĩnh",DC_AP,"Có")+SUMIFS(DC_TIEN,DC_MA,$B74,DC_LOAI,"Cộng khác",DC_AP,"Có"))</f>
        <v/>
      </c>
      <c r="Z74" s="30" t="str">
        <f aca="false">IF(B74="","",SUM(R74:Y74))</f>
        <v/>
      </c>
      <c r="AA74" s="29" t="str">
        <f aca="false">IF(B74="","",IF(J74="Có",I74*BHXH_NLD,0))</f>
        <v/>
      </c>
      <c r="AB74" s="29" t="str">
        <f aca="false">IF(B74="","",SUMIFS(DC_TIEN,DC_MA,$B74,DC_LOAI,"Tạm ứng",DC_AP,"Có"))</f>
        <v/>
      </c>
      <c r="AC74" s="29" t="str">
        <f aca="false">IF(B74="","",SUMIFS(DC_TIEN,DC_MA,$B74,DC_LOAI,"Trừ khác",DC_AP,"Có"))</f>
        <v/>
      </c>
      <c r="AD74" s="29" t="str">
        <f aca="false">IF(B74="","",SUMIFS(DC_TIEN,DC_MA,$B74,DC_LOAI,"KPI trừ",DC_AP,"Có"))</f>
        <v/>
      </c>
      <c r="AE74" s="29" t="str">
        <f aca="false">IF(B74="","",SUM(AA74:AD74))</f>
        <v/>
      </c>
      <c r="AF74" s="30" t="str">
        <f aca="false">IF(B74="","",ROUNDDOWN(Z74-AE74,-3))</f>
        <v/>
      </c>
      <c r="AG74" s="20"/>
    </row>
    <row r="75" customFormat="false" ht="15" hidden="false" customHeight="false" outlineLevel="0" collapsed="false">
      <c r="A75" s="18" t="str">
        <f aca="false">IF(B75="","",ROW()-5)</f>
        <v/>
      </c>
      <c r="B75" s="28" t="str">
        <f aca="false">IF(BCC!B75="","",BCC!B75)</f>
        <v/>
      </c>
      <c r="C75" s="18" t="str">
        <f aca="false">IF(B75="","",IFERROR(INDEX(NV_TEN,MATCH(B75,NV_MA,0)),"MÃ KHÔNG CÓ"))</f>
        <v/>
      </c>
      <c r="D75" s="18" t="str">
        <f aca="false">IF(B75="","",IFERROR(INDEX(NV_PN,MATCH(B75,NV_MA,0)),""))</f>
        <v/>
      </c>
      <c r="E75" s="18" t="str">
        <f aca="false">IF(B75="","",IFERROR(INDEX(NV_HT,MATCH(B75,NV_MA,0)),""))</f>
        <v/>
      </c>
      <c r="F75" s="18" t="str">
        <f aca="false">IF(B75="","",IFERROR(INDEX(NV_CC,MATCH(B75,NV_MA,0)),""))</f>
        <v/>
      </c>
      <c r="G75" s="29" t="str">
        <f aca="false">IF(B75="","",IFERROR(INDEX(NV_CB,MATCH(B75,NV_MA,0)),""))</f>
        <v/>
      </c>
      <c r="H75" s="29" t="str">
        <f aca="false">IF(B75="","",IFERROR(INDEX(NV_TV,MATCH(B75,NV_MA,0)),""))</f>
        <v/>
      </c>
      <c r="I75" s="29" t="str">
        <f aca="false">IF(B75="","",IFERROR(INDEX(NV_BHXH,MATCH(B75,NV_MA,0)),""))</f>
        <v/>
      </c>
      <c r="J75" s="29" t="str">
        <f aca="false">IF(B75="","",IFERROR(INDEX(NV_DONG,MATCH(B75,NV_MA,0)),""))</f>
        <v/>
      </c>
      <c r="K75" s="29" t="str">
        <f aca="false">IF(B75="","",IFERROR(INDEX(NV_PC,MATCH(B75,NV_MA,0)),""))</f>
        <v/>
      </c>
      <c r="L75" s="18" t="str">
        <f aca="false">IF(B75="","",IFERROR(INDEX(NV_NHOMCC,MATCH(B75,NV_MA,0)),""))</f>
        <v/>
      </c>
      <c r="M75" s="25" t="str">
        <f aca="false">IF(B75="","",IFERROR(INDEX(BCC_CONG,MATCH(B75,BCC_MA,0)),0))</f>
        <v/>
      </c>
      <c r="N75" s="18" t="str">
        <f aca="false">IF(B75="","",IFERROR(INDEX(BCC_PHEP,MATCH(B75,BCC_MA,0)),0))</f>
        <v/>
      </c>
      <c r="O75" s="18" t="str">
        <f aca="false">IF(B75="","",IFERROR(INDEX(BCC_LE,MATCH(B75,BCC_MA,0)),0))</f>
        <v/>
      </c>
      <c r="P75" s="18" t="str">
        <f aca="false">IF(B75="","",IFERROR(INDEX(BCC_LEDL,MATCH(B75,BCC_MA,0)),0))</f>
        <v/>
      </c>
      <c r="Q75" s="18" t="str">
        <f aca="false">IF(B75="","",IFERROR(INDEX(BCC_CD,MATCH(B75,BCC_MA,0)),0))</f>
        <v/>
      </c>
      <c r="R75" s="29" t="str">
        <f aca="false">IF(B75="","",IF(E75="Khoán tháng",G75,IF(E75="Thử việc",IF(N(H75)&gt;0,H75,G75*TL_THUVIEC),G75)/F75*M75))</f>
        <v/>
      </c>
      <c r="S75" s="29" t="str">
        <f aca="false">IF(B75="","",IF(E75="Khoán tháng",0,I75/NGAY_CHIA*N75))</f>
        <v/>
      </c>
      <c r="T75" s="29" t="str">
        <f aca="false">IF(B75="","",IF(E75="Khoán tháng",0,I75/NGAY_CHIA*O75))</f>
        <v/>
      </c>
      <c r="U75" s="29" t="str">
        <f aca="false">IF(B75="","",IF(E75="Khoán tháng",0,G75/F75/GIO_CONG*P75*HS_LE))</f>
        <v/>
      </c>
      <c r="V75" s="29" t="str">
        <f aca="false">IF(B75="","",IF(E75="Khoán tháng",0,I75/NGAY_CHIA*Q75))</f>
        <v/>
      </c>
      <c r="W75" s="29" t="str">
        <f aca="false">IF(B75="","",IF(L75="Chung",IF(M75&gt;=CC_NGUONG,CC_TIEN,0),IF(L75="Cơ điện",IF(M75&gt;CD_N2,CD_T2,IF(M75&gt;CD_N1,CD_T1,0)),0))+SUMIFS(DC_TIEN,DC_MA,$B75,DC_LOAI,"Chuyên cần",DC_AP,"Có"))</f>
        <v/>
      </c>
      <c r="X75" s="29" t="str">
        <f aca="false">IF(B75="","",N(K75))</f>
        <v/>
      </c>
      <c r="Y75" s="29" t="str">
        <f aca="false">IF(B75="","",SUMIFS(DC_TIEN,DC_MA,$B75,DC_LOAI,"Truy lĩnh",DC_AP,"Có")+SUMIFS(DC_TIEN,DC_MA,$B75,DC_LOAI,"Cộng khác",DC_AP,"Có"))</f>
        <v/>
      </c>
      <c r="Z75" s="30" t="str">
        <f aca="false">IF(B75="","",SUM(R75:Y75))</f>
        <v/>
      </c>
      <c r="AA75" s="29" t="str">
        <f aca="false">IF(B75="","",IF(J75="Có",I75*BHXH_NLD,0))</f>
        <v/>
      </c>
      <c r="AB75" s="29" t="str">
        <f aca="false">IF(B75="","",SUMIFS(DC_TIEN,DC_MA,$B75,DC_LOAI,"Tạm ứng",DC_AP,"Có"))</f>
        <v/>
      </c>
      <c r="AC75" s="29" t="str">
        <f aca="false">IF(B75="","",SUMIFS(DC_TIEN,DC_MA,$B75,DC_LOAI,"Trừ khác",DC_AP,"Có"))</f>
        <v/>
      </c>
      <c r="AD75" s="29" t="str">
        <f aca="false">IF(B75="","",SUMIFS(DC_TIEN,DC_MA,$B75,DC_LOAI,"KPI trừ",DC_AP,"Có"))</f>
        <v/>
      </c>
      <c r="AE75" s="29" t="str">
        <f aca="false">IF(B75="","",SUM(AA75:AD75))</f>
        <v/>
      </c>
      <c r="AF75" s="30" t="str">
        <f aca="false">IF(B75="","",ROUNDDOWN(Z75-AE75,-3))</f>
        <v/>
      </c>
      <c r="AG75" s="20"/>
    </row>
    <row r="76" customFormat="false" ht="15" hidden="false" customHeight="false" outlineLevel="0" collapsed="false">
      <c r="A76" s="18" t="str">
        <f aca="false">IF(B76="","",ROW()-5)</f>
        <v/>
      </c>
      <c r="B76" s="28" t="str">
        <f aca="false">IF(BCC!B76="","",BCC!B76)</f>
        <v/>
      </c>
      <c r="C76" s="18" t="str">
        <f aca="false">IF(B76="","",IFERROR(INDEX(NV_TEN,MATCH(B76,NV_MA,0)),"MÃ KHÔNG CÓ"))</f>
        <v/>
      </c>
      <c r="D76" s="18" t="str">
        <f aca="false">IF(B76="","",IFERROR(INDEX(NV_PN,MATCH(B76,NV_MA,0)),""))</f>
        <v/>
      </c>
      <c r="E76" s="18" t="str">
        <f aca="false">IF(B76="","",IFERROR(INDEX(NV_HT,MATCH(B76,NV_MA,0)),""))</f>
        <v/>
      </c>
      <c r="F76" s="18" t="str">
        <f aca="false">IF(B76="","",IFERROR(INDEX(NV_CC,MATCH(B76,NV_MA,0)),""))</f>
        <v/>
      </c>
      <c r="G76" s="29" t="str">
        <f aca="false">IF(B76="","",IFERROR(INDEX(NV_CB,MATCH(B76,NV_MA,0)),""))</f>
        <v/>
      </c>
      <c r="H76" s="29" t="str">
        <f aca="false">IF(B76="","",IFERROR(INDEX(NV_TV,MATCH(B76,NV_MA,0)),""))</f>
        <v/>
      </c>
      <c r="I76" s="29" t="str">
        <f aca="false">IF(B76="","",IFERROR(INDEX(NV_BHXH,MATCH(B76,NV_MA,0)),""))</f>
        <v/>
      </c>
      <c r="J76" s="29" t="str">
        <f aca="false">IF(B76="","",IFERROR(INDEX(NV_DONG,MATCH(B76,NV_MA,0)),""))</f>
        <v/>
      </c>
      <c r="K76" s="29" t="str">
        <f aca="false">IF(B76="","",IFERROR(INDEX(NV_PC,MATCH(B76,NV_MA,0)),""))</f>
        <v/>
      </c>
      <c r="L76" s="18" t="str">
        <f aca="false">IF(B76="","",IFERROR(INDEX(NV_NHOMCC,MATCH(B76,NV_MA,0)),""))</f>
        <v/>
      </c>
      <c r="M76" s="25" t="str">
        <f aca="false">IF(B76="","",IFERROR(INDEX(BCC_CONG,MATCH(B76,BCC_MA,0)),0))</f>
        <v/>
      </c>
      <c r="N76" s="18" t="str">
        <f aca="false">IF(B76="","",IFERROR(INDEX(BCC_PHEP,MATCH(B76,BCC_MA,0)),0))</f>
        <v/>
      </c>
      <c r="O76" s="18" t="str">
        <f aca="false">IF(B76="","",IFERROR(INDEX(BCC_LE,MATCH(B76,BCC_MA,0)),0))</f>
        <v/>
      </c>
      <c r="P76" s="18" t="str">
        <f aca="false">IF(B76="","",IFERROR(INDEX(BCC_LEDL,MATCH(B76,BCC_MA,0)),0))</f>
        <v/>
      </c>
      <c r="Q76" s="18" t="str">
        <f aca="false">IF(B76="","",IFERROR(INDEX(BCC_CD,MATCH(B76,BCC_MA,0)),0))</f>
        <v/>
      </c>
      <c r="R76" s="29" t="str">
        <f aca="false">IF(B76="","",IF(E76="Khoán tháng",G76,IF(E76="Thử việc",IF(N(H76)&gt;0,H76,G76*TL_THUVIEC),G76)/F76*M76))</f>
        <v/>
      </c>
      <c r="S76" s="29" t="str">
        <f aca="false">IF(B76="","",IF(E76="Khoán tháng",0,I76/NGAY_CHIA*N76))</f>
        <v/>
      </c>
      <c r="T76" s="29" t="str">
        <f aca="false">IF(B76="","",IF(E76="Khoán tháng",0,I76/NGAY_CHIA*O76))</f>
        <v/>
      </c>
      <c r="U76" s="29" t="str">
        <f aca="false">IF(B76="","",IF(E76="Khoán tháng",0,G76/F76/GIO_CONG*P76*HS_LE))</f>
        <v/>
      </c>
      <c r="V76" s="29" t="str">
        <f aca="false">IF(B76="","",IF(E76="Khoán tháng",0,I76/NGAY_CHIA*Q76))</f>
        <v/>
      </c>
      <c r="W76" s="29" t="str">
        <f aca="false">IF(B76="","",IF(L76="Chung",IF(M76&gt;=CC_NGUONG,CC_TIEN,0),IF(L76="Cơ điện",IF(M76&gt;CD_N2,CD_T2,IF(M76&gt;CD_N1,CD_T1,0)),0))+SUMIFS(DC_TIEN,DC_MA,$B76,DC_LOAI,"Chuyên cần",DC_AP,"Có"))</f>
        <v/>
      </c>
      <c r="X76" s="29" t="str">
        <f aca="false">IF(B76="","",N(K76))</f>
        <v/>
      </c>
      <c r="Y76" s="29" t="str">
        <f aca="false">IF(B76="","",SUMIFS(DC_TIEN,DC_MA,$B76,DC_LOAI,"Truy lĩnh",DC_AP,"Có")+SUMIFS(DC_TIEN,DC_MA,$B76,DC_LOAI,"Cộng khác",DC_AP,"Có"))</f>
        <v/>
      </c>
      <c r="Z76" s="30" t="str">
        <f aca="false">IF(B76="","",SUM(R76:Y76))</f>
        <v/>
      </c>
      <c r="AA76" s="29" t="str">
        <f aca="false">IF(B76="","",IF(J76="Có",I76*BHXH_NLD,0))</f>
        <v/>
      </c>
      <c r="AB76" s="29" t="str">
        <f aca="false">IF(B76="","",SUMIFS(DC_TIEN,DC_MA,$B76,DC_LOAI,"Tạm ứng",DC_AP,"Có"))</f>
        <v/>
      </c>
      <c r="AC76" s="29" t="str">
        <f aca="false">IF(B76="","",SUMIFS(DC_TIEN,DC_MA,$B76,DC_LOAI,"Trừ khác",DC_AP,"Có"))</f>
        <v/>
      </c>
      <c r="AD76" s="29" t="str">
        <f aca="false">IF(B76="","",SUMIFS(DC_TIEN,DC_MA,$B76,DC_LOAI,"KPI trừ",DC_AP,"Có"))</f>
        <v/>
      </c>
      <c r="AE76" s="29" t="str">
        <f aca="false">IF(B76="","",SUM(AA76:AD76))</f>
        <v/>
      </c>
      <c r="AF76" s="30" t="str">
        <f aca="false">IF(B76="","",ROUNDDOWN(Z76-AE76,-3))</f>
        <v/>
      </c>
      <c r="AG76" s="20"/>
    </row>
    <row r="77" customFormat="false" ht="15" hidden="false" customHeight="false" outlineLevel="0" collapsed="false">
      <c r="A77" s="18" t="str">
        <f aca="false">IF(B77="","",ROW()-5)</f>
        <v/>
      </c>
      <c r="B77" s="28" t="str">
        <f aca="false">IF(BCC!B77="","",BCC!B77)</f>
        <v/>
      </c>
      <c r="C77" s="18" t="str">
        <f aca="false">IF(B77="","",IFERROR(INDEX(NV_TEN,MATCH(B77,NV_MA,0)),"MÃ KHÔNG CÓ"))</f>
        <v/>
      </c>
      <c r="D77" s="18" t="str">
        <f aca="false">IF(B77="","",IFERROR(INDEX(NV_PN,MATCH(B77,NV_MA,0)),""))</f>
        <v/>
      </c>
      <c r="E77" s="18" t="str">
        <f aca="false">IF(B77="","",IFERROR(INDEX(NV_HT,MATCH(B77,NV_MA,0)),""))</f>
        <v/>
      </c>
      <c r="F77" s="18" t="str">
        <f aca="false">IF(B77="","",IFERROR(INDEX(NV_CC,MATCH(B77,NV_MA,0)),""))</f>
        <v/>
      </c>
      <c r="G77" s="29" t="str">
        <f aca="false">IF(B77="","",IFERROR(INDEX(NV_CB,MATCH(B77,NV_MA,0)),""))</f>
        <v/>
      </c>
      <c r="H77" s="29" t="str">
        <f aca="false">IF(B77="","",IFERROR(INDEX(NV_TV,MATCH(B77,NV_MA,0)),""))</f>
        <v/>
      </c>
      <c r="I77" s="29" t="str">
        <f aca="false">IF(B77="","",IFERROR(INDEX(NV_BHXH,MATCH(B77,NV_MA,0)),""))</f>
        <v/>
      </c>
      <c r="J77" s="29" t="str">
        <f aca="false">IF(B77="","",IFERROR(INDEX(NV_DONG,MATCH(B77,NV_MA,0)),""))</f>
        <v/>
      </c>
      <c r="K77" s="29" t="str">
        <f aca="false">IF(B77="","",IFERROR(INDEX(NV_PC,MATCH(B77,NV_MA,0)),""))</f>
        <v/>
      </c>
      <c r="L77" s="18" t="str">
        <f aca="false">IF(B77="","",IFERROR(INDEX(NV_NHOMCC,MATCH(B77,NV_MA,0)),""))</f>
        <v/>
      </c>
      <c r="M77" s="25" t="str">
        <f aca="false">IF(B77="","",IFERROR(INDEX(BCC_CONG,MATCH(B77,BCC_MA,0)),0))</f>
        <v/>
      </c>
      <c r="N77" s="18" t="str">
        <f aca="false">IF(B77="","",IFERROR(INDEX(BCC_PHEP,MATCH(B77,BCC_MA,0)),0))</f>
        <v/>
      </c>
      <c r="O77" s="18" t="str">
        <f aca="false">IF(B77="","",IFERROR(INDEX(BCC_LE,MATCH(B77,BCC_MA,0)),0))</f>
        <v/>
      </c>
      <c r="P77" s="18" t="str">
        <f aca="false">IF(B77="","",IFERROR(INDEX(BCC_LEDL,MATCH(B77,BCC_MA,0)),0))</f>
        <v/>
      </c>
      <c r="Q77" s="18" t="str">
        <f aca="false">IF(B77="","",IFERROR(INDEX(BCC_CD,MATCH(B77,BCC_MA,0)),0))</f>
        <v/>
      </c>
      <c r="R77" s="29" t="str">
        <f aca="false">IF(B77="","",IF(E77="Khoán tháng",G77,IF(E77="Thử việc",IF(N(H77)&gt;0,H77,G77*TL_THUVIEC),G77)/F77*M77))</f>
        <v/>
      </c>
      <c r="S77" s="29" t="str">
        <f aca="false">IF(B77="","",IF(E77="Khoán tháng",0,I77/NGAY_CHIA*N77))</f>
        <v/>
      </c>
      <c r="T77" s="29" t="str">
        <f aca="false">IF(B77="","",IF(E77="Khoán tháng",0,I77/NGAY_CHIA*O77))</f>
        <v/>
      </c>
      <c r="U77" s="29" t="str">
        <f aca="false">IF(B77="","",IF(E77="Khoán tháng",0,G77/F77/GIO_CONG*P77*HS_LE))</f>
        <v/>
      </c>
      <c r="V77" s="29" t="str">
        <f aca="false">IF(B77="","",IF(E77="Khoán tháng",0,I77/NGAY_CHIA*Q77))</f>
        <v/>
      </c>
      <c r="W77" s="29" t="str">
        <f aca="false">IF(B77="","",IF(L77="Chung",IF(M77&gt;=CC_NGUONG,CC_TIEN,0),IF(L77="Cơ điện",IF(M77&gt;CD_N2,CD_T2,IF(M77&gt;CD_N1,CD_T1,0)),0))+SUMIFS(DC_TIEN,DC_MA,$B77,DC_LOAI,"Chuyên cần",DC_AP,"Có"))</f>
        <v/>
      </c>
      <c r="X77" s="29" t="str">
        <f aca="false">IF(B77="","",N(K77))</f>
        <v/>
      </c>
      <c r="Y77" s="29" t="str">
        <f aca="false">IF(B77="","",SUMIFS(DC_TIEN,DC_MA,$B77,DC_LOAI,"Truy lĩnh",DC_AP,"Có")+SUMIFS(DC_TIEN,DC_MA,$B77,DC_LOAI,"Cộng khác",DC_AP,"Có"))</f>
        <v/>
      </c>
      <c r="Z77" s="30" t="str">
        <f aca="false">IF(B77="","",SUM(R77:Y77))</f>
        <v/>
      </c>
      <c r="AA77" s="29" t="str">
        <f aca="false">IF(B77="","",IF(J77="Có",I77*BHXH_NLD,0))</f>
        <v/>
      </c>
      <c r="AB77" s="29" t="str">
        <f aca="false">IF(B77="","",SUMIFS(DC_TIEN,DC_MA,$B77,DC_LOAI,"Tạm ứng",DC_AP,"Có"))</f>
        <v/>
      </c>
      <c r="AC77" s="29" t="str">
        <f aca="false">IF(B77="","",SUMIFS(DC_TIEN,DC_MA,$B77,DC_LOAI,"Trừ khác",DC_AP,"Có"))</f>
        <v/>
      </c>
      <c r="AD77" s="29" t="str">
        <f aca="false">IF(B77="","",SUMIFS(DC_TIEN,DC_MA,$B77,DC_LOAI,"KPI trừ",DC_AP,"Có"))</f>
        <v/>
      </c>
      <c r="AE77" s="29" t="str">
        <f aca="false">IF(B77="","",SUM(AA77:AD77))</f>
        <v/>
      </c>
      <c r="AF77" s="30" t="str">
        <f aca="false">IF(B77="","",ROUNDDOWN(Z77-AE77,-3))</f>
        <v/>
      </c>
      <c r="AG77" s="20"/>
    </row>
    <row r="78" customFormat="false" ht="15" hidden="false" customHeight="false" outlineLevel="0" collapsed="false">
      <c r="A78" s="18" t="str">
        <f aca="false">IF(B78="","",ROW()-5)</f>
        <v/>
      </c>
      <c r="B78" s="28" t="str">
        <f aca="false">IF(BCC!B78="","",BCC!B78)</f>
        <v/>
      </c>
      <c r="C78" s="18" t="str">
        <f aca="false">IF(B78="","",IFERROR(INDEX(NV_TEN,MATCH(B78,NV_MA,0)),"MÃ KHÔNG CÓ"))</f>
        <v/>
      </c>
      <c r="D78" s="18" t="str">
        <f aca="false">IF(B78="","",IFERROR(INDEX(NV_PN,MATCH(B78,NV_MA,0)),""))</f>
        <v/>
      </c>
      <c r="E78" s="18" t="str">
        <f aca="false">IF(B78="","",IFERROR(INDEX(NV_HT,MATCH(B78,NV_MA,0)),""))</f>
        <v/>
      </c>
      <c r="F78" s="18" t="str">
        <f aca="false">IF(B78="","",IFERROR(INDEX(NV_CC,MATCH(B78,NV_MA,0)),""))</f>
        <v/>
      </c>
      <c r="G78" s="29" t="str">
        <f aca="false">IF(B78="","",IFERROR(INDEX(NV_CB,MATCH(B78,NV_MA,0)),""))</f>
        <v/>
      </c>
      <c r="H78" s="29" t="str">
        <f aca="false">IF(B78="","",IFERROR(INDEX(NV_TV,MATCH(B78,NV_MA,0)),""))</f>
        <v/>
      </c>
      <c r="I78" s="29" t="str">
        <f aca="false">IF(B78="","",IFERROR(INDEX(NV_BHXH,MATCH(B78,NV_MA,0)),""))</f>
        <v/>
      </c>
      <c r="J78" s="29" t="str">
        <f aca="false">IF(B78="","",IFERROR(INDEX(NV_DONG,MATCH(B78,NV_MA,0)),""))</f>
        <v/>
      </c>
      <c r="K78" s="29" t="str">
        <f aca="false">IF(B78="","",IFERROR(INDEX(NV_PC,MATCH(B78,NV_MA,0)),""))</f>
        <v/>
      </c>
      <c r="L78" s="18" t="str">
        <f aca="false">IF(B78="","",IFERROR(INDEX(NV_NHOMCC,MATCH(B78,NV_MA,0)),""))</f>
        <v/>
      </c>
      <c r="M78" s="25" t="str">
        <f aca="false">IF(B78="","",IFERROR(INDEX(BCC_CONG,MATCH(B78,BCC_MA,0)),0))</f>
        <v/>
      </c>
      <c r="N78" s="18" t="str">
        <f aca="false">IF(B78="","",IFERROR(INDEX(BCC_PHEP,MATCH(B78,BCC_MA,0)),0))</f>
        <v/>
      </c>
      <c r="O78" s="18" t="str">
        <f aca="false">IF(B78="","",IFERROR(INDEX(BCC_LE,MATCH(B78,BCC_MA,0)),0))</f>
        <v/>
      </c>
      <c r="P78" s="18" t="str">
        <f aca="false">IF(B78="","",IFERROR(INDEX(BCC_LEDL,MATCH(B78,BCC_MA,0)),0))</f>
        <v/>
      </c>
      <c r="Q78" s="18" t="str">
        <f aca="false">IF(B78="","",IFERROR(INDEX(BCC_CD,MATCH(B78,BCC_MA,0)),0))</f>
        <v/>
      </c>
      <c r="R78" s="29" t="str">
        <f aca="false">IF(B78="","",IF(E78="Khoán tháng",G78,IF(E78="Thử việc",IF(N(H78)&gt;0,H78,G78*TL_THUVIEC),G78)/F78*M78))</f>
        <v/>
      </c>
      <c r="S78" s="29" t="str">
        <f aca="false">IF(B78="","",IF(E78="Khoán tháng",0,I78/NGAY_CHIA*N78))</f>
        <v/>
      </c>
      <c r="T78" s="29" t="str">
        <f aca="false">IF(B78="","",IF(E78="Khoán tháng",0,I78/NGAY_CHIA*O78))</f>
        <v/>
      </c>
      <c r="U78" s="29" t="str">
        <f aca="false">IF(B78="","",IF(E78="Khoán tháng",0,G78/F78/GIO_CONG*P78*HS_LE))</f>
        <v/>
      </c>
      <c r="V78" s="29" t="str">
        <f aca="false">IF(B78="","",IF(E78="Khoán tháng",0,I78/NGAY_CHIA*Q78))</f>
        <v/>
      </c>
      <c r="W78" s="29" t="str">
        <f aca="false">IF(B78="","",IF(L78="Chung",IF(M78&gt;=CC_NGUONG,CC_TIEN,0),IF(L78="Cơ điện",IF(M78&gt;CD_N2,CD_T2,IF(M78&gt;CD_N1,CD_T1,0)),0))+SUMIFS(DC_TIEN,DC_MA,$B78,DC_LOAI,"Chuyên cần",DC_AP,"Có"))</f>
        <v/>
      </c>
      <c r="X78" s="29" t="str">
        <f aca="false">IF(B78="","",N(K78))</f>
        <v/>
      </c>
      <c r="Y78" s="29" t="str">
        <f aca="false">IF(B78="","",SUMIFS(DC_TIEN,DC_MA,$B78,DC_LOAI,"Truy lĩnh",DC_AP,"Có")+SUMIFS(DC_TIEN,DC_MA,$B78,DC_LOAI,"Cộng khác",DC_AP,"Có"))</f>
        <v/>
      </c>
      <c r="Z78" s="30" t="str">
        <f aca="false">IF(B78="","",SUM(R78:Y78))</f>
        <v/>
      </c>
      <c r="AA78" s="29" t="str">
        <f aca="false">IF(B78="","",IF(J78="Có",I78*BHXH_NLD,0))</f>
        <v/>
      </c>
      <c r="AB78" s="29" t="str">
        <f aca="false">IF(B78="","",SUMIFS(DC_TIEN,DC_MA,$B78,DC_LOAI,"Tạm ứng",DC_AP,"Có"))</f>
        <v/>
      </c>
      <c r="AC78" s="29" t="str">
        <f aca="false">IF(B78="","",SUMIFS(DC_TIEN,DC_MA,$B78,DC_LOAI,"Trừ khác",DC_AP,"Có"))</f>
        <v/>
      </c>
      <c r="AD78" s="29" t="str">
        <f aca="false">IF(B78="","",SUMIFS(DC_TIEN,DC_MA,$B78,DC_LOAI,"KPI trừ",DC_AP,"Có"))</f>
        <v/>
      </c>
      <c r="AE78" s="29" t="str">
        <f aca="false">IF(B78="","",SUM(AA78:AD78))</f>
        <v/>
      </c>
      <c r="AF78" s="30" t="str">
        <f aca="false">IF(B78="","",ROUNDDOWN(Z78-AE78,-3))</f>
        <v/>
      </c>
      <c r="AG78" s="20"/>
    </row>
    <row r="79" customFormat="false" ht="15" hidden="false" customHeight="false" outlineLevel="0" collapsed="false">
      <c r="A79" s="18" t="str">
        <f aca="false">IF(B79="","",ROW()-5)</f>
        <v/>
      </c>
      <c r="B79" s="28" t="str">
        <f aca="false">IF(BCC!B79="","",BCC!B79)</f>
        <v/>
      </c>
      <c r="C79" s="18" t="str">
        <f aca="false">IF(B79="","",IFERROR(INDEX(NV_TEN,MATCH(B79,NV_MA,0)),"MÃ KHÔNG CÓ"))</f>
        <v/>
      </c>
      <c r="D79" s="18" t="str">
        <f aca="false">IF(B79="","",IFERROR(INDEX(NV_PN,MATCH(B79,NV_MA,0)),""))</f>
        <v/>
      </c>
      <c r="E79" s="18" t="str">
        <f aca="false">IF(B79="","",IFERROR(INDEX(NV_HT,MATCH(B79,NV_MA,0)),""))</f>
        <v/>
      </c>
      <c r="F79" s="18" t="str">
        <f aca="false">IF(B79="","",IFERROR(INDEX(NV_CC,MATCH(B79,NV_MA,0)),""))</f>
        <v/>
      </c>
      <c r="G79" s="29" t="str">
        <f aca="false">IF(B79="","",IFERROR(INDEX(NV_CB,MATCH(B79,NV_MA,0)),""))</f>
        <v/>
      </c>
      <c r="H79" s="29" t="str">
        <f aca="false">IF(B79="","",IFERROR(INDEX(NV_TV,MATCH(B79,NV_MA,0)),""))</f>
        <v/>
      </c>
      <c r="I79" s="29" t="str">
        <f aca="false">IF(B79="","",IFERROR(INDEX(NV_BHXH,MATCH(B79,NV_MA,0)),""))</f>
        <v/>
      </c>
      <c r="J79" s="29" t="str">
        <f aca="false">IF(B79="","",IFERROR(INDEX(NV_DONG,MATCH(B79,NV_MA,0)),""))</f>
        <v/>
      </c>
      <c r="K79" s="29" t="str">
        <f aca="false">IF(B79="","",IFERROR(INDEX(NV_PC,MATCH(B79,NV_MA,0)),""))</f>
        <v/>
      </c>
      <c r="L79" s="18" t="str">
        <f aca="false">IF(B79="","",IFERROR(INDEX(NV_NHOMCC,MATCH(B79,NV_MA,0)),""))</f>
        <v/>
      </c>
      <c r="M79" s="25" t="str">
        <f aca="false">IF(B79="","",IFERROR(INDEX(BCC_CONG,MATCH(B79,BCC_MA,0)),0))</f>
        <v/>
      </c>
      <c r="N79" s="18" t="str">
        <f aca="false">IF(B79="","",IFERROR(INDEX(BCC_PHEP,MATCH(B79,BCC_MA,0)),0))</f>
        <v/>
      </c>
      <c r="O79" s="18" t="str">
        <f aca="false">IF(B79="","",IFERROR(INDEX(BCC_LE,MATCH(B79,BCC_MA,0)),0))</f>
        <v/>
      </c>
      <c r="P79" s="18" t="str">
        <f aca="false">IF(B79="","",IFERROR(INDEX(BCC_LEDL,MATCH(B79,BCC_MA,0)),0))</f>
        <v/>
      </c>
      <c r="Q79" s="18" t="str">
        <f aca="false">IF(B79="","",IFERROR(INDEX(BCC_CD,MATCH(B79,BCC_MA,0)),0))</f>
        <v/>
      </c>
      <c r="R79" s="29" t="str">
        <f aca="false">IF(B79="","",IF(E79="Khoán tháng",G79,IF(E79="Thử việc",IF(N(H79)&gt;0,H79,G79*TL_THUVIEC),G79)/F79*M79))</f>
        <v/>
      </c>
      <c r="S79" s="29" t="str">
        <f aca="false">IF(B79="","",IF(E79="Khoán tháng",0,I79/NGAY_CHIA*N79))</f>
        <v/>
      </c>
      <c r="T79" s="29" t="str">
        <f aca="false">IF(B79="","",IF(E79="Khoán tháng",0,I79/NGAY_CHIA*O79))</f>
        <v/>
      </c>
      <c r="U79" s="29" t="str">
        <f aca="false">IF(B79="","",IF(E79="Khoán tháng",0,G79/F79/GIO_CONG*P79*HS_LE))</f>
        <v/>
      </c>
      <c r="V79" s="29" t="str">
        <f aca="false">IF(B79="","",IF(E79="Khoán tháng",0,I79/NGAY_CHIA*Q79))</f>
        <v/>
      </c>
      <c r="W79" s="29" t="str">
        <f aca="false">IF(B79="","",IF(L79="Chung",IF(M79&gt;=CC_NGUONG,CC_TIEN,0),IF(L79="Cơ điện",IF(M79&gt;CD_N2,CD_T2,IF(M79&gt;CD_N1,CD_T1,0)),0))+SUMIFS(DC_TIEN,DC_MA,$B79,DC_LOAI,"Chuyên cần",DC_AP,"Có"))</f>
        <v/>
      </c>
      <c r="X79" s="29" t="str">
        <f aca="false">IF(B79="","",N(K79))</f>
        <v/>
      </c>
      <c r="Y79" s="29" t="str">
        <f aca="false">IF(B79="","",SUMIFS(DC_TIEN,DC_MA,$B79,DC_LOAI,"Truy lĩnh",DC_AP,"Có")+SUMIFS(DC_TIEN,DC_MA,$B79,DC_LOAI,"Cộng khác",DC_AP,"Có"))</f>
        <v/>
      </c>
      <c r="Z79" s="30" t="str">
        <f aca="false">IF(B79="","",SUM(R79:Y79))</f>
        <v/>
      </c>
      <c r="AA79" s="29" t="str">
        <f aca="false">IF(B79="","",IF(J79="Có",I79*BHXH_NLD,0))</f>
        <v/>
      </c>
      <c r="AB79" s="29" t="str">
        <f aca="false">IF(B79="","",SUMIFS(DC_TIEN,DC_MA,$B79,DC_LOAI,"Tạm ứng",DC_AP,"Có"))</f>
        <v/>
      </c>
      <c r="AC79" s="29" t="str">
        <f aca="false">IF(B79="","",SUMIFS(DC_TIEN,DC_MA,$B79,DC_LOAI,"Trừ khác",DC_AP,"Có"))</f>
        <v/>
      </c>
      <c r="AD79" s="29" t="str">
        <f aca="false">IF(B79="","",SUMIFS(DC_TIEN,DC_MA,$B79,DC_LOAI,"KPI trừ",DC_AP,"Có"))</f>
        <v/>
      </c>
      <c r="AE79" s="29" t="str">
        <f aca="false">IF(B79="","",SUM(AA79:AD79))</f>
        <v/>
      </c>
      <c r="AF79" s="30" t="str">
        <f aca="false">IF(B79="","",ROUNDDOWN(Z79-AE79,-3))</f>
        <v/>
      </c>
      <c r="AG79" s="20"/>
    </row>
    <row r="80" customFormat="false" ht="15" hidden="false" customHeight="false" outlineLevel="0" collapsed="false">
      <c r="A80" s="18" t="str">
        <f aca="false">IF(B80="","",ROW()-5)</f>
        <v/>
      </c>
      <c r="B80" s="28" t="str">
        <f aca="false">IF(BCC!B80="","",BCC!B80)</f>
        <v/>
      </c>
      <c r="C80" s="18" t="str">
        <f aca="false">IF(B80="","",IFERROR(INDEX(NV_TEN,MATCH(B80,NV_MA,0)),"MÃ KHÔNG CÓ"))</f>
        <v/>
      </c>
      <c r="D80" s="18" t="str">
        <f aca="false">IF(B80="","",IFERROR(INDEX(NV_PN,MATCH(B80,NV_MA,0)),""))</f>
        <v/>
      </c>
      <c r="E80" s="18" t="str">
        <f aca="false">IF(B80="","",IFERROR(INDEX(NV_HT,MATCH(B80,NV_MA,0)),""))</f>
        <v/>
      </c>
      <c r="F80" s="18" t="str">
        <f aca="false">IF(B80="","",IFERROR(INDEX(NV_CC,MATCH(B80,NV_MA,0)),""))</f>
        <v/>
      </c>
      <c r="G80" s="29" t="str">
        <f aca="false">IF(B80="","",IFERROR(INDEX(NV_CB,MATCH(B80,NV_MA,0)),""))</f>
        <v/>
      </c>
      <c r="H80" s="29" t="str">
        <f aca="false">IF(B80="","",IFERROR(INDEX(NV_TV,MATCH(B80,NV_MA,0)),""))</f>
        <v/>
      </c>
      <c r="I80" s="29" t="str">
        <f aca="false">IF(B80="","",IFERROR(INDEX(NV_BHXH,MATCH(B80,NV_MA,0)),""))</f>
        <v/>
      </c>
      <c r="J80" s="29" t="str">
        <f aca="false">IF(B80="","",IFERROR(INDEX(NV_DONG,MATCH(B80,NV_MA,0)),""))</f>
        <v/>
      </c>
      <c r="K80" s="29" t="str">
        <f aca="false">IF(B80="","",IFERROR(INDEX(NV_PC,MATCH(B80,NV_MA,0)),""))</f>
        <v/>
      </c>
      <c r="L80" s="18" t="str">
        <f aca="false">IF(B80="","",IFERROR(INDEX(NV_NHOMCC,MATCH(B80,NV_MA,0)),""))</f>
        <v/>
      </c>
      <c r="M80" s="25" t="str">
        <f aca="false">IF(B80="","",IFERROR(INDEX(BCC_CONG,MATCH(B80,BCC_MA,0)),0))</f>
        <v/>
      </c>
      <c r="N80" s="18" t="str">
        <f aca="false">IF(B80="","",IFERROR(INDEX(BCC_PHEP,MATCH(B80,BCC_MA,0)),0))</f>
        <v/>
      </c>
      <c r="O80" s="18" t="str">
        <f aca="false">IF(B80="","",IFERROR(INDEX(BCC_LE,MATCH(B80,BCC_MA,0)),0))</f>
        <v/>
      </c>
      <c r="P80" s="18" t="str">
        <f aca="false">IF(B80="","",IFERROR(INDEX(BCC_LEDL,MATCH(B80,BCC_MA,0)),0))</f>
        <v/>
      </c>
      <c r="Q80" s="18" t="str">
        <f aca="false">IF(B80="","",IFERROR(INDEX(BCC_CD,MATCH(B80,BCC_MA,0)),0))</f>
        <v/>
      </c>
      <c r="R80" s="29" t="str">
        <f aca="false">IF(B80="","",IF(E80="Khoán tháng",G80,IF(E80="Thử việc",IF(N(H80)&gt;0,H80,G80*TL_THUVIEC),G80)/F80*M80))</f>
        <v/>
      </c>
      <c r="S80" s="29" t="str">
        <f aca="false">IF(B80="","",IF(E80="Khoán tháng",0,I80/NGAY_CHIA*N80))</f>
        <v/>
      </c>
      <c r="T80" s="29" t="str">
        <f aca="false">IF(B80="","",IF(E80="Khoán tháng",0,I80/NGAY_CHIA*O80))</f>
        <v/>
      </c>
      <c r="U80" s="29" t="str">
        <f aca="false">IF(B80="","",IF(E80="Khoán tháng",0,G80/F80/GIO_CONG*P80*HS_LE))</f>
        <v/>
      </c>
      <c r="V80" s="29" t="str">
        <f aca="false">IF(B80="","",IF(E80="Khoán tháng",0,I80/NGAY_CHIA*Q80))</f>
        <v/>
      </c>
      <c r="W80" s="29" t="str">
        <f aca="false">IF(B80="","",IF(L80="Chung",IF(M80&gt;=CC_NGUONG,CC_TIEN,0),IF(L80="Cơ điện",IF(M80&gt;CD_N2,CD_T2,IF(M80&gt;CD_N1,CD_T1,0)),0))+SUMIFS(DC_TIEN,DC_MA,$B80,DC_LOAI,"Chuyên cần",DC_AP,"Có"))</f>
        <v/>
      </c>
      <c r="X80" s="29" t="str">
        <f aca="false">IF(B80="","",N(K80))</f>
        <v/>
      </c>
      <c r="Y80" s="29" t="str">
        <f aca="false">IF(B80="","",SUMIFS(DC_TIEN,DC_MA,$B80,DC_LOAI,"Truy lĩnh",DC_AP,"Có")+SUMIFS(DC_TIEN,DC_MA,$B80,DC_LOAI,"Cộng khác",DC_AP,"Có"))</f>
        <v/>
      </c>
      <c r="Z80" s="30" t="str">
        <f aca="false">IF(B80="","",SUM(R80:Y80))</f>
        <v/>
      </c>
      <c r="AA80" s="29" t="str">
        <f aca="false">IF(B80="","",IF(J80="Có",I80*BHXH_NLD,0))</f>
        <v/>
      </c>
      <c r="AB80" s="29" t="str">
        <f aca="false">IF(B80="","",SUMIFS(DC_TIEN,DC_MA,$B80,DC_LOAI,"Tạm ứng",DC_AP,"Có"))</f>
        <v/>
      </c>
      <c r="AC80" s="29" t="str">
        <f aca="false">IF(B80="","",SUMIFS(DC_TIEN,DC_MA,$B80,DC_LOAI,"Trừ khác",DC_AP,"Có"))</f>
        <v/>
      </c>
      <c r="AD80" s="29" t="str">
        <f aca="false">IF(B80="","",SUMIFS(DC_TIEN,DC_MA,$B80,DC_LOAI,"KPI trừ",DC_AP,"Có"))</f>
        <v/>
      </c>
      <c r="AE80" s="29" t="str">
        <f aca="false">IF(B80="","",SUM(AA80:AD80))</f>
        <v/>
      </c>
      <c r="AF80" s="30" t="str">
        <f aca="false">IF(B80="","",ROUNDDOWN(Z80-AE80,-3))</f>
        <v/>
      </c>
      <c r="AG80" s="20"/>
    </row>
    <row r="81" customFormat="false" ht="15" hidden="false" customHeight="false" outlineLevel="0" collapsed="false">
      <c r="A81" s="18" t="str">
        <f aca="false">IF(B81="","",ROW()-5)</f>
        <v/>
      </c>
      <c r="B81" s="28" t="str">
        <f aca="false">IF(BCC!B81="","",BCC!B81)</f>
        <v/>
      </c>
      <c r="C81" s="18" t="str">
        <f aca="false">IF(B81="","",IFERROR(INDEX(NV_TEN,MATCH(B81,NV_MA,0)),"MÃ KHÔNG CÓ"))</f>
        <v/>
      </c>
      <c r="D81" s="18" t="str">
        <f aca="false">IF(B81="","",IFERROR(INDEX(NV_PN,MATCH(B81,NV_MA,0)),""))</f>
        <v/>
      </c>
      <c r="E81" s="18" t="str">
        <f aca="false">IF(B81="","",IFERROR(INDEX(NV_HT,MATCH(B81,NV_MA,0)),""))</f>
        <v/>
      </c>
      <c r="F81" s="18" t="str">
        <f aca="false">IF(B81="","",IFERROR(INDEX(NV_CC,MATCH(B81,NV_MA,0)),""))</f>
        <v/>
      </c>
      <c r="G81" s="29" t="str">
        <f aca="false">IF(B81="","",IFERROR(INDEX(NV_CB,MATCH(B81,NV_MA,0)),""))</f>
        <v/>
      </c>
      <c r="H81" s="29" t="str">
        <f aca="false">IF(B81="","",IFERROR(INDEX(NV_TV,MATCH(B81,NV_MA,0)),""))</f>
        <v/>
      </c>
      <c r="I81" s="29" t="str">
        <f aca="false">IF(B81="","",IFERROR(INDEX(NV_BHXH,MATCH(B81,NV_MA,0)),""))</f>
        <v/>
      </c>
      <c r="J81" s="29" t="str">
        <f aca="false">IF(B81="","",IFERROR(INDEX(NV_DONG,MATCH(B81,NV_MA,0)),""))</f>
        <v/>
      </c>
      <c r="K81" s="29" t="str">
        <f aca="false">IF(B81="","",IFERROR(INDEX(NV_PC,MATCH(B81,NV_MA,0)),""))</f>
        <v/>
      </c>
      <c r="L81" s="18" t="str">
        <f aca="false">IF(B81="","",IFERROR(INDEX(NV_NHOMCC,MATCH(B81,NV_MA,0)),""))</f>
        <v/>
      </c>
      <c r="M81" s="25" t="str">
        <f aca="false">IF(B81="","",IFERROR(INDEX(BCC_CONG,MATCH(B81,BCC_MA,0)),0))</f>
        <v/>
      </c>
      <c r="N81" s="18" t="str">
        <f aca="false">IF(B81="","",IFERROR(INDEX(BCC_PHEP,MATCH(B81,BCC_MA,0)),0))</f>
        <v/>
      </c>
      <c r="O81" s="18" t="str">
        <f aca="false">IF(B81="","",IFERROR(INDEX(BCC_LE,MATCH(B81,BCC_MA,0)),0))</f>
        <v/>
      </c>
      <c r="P81" s="18" t="str">
        <f aca="false">IF(B81="","",IFERROR(INDEX(BCC_LEDL,MATCH(B81,BCC_MA,0)),0))</f>
        <v/>
      </c>
      <c r="Q81" s="18" t="str">
        <f aca="false">IF(B81="","",IFERROR(INDEX(BCC_CD,MATCH(B81,BCC_MA,0)),0))</f>
        <v/>
      </c>
      <c r="R81" s="29" t="str">
        <f aca="false">IF(B81="","",IF(E81="Khoán tháng",G81,IF(E81="Thử việc",IF(N(H81)&gt;0,H81,G81*TL_THUVIEC),G81)/F81*M81))</f>
        <v/>
      </c>
      <c r="S81" s="29" t="str">
        <f aca="false">IF(B81="","",IF(E81="Khoán tháng",0,I81/NGAY_CHIA*N81))</f>
        <v/>
      </c>
      <c r="T81" s="29" t="str">
        <f aca="false">IF(B81="","",IF(E81="Khoán tháng",0,I81/NGAY_CHIA*O81))</f>
        <v/>
      </c>
      <c r="U81" s="29" t="str">
        <f aca="false">IF(B81="","",IF(E81="Khoán tháng",0,G81/F81/GIO_CONG*P81*HS_LE))</f>
        <v/>
      </c>
      <c r="V81" s="29" t="str">
        <f aca="false">IF(B81="","",IF(E81="Khoán tháng",0,I81/NGAY_CHIA*Q81))</f>
        <v/>
      </c>
      <c r="W81" s="29" t="str">
        <f aca="false">IF(B81="","",IF(L81="Chung",IF(M81&gt;=CC_NGUONG,CC_TIEN,0),IF(L81="Cơ điện",IF(M81&gt;CD_N2,CD_T2,IF(M81&gt;CD_N1,CD_T1,0)),0))+SUMIFS(DC_TIEN,DC_MA,$B81,DC_LOAI,"Chuyên cần",DC_AP,"Có"))</f>
        <v/>
      </c>
      <c r="X81" s="29" t="str">
        <f aca="false">IF(B81="","",N(K81))</f>
        <v/>
      </c>
      <c r="Y81" s="29" t="str">
        <f aca="false">IF(B81="","",SUMIFS(DC_TIEN,DC_MA,$B81,DC_LOAI,"Truy lĩnh",DC_AP,"Có")+SUMIFS(DC_TIEN,DC_MA,$B81,DC_LOAI,"Cộng khác",DC_AP,"Có"))</f>
        <v/>
      </c>
      <c r="Z81" s="30" t="str">
        <f aca="false">IF(B81="","",SUM(R81:Y81))</f>
        <v/>
      </c>
      <c r="AA81" s="29" t="str">
        <f aca="false">IF(B81="","",IF(J81="Có",I81*BHXH_NLD,0))</f>
        <v/>
      </c>
      <c r="AB81" s="29" t="str">
        <f aca="false">IF(B81="","",SUMIFS(DC_TIEN,DC_MA,$B81,DC_LOAI,"Tạm ứng",DC_AP,"Có"))</f>
        <v/>
      </c>
      <c r="AC81" s="29" t="str">
        <f aca="false">IF(B81="","",SUMIFS(DC_TIEN,DC_MA,$B81,DC_LOAI,"Trừ khác",DC_AP,"Có"))</f>
        <v/>
      </c>
      <c r="AD81" s="29" t="str">
        <f aca="false">IF(B81="","",SUMIFS(DC_TIEN,DC_MA,$B81,DC_LOAI,"KPI trừ",DC_AP,"Có"))</f>
        <v/>
      </c>
      <c r="AE81" s="29" t="str">
        <f aca="false">IF(B81="","",SUM(AA81:AD81))</f>
        <v/>
      </c>
      <c r="AF81" s="30" t="str">
        <f aca="false">IF(B81="","",ROUNDDOWN(Z81-AE81,-3))</f>
        <v/>
      </c>
      <c r="AG81" s="20"/>
    </row>
    <row r="82" customFormat="false" ht="15" hidden="false" customHeight="false" outlineLevel="0" collapsed="false">
      <c r="A82" s="18" t="str">
        <f aca="false">IF(B82="","",ROW()-5)</f>
        <v/>
      </c>
      <c r="B82" s="28" t="str">
        <f aca="false">IF(BCC!B82="","",BCC!B82)</f>
        <v/>
      </c>
      <c r="C82" s="18" t="str">
        <f aca="false">IF(B82="","",IFERROR(INDEX(NV_TEN,MATCH(B82,NV_MA,0)),"MÃ KHÔNG CÓ"))</f>
        <v/>
      </c>
      <c r="D82" s="18" t="str">
        <f aca="false">IF(B82="","",IFERROR(INDEX(NV_PN,MATCH(B82,NV_MA,0)),""))</f>
        <v/>
      </c>
      <c r="E82" s="18" t="str">
        <f aca="false">IF(B82="","",IFERROR(INDEX(NV_HT,MATCH(B82,NV_MA,0)),""))</f>
        <v/>
      </c>
      <c r="F82" s="18" t="str">
        <f aca="false">IF(B82="","",IFERROR(INDEX(NV_CC,MATCH(B82,NV_MA,0)),""))</f>
        <v/>
      </c>
      <c r="G82" s="29" t="str">
        <f aca="false">IF(B82="","",IFERROR(INDEX(NV_CB,MATCH(B82,NV_MA,0)),""))</f>
        <v/>
      </c>
      <c r="H82" s="29" t="str">
        <f aca="false">IF(B82="","",IFERROR(INDEX(NV_TV,MATCH(B82,NV_MA,0)),""))</f>
        <v/>
      </c>
      <c r="I82" s="29" t="str">
        <f aca="false">IF(B82="","",IFERROR(INDEX(NV_BHXH,MATCH(B82,NV_MA,0)),""))</f>
        <v/>
      </c>
      <c r="J82" s="29" t="str">
        <f aca="false">IF(B82="","",IFERROR(INDEX(NV_DONG,MATCH(B82,NV_MA,0)),""))</f>
        <v/>
      </c>
      <c r="K82" s="29" t="str">
        <f aca="false">IF(B82="","",IFERROR(INDEX(NV_PC,MATCH(B82,NV_MA,0)),""))</f>
        <v/>
      </c>
      <c r="L82" s="18" t="str">
        <f aca="false">IF(B82="","",IFERROR(INDEX(NV_NHOMCC,MATCH(B82,NV_MA,0)),""))</f>
        <v/>
      </c>
      <c r="M82" s="25" t="str">
        <f aca="false">IF(B82="","",IFERROR(INDEX(BCC_CONG,MATCH(B82,BCC_MA,0)),0))</f>
        <v/>
      </c>
      <c r="N82" s="18" t="str">
        <f aca="false">IF(B82="","",IFERROR(INDEX(BCC_PHEP,MATCH(B82,BCC_MA,0)),0))</f>
        <v/>
      </c>
      <c r="O82" s="18" t="str">
        <f aca="false">IF(B82="","",IFERROR(INDEX(BCC_LE,MATCH(B82,BCC_MA,0)),0))</f>
        <v/>
      </c>
      <c r="P82" s="18" t="str">
        <f aca="false">IF(B82="","",IFERROR(INDEX(BCC_LEDL,MATCH(B82,BCC_MA,0)),0))</f>
        <v/>
      </c>
      <c r="Q82" s="18" t="str">
        <f aca="false">IF(B82="","",IFERROR(INDEX(BCC_CD,MATCH(B82,BCC_MA,0)),0))</f>
        <v/>
      </c>
      <c r="R82" s="29" t="str">
        <f aca="false">IF(B82="","",IF(E82="Khoán tháng",G82,IF(E82="Thử việc",IF(N(H82)&gt;0,H82,G82*TL_THUVIEC),G82)/F82*M82))</f>
        <v/>
      </c>
      <c r="S82" s="29" t="str">
        <f aca="false">IF(B82="","",IF(E82="Khoán tháng",0,I82/NGAY_CHIA*N82))</f>
        <v/>
      </c>
      <c r="T82" s="29" t="str">
        <f aca="false">IF(B82="","",IF(E82="Khoán tháng",0,I82/NGAY_CHIA*O82))</f>
        <v/>
      </c>
      <c r="U82" s="29" t="str">
        <f aca="false">IF(B82="","",IF(E82="Khoán tháng",0,G82/F82/GIO_CONG*P82*HS_LE))</f>
        <v/>
      </c>
      <c r="V82" s="29" t="str">
        <f aca="false">IF(B82="","",IF(E82="Khoán tháng",0,I82/NGAY_CHIA*Q82))</f>
        <v/>
      </c>
      <c r="W82" s="29" t="str">
        <f aca="false">IF(B82="","",IF(L82="Chung",IF(M82&gt;=CC_NGUONG,CC_TIEN,0),IF(L82="Cơ điện",IF(M82&gt;CD_N2,CD_T2,IF(M82&gt;CD_N1,CD_T1,0)),0))+SUMIFS(DC_TIEN,DC_MA,$B82,DC_LOAI,"Chuyên cần",DC_AP,"Có"))</f>
        <v/>
      </c>
      <c r="X82" s="29" t="str">
        <f aca="false">IF(B82="","",N(K82))</f>
        <v/>
      </c>
      <c r="Y82" s="29" t="str">
        <f aca="false">IF(B82="","",SUMIFS(DC_TIEN,DC_MA,$B82,DC_LOAI,"Truy lĩnh",DC_AP,"Có")+SUMIFS(DC_TIEN,DC_MA,$B82,DC_LOAI,"Cộng khác",DC_AP,"Có"))</f>
        <v/>
      </c>
      <c r="Z82" s="30" t="str">
        <f aca="false">IF(B82="","",SUM(R82:Y82))</f>
        <v/>
      </c>
      <c r="AA82" s="29" t="str">
        <f aca="false">IF(B82="","",IF(J82="Có",I82*BHXH_NLD,0))</f>
        <v/>
      </c>
      <c r="AB82" s="29" t="str">
        <f aca="false">IF(B82="","",SUMIFS(DC_TIEN,DC_MA,$B82,DC_LOAI,"Tạm ứng",DC_AP,"Có"))</f>
        <v/>
      </c>
      <c r="AC82" s="29" t="str">
        <f aca="false">IF(B82="","",SUMIFS(DC_TIEN,DC_MA,$B82,DC_LOAI,"Trừ khác",DC_AP,"Có"))</f>
        <v/>
      </c>
      <c r="AD82" s="29" t="str">
        <f aca="false">IF(B82="","",SUMIFS(DC_TIEN,DC_MA,$B82,DC_LOAI,"KPI trừ",DC_AP,"Có"))</f>
        <v/>
      </c>
      <c r="AE82" s="29" t="str">
        <f aca="false">IF(B82="","",SUM(AA82:AD82))</f>
        <v/>
      </c>
      <c r="AF82" s="30" t="str">
        <f aca="false">IF(B82="","",ROUNDDOWN(Z82-AE82,-3))</f>
        <v/>
      </c>
      <c r="AG82" s="20"/>
    </row>
    <row r="83" customFormat="false" ht="15" hidden="false" customHeight="false" outlineLevel="0" collapsed="false">
      <c r="A83" s="18" t="str">
        <f aca="false">IF(B83="","",ROW()-5)</f>
        <v/>
      </c>
      <c r="B83" s="28" t="str">
        <f aca="false">IF(BCC!B83="","",BCC!B83)</f>
        <v/>
      </c>
      <c r="C83" s="18" t="str">
        <f aca="false">IF(B83="","",IFERROR(INDEX(NV_TEN,MATCH(B83,NV_MA,0)),"MÃ KHÔNG CÓ"))</f>
        <v/>
      </c>
      <c r="D83" s="18" t="str">
        <f aca="false">IF(B83="","",IFERROR(INDEX(NV_PN,MATCH(B83,NV_MA,0)),""))</f>
        <v/>
      </c>
      <c r="E83" s="18" t="str">
        <f aca="false">IF(B83="","",IFERROR(INDEX(NV_HT,MATCH(B83,NV_MA,0)),""))</f>
        <v/>
      </c>
      <c r="F83" s="18" t="str">
        <f aca="false">IF(B83="","",IFERROR(INDEX(NV_CC,MATCH(B83,NV_MA,0)),""))</f>
        <v/>
      </c>
      <c r="G83" s="29" t="str">
        <f aca="false">IF(B83="","",IFERROR(INDEX(NV_CB,MATCH(B83,NV_MA,0)),""))</f>
        <v/>
      </c>
      <c r="H83" s="29" t="str">
        <f aca="false">IF(B83="","",IFERROR(INDEX(NV_TV,MATCH(B83,NV_MA,0)),""))</f>
        <v/>
      </c>
      <c r="I83" s="29" t="str">
        <f aca="false">IF(B83="","",IFERROR(INDEX(NV_BHXH,MATCH(B83,NV_MA,0)),""))</f>
        <v/>
      </c>
      <c r="J83" s="29" t="str">
        <f aca="false">IF(B83="","",IFERROR(INDEX(NV_DONG,MATCH(B83,NV_MA,0)),""))</f>
        <v/>
      </c>
      <c r="K83" s="29" t="str">
        <f aca="false">IF(B83="","",IFERROR(INDEX(NV_PC,MATCH(B83,NV_MA,0)),""))</f>
        <v/>
      </c>
      <c r="L83" s="18" t="str">
        <f aca="false">IF(B83="","",IFERROR(INDEX(NV_NHOMCC,MATCH(B83,NV_MA,0)),""))</f>
        <v/>
      </c>
      <c r="M83" s="25" t="str">
        <f aca="false">IF(B83="","",IFERROR(INDEX(BCC_CONG,MATCH(B83,BCC_MA,0)),0))</f>
        <v/>
      </c>
      <c r="N83" s="18" t="str">
        <f aca="false">IF(B83="","",IFERROR(INDEX(BCC_PHEP,MATCH(B83,BCC_MA,0)),0))</f>
        <v/>
      </c>
      <c r="O83" s="18" t="str">
        <f aca="false">IF(B83="","",IFERROR(INDEX(BCC_LE,MATCH(B83,BCC_MA,0)),0))</f>
        <v/>
      </c>
      <c r="P83" s="18" t="str">
        <f aca="false">IF(B83="","",IFERROR(INDEX(BCC_LEDL,MATCH(B83,BCC_MA,0)),0))</f>
        <v/>
      </c>
      <c r="Q83" s="18" t="str">
        <f aca="false">IF(B83="","",IFERROR(INDEX(BCC_CD,MATCH(B83,BCC_MA,0)),0))</f>
        <v/>
      </c>
      <c r="R83" s="29" t="str">
        <f aca="false">IF(B83="","",IF(E83="Khoán tháng",G83,IF(E83="Thử việc",IF(N(H83)&gt;0,H83,G83*TL_THUVIEC),G83)/F83*M83))</f>
        <v/>
      </c>
      <c r="S83" s="29" t="str">
        <f aca="false">IF(B83="","",IF(E83="Khoán tháng",0,I83/NGAY_CHIA*N83))</f>
        <v/>
      </c>
      <c r="T83" s="29" t="str">
        <f aca="false">IF(B83="","",IF(E83="Khoán tháng",0,I83/NGAY_CHIA*O83))</f>
        <v/>
      </c>
      <c r="U83" s="29" t="str">
        <f aca="false">IF(B83="","",IF(E83="Khoán tháng",0,G83/F83/GIO_CONG*P83*HS_LE))</f>
        <v/>
      </c>
      <c r="V83" s="29" t="str">
        <f aca="false">IF(B83="","",IF(E83="Khoán tháng",0,I83/NGAY_CHIA*Q83))</f>
        <v/>
      </c>
      <c r="W83" s="29" t="str">
        <f aca="false">IF(B83="","",IF(L83="Chung",IF(M83&gt;=CC_NGUONG,CC_TIEN,0),IF(L83="Cơ điện",IF(M83&gt;CD_N2,CD_T2,IF(M83&gt;CD_N1,CD_T1,0)),0))+SUMIFS(DC_TIEN,DC_MA,$B83,DC_LOAI,"Chuyên cần",DC_AP,"Có"))</f>
        <v/>
      </c>
      <c r="X83" s="29" t="str">
        <f aca="false">IF(B83="","",N(K83))</f>
        <v/>
      </c>
      <c r="Y83" s="29" t="str">
        <f aca="false">IF(B83="","",SUMIFS(DC_TIEN,DC_MA,$B83,DC_LOAI,"Truy lĩnh",DC_AP,"Có")+SUMIFS(DC_TIEN,DC_MA,$B83,DC_LOAI,"Cộng khác",DC_AP,"Có"))</f>
        <v/>
      </c>
      <c r="Z83" s="30" t="str">
        <f aca="false">IF(B83="","",SUM(R83:Y83))</f>
        <v/>
      </c>
      <c r="AA83" s="29" t="str">
        <f aca="false">IF(B83="","",IF(J83="Có",I83*BHXH_NLD,0))</f>
        <v/>
      </c>
      <c r="AB83" s="29" t="str">
        <f aca="false">IF(B83="","",SUMIFS(DC_TIEN,DC_MA,$B83,DC_LOAI,"Tạm ứng",DC_AP,"Có"))</f>
        <v/>
      </c>
      <c r="AC83" s="29" t="str">
        <f aca="false">IF(B83="","",SUMIFS(DC_TIEN,DC_MA,$B83,DC_LOAI,"Trừ khác",DC_AP,"Có"))</f>
        <v/>
      </c>
      <c r="AD83" s="29" t="str">
        <f aca="false">IF(B83="","",SUMIFS(DC_TIEN,DC_MA,$B83,DC_LOAI,"KPI trừ",DC_AP,"Có"))</f>
        <v/>
      </c>
      <c r="AE83" s="29" t="str">
        <f aca="false">IF(B83="","",SUM(AA83:AD83))</f>
        <v/>
      </c>
      <c r="AF83" s="30" t="str">
        <f aca="false">IF(B83="","",ROUNDDOWN(Z83-AE83,-3))</f>
        <v/>
      </c>
      <c r="AG83" s="20"/>
    </row>
    <row r="84" customFormat="false" ht="15" hidden="false" customHeight="false" outlineLevel="0" collapsed="false">
      <c r="A84" s="18" t="str">
        <f aca="false">IF(B84="","",ROW()-5)</f>
        <v/>
      </c>
      <c r="B84" s="28" t="str">
        <f aca="false">IF(BCC!B84="","",BCC!B84)</f>
        <v/>
      </c>
      <c r="C84" s="18" t="str">
        <f aca="false">IF(B84="","",IFERROR(INDEX(NV_TEN,MATCH(B84,NV_MA,0)),"MÃ KHÔNG CÓ"))</f>
        <v/>
      </c>
      <c r="D84" s="18" t="str">
        <f aca="false">IF(B84="","",IFERROR(INDEX(NV_PN,MATCH(B84,NV_MA,0)),""))</f>
        <v/>
      </c>
      <c r="E84" s="18" t="str">
        <f aca="false">IF(B84="","",IFERROR(INDEX(NV_HT,MATCH(B84,NV_MA,0)),""))</f>
        <v/>
      </c>
      <c r="F84" s="18" t="str">
        <f aca="false">IF(B84="","",IFERROR(INDEX(NV_CC,MATCH(B84,NV_MA,0)),""))</f>
        <v/>
      </c>
      <c r="G84" s="29" t="str">
        <f aca="false">IF(B84="","",IFERROR(INDEX(NV_CB,MATCH(B84,NV_MA,0)),""))</f>
        <v/>
      </c>
      <c r="H84" s="29" t="str">
        <f aca="false">IF(B84="","",IFERROR(INDEX(NV_TV,MATCH(B84,NV_MA,0)),""))</f>
        <v/>
      </c>
      <c r="I84" s="29" t="str">
        <f aca="false">IF(B84="","",IFERROR(INDEX(NV_BHXH,MATCH(B84,NV_MA,0)),""))</f>
        <v/>
      </c>
      <c r="J84" s="29" t="str">
        <f aca="false">IF(B84="","",IFERROR(INDEX(NV_DONG,MATCH(B84,NV_MA,0)),""))</f>
        <v/>
      </c>
      <c r="K84" s="29" t="str">
        <f aca="false">IF(B84="","",IFERROR(INDEX(NV_PC,MATCH(B84,NV_MA,0)),""))</f>
        <v/>
      </c>
      <c r="L84" s="18" t="str">
        <f aca="false">IF(B84="","",IFERROR(INDEX(NV_NHOMCC,MATCH(B84,NV_MA,0)),""))</f>
        <v/>
      </c>
      <c r="M84" s="25" t="str">
        <f aca="false">IF(B84="","",IFERROR(INDEX(BCC_CONG,MATCH(B84,BCC_MA,0)),0))</f>
        <v/>
      </c>
      <c r="N84" s="18" t="str">
        <f aca="false">IF(B84="","",IFERROR(INDEX(BCC_PHEP,MATCH(B84,BCC_MA,0)),0))</f>
        <v/>
      </c>
      <c r="O84" s="18" t="str">
        <f aca="false">IF(B84="","",IFERROR(INDEX(BCC_LE,MATCH(B84,BCC_MA,0)),0))</f>
        <v/>
      </c>
      <c r="P84" s="18" t="str">
        <f aca="false">IF(B84="","",IFERROR(INDEX(BCC_LEDL,MATCH(B84,BCC_MA,0)),0))</f>
        <v/>
      </c>
      <c r="Q84" s="18" t="str">
        <f aca="false">IF(B84="","",IFERROR(INDEX(BCC_CD,MATCH(B84,BCC_MA,0)),0))</f>
        <v/>
      </c>
      <c r="R84" s="29" t="str">
        <f aca="false">IF(B84="","",IF(E84="Khoán tháng",G84,IF(E84="Thử việc",IF(N(H84)&gt;0,H84,G84*TL_THUVIEC),G84)/F84*M84))</f>
        <v/>
      </c>
      <c r="S84" s="29" t="str">
        <f aca="false">IF(B84="","",IF(E84="Khoán tháng",0,I84/NGAY_CHIA*N84))</f>
        <v/>
      </c>
      <c r="T84" s="29" t="str">
        <f aca="false">IF(B84="","",IF(E84="Khoán tháng",0,I84/NGAY_CHIA*O84))</f>
        <v/>
      </c>
      <c r="U84" s="29" t="str">
        <f aca="false">IF(B84="","",IF(E84="Khoán tháng",0,G84/F84/GIO_CONG*P84*HS_LE))</f>
        <v/>
      </c>
      <c r="V84" s="29" t="str">
        <f aca="false">IF(B84="","",IF(E84="Khoán tháng",0,I84/NGAY_CHIA*Q84))</f>
        <v/>
      </c>
      <c r="W84" s="29" t="str">
        <f aca="false">IF(B84="","",IF(L84="Chung",IF(M84&gt;=CC_NGUONG,CC_TIEN,0),IF(L84="Cơ điện",IF(M84&gt;CD_N2,CD_T2,IF(M84&gt;CD_N1,CD_T1,0)),0))+SUMIFS(DC_TIEN,DC_MA,$B84,DC_LOAI,"Chuyên cần",DC_AP,"Có"))</f>
        <v/>
      </c>
      <c r="X84" s="29" t="str">
        <f aca="false">IF(B84="","",N(K84))</f>
        <v/>
      </c>
      <c r="Y84" s="29" t="str">
        <f aca="false">IF(B84="","",SUMIFS(DC_TIEN,DC_MA,$B84,DC_LOAI,"Truy lĩnh",DC_AP,"Có")+SUMIFS(DC_TIEN,DC_MA,$B84,DC_LOAI,"Cộng khác",DC_AP,"Có"))</f>
        <v/>
      </c>
      <c r="Z84" s="30" t="str">
        <f aca="false">IF(B84="","",SUM(R84:Y84))</f>
        <v/>
      </c>
      <c r="AA84" s="29" t="str">
        <f aca="false">IF(B84="","",IF(J84="Có",I84*BHXH_NLD,0))</f>
        <v/>
      </c>
      <c r="AB84" s="29" t="str">
        <f aca="false">IF(B84="","",SUMIFS(DC_TIEN,DC_MA,$B84,DC_LOAI,"Tạm ứng",DC_AP,"Có"))</f>
        <v/>
      </c>
      <c r="AC84" s="29" t="str">
        <f aca="false">IF(B84="","",SUMIFS(DC_TIEN,DC_MA,$B84,DC_LOAI,"Trừ khác",DC_AP,"Có"))</f>
        <v/>
      </c>
      <c r="AD84" s="29" t="str">
        <f aca="false">IF(B84="","",SUMIFS(DC_TIEN,DC_MA,$B84,DC_LOAI,"KPI trừ",DC_AP,"Có"))</f>
        <v/>
      </c>
      <c r="AE84" s="29" t="str">
        <f aca="false">IF(B84="","",SUM(AA84:AD84))</f>
        <v/>
      </c>
      <c r="AF84" s="30" t="str">
        <f aca="false">IF(B84="","",ROUNDDOWN(Z84-AE84,-3))</f>
        <v/>
      </c>
      <c r="AG84" s="20"/>
    </row>
    <row r="85" customFormat="false" ht="15" hidden="false" customHeight="false" outlineLevel="0" collapsed="false">
      <c r="A85" s="18" t="str">
        <f aca="false">IF(B85="","",ROW()-5)</f>
        <v/>
      </c>
      <c r="B85" s="28" t="str">
        <f aca="false">IF(BCC!B85="","",BCC!B85)</f>
        <v/>
      </c>
      <c r="C85" s="18" t="str">
        <f aca="false">IF(B85="","",IFERROR(INDEX(NV_TEN,MATCH(B85,NV_MA,0)),"MÃ KHÔNG CÓ"))</f>
        <v/>
      </c>
      <c r="D85" s="18" t="str">
        <f aca="false">IF(B85="","",IFERROR(INDEX(NV_PN,MATCH(B85,NV_MA,0)),""))</f>
        <v/>
      </c>
      <c r="E85" s="18" t="str">
        <f aca="false">IF(B85="","",IFERROR(INDEX(NV_HT,MATCH(B85,NV_MA,0)),""))</f>
        <v/>
      </c>
      <c r="F85" s="18" t="str">
        <f aca="false">IF(B85="","",IFERROR(INDEX(NV_CC,MATCH(B85,NV_MA,0)),""))</f>
        <v/>
      </c>
      <c r="G85" s="29" t="str">
        <f aca="false">IF(B85="","",IFERROR(INDEX(NV_CB,MATCH(B85,NV_MA,0)),""))</f>
        <v/>
      </c>
      <c r="H85" s="29" t="str">
        <f aca="false">IF(B85="","",IFERROR(INDEX(NV_TV,MATCH(B85,NV_MA,0)),""))</f>
        <v/>
      </c>
      <c r="I85" s="29" t="str">
        <f aca="false">IF(B85="","",IFERROR(INDEX(NV_BHXH,MATCH(B85,NV_MA,0)),""))</f>
        <v/>
      </c>
      <c r="J85" s="29" t="str">
        <f aca="false">IF(B85="","",IFERROR(INDEX(NV_DONG,MATCH(B85,NV_MA,0)),""))</f>
        <v/>
      </c>
      <c r="K85" s="29" t="str">
        <f aca="false">IF(B85="","",IFERROR(INDEX(NV_PC,MATCH(B85,NV_MA,0)),""))</f>
        <v/>
      </c>
      <c r="L85" s="18" t="str">
        <f aca="false">IF(B85="","",IFERROR(INDEX(NV_NHOMCC,MATCH(B85,NV_MA,0)),""))</f>
        <v/>
      </c>
      <c r="M85" s="25" t="str">
        <f aca="false">IF(B85="","",IFERROR(INDEX(BCC_CONG,MATCH(B85,BCC_MA,0)),0))</f>
        <v/>
      </c>
      <c r="N85" s="18" t="str">
        <f aca="false">IF(B85="","",IFERROR(INDEX(BCC_PHEP,MATCH(B85,BCC_MA,0)),0))</f>
        <v/>
      </c>
      <c r="O85" s="18" t="str">
        <f aca="false">IF(B85="","",IFERROR(INDEX(BCC_LE,MATCH(B85,BCC_MA,0)),0))</f>
        <v/>
      </c>
      <c r="P85" s="18" t="str">
        <f aca="false">IF(B85="","",IFERROR(INDEX(BCC_LEDL,MATCH(B85,BCC_MA,0)),0))</f>
        <v/>
      </c>
      <c r="Q85" s="18" t="str">
        <f aca="false">IF(B85="","",IFERROR(INDEX(BCC_CD,MATCH(B85,BCC_MA,0)),0))</f>
        <v/>
      </c>
      <c r="R85" s="29" t="str">
        <f aca="false">IF(B85="","",IF(E85="Khoán tháng",G85,IF(E85="Thử việc",IF(N(H85)&gt;0,H85,G85*TL_THUVIEC),G85)/F85*M85))</f>
        <v/>
      </c>
      <c r="S85" s="29" t="str">
        <f aca="false">IF(B85="","",IF(E85="Khoán tháng",0,I85/NGAY_CHIA*N85))</f>
        <v/>
      </c>
      <c r="T85" s="29" t="str">
        <f aca="false">IF(B85="","",IF(E85="Khoán tháng",0,I85/NGAY_CHIA*O85))</f>
        <v/>
      </c>
      <c r="U85" s="29" t="str">
        <f aca="false">IF(B85="","",IF(E85="Khoán tháng",0,G85/F85/GIO_CONG*P85*HS_LE))</f>
        <v/>
      </c>
      <c r="V85" s="29" t="str">
        <f aca="false">IF(B85="","",IF(E85="Khoán tháng",0,I85/NGAY_CHIA*Q85))</f>
        <v/>
      </c>
      <c r="W85" s="29" t="str">
        <f aca="false">IF(B85="","",IF(L85="Chung",IF(M85&gt;=CC_NGUONG,CC_TIEN,0),IF(L85="Cơ điện",IF(M85&gt;CD_N2,CD_T2,IF(M85&gt;CD_N1,CD_T1,0)),0))+SUMIFS(DC_TIEN,DC_MA,$B85,DC_LOAI,"Chuyên cần",DC_AP,"Có"))</f>
        <v/>
      </c>
      <c r="X85" s="29" t="str">
        <f aca="false">IF(B85="","",N(K85))</f>
        <v/>
      </c>
      <c r="Y85" s="29" t="str">
        <f aca="false">IF(B85="","",SUMIFS(DC_TIEN,DC_MA,$B85,DC_LOAI,"Truy lĩnh",DC_AP,"Có")+SUMIFS(DC_TIEN,DC_MA,$B85,DC_LOAI,"Cộng khác",DC_AP,"Có"))</f>
        <v/>
      </c>
      <c r="Z85" s="30" t="str">
        <f aca="false">IF(B85="","",SUM(R85:Y85))</f>
        <v/>
      </c>
      <c r="AA85" s="29" t="str">
        <f aca="false">IF(B85="","",IF(J85="Có",I85*BHXH_NLD,0))</f>
        <v/>
      </c>
      <c r="AB85" s="29" t="str">
        <f aca="false">IF(B85="","",SUMIFS(DC_TIEN,DC_MA,$B85,DC_LOAI,"Tạm ứng",DC_AP,"Có"))</f>
        <v/>
      </c>
      <c r="AC85" s="29" t="str">
        <f aca="false">IF(B85="","",SUMIFS(DC_TIEN,DC_MA,$B85,DC_LOAI,"Trừ khác",DC_AP,"Có"))</f>
        <v/>
      </c>
      <c r="AD85" s="29" t="str">
        <f aca="false">IF(B85="","",SUMIFS(DC_TIEN,DC_MA,$B85,DC_LOAI,"KPI trừ",DC_AP,"Có"))</f>
        <v/>
      </c>
      <c r="AE85" s="29" t="str">
        <f aca="false">IF(B85="","",SUM(AA85:AD85))</f>
        <v/>
      </c>
      <c r="AF85" s="30" t="str">
        <f aca="false">IF(B85="","",ROUNDDOWN(Z85-AE85,-3))</f>
        <v/>
      </c>
      <c r="AG85" s="20"/>
    </row>
    <row r="86" customFormat="false" ht="15" hidden="false" customHeight="false" outlineLevel="0" collapsed="false">
      <c r="A86" s="18" t="str">
        <f aca="false">IF(B86="","",ROW()-5)</f>
        <v/>
      </c>
      <c r="B86" s="28" t="str">
        <f aca="false">IF(BCC!B86="","",BCC!B86)</f>
        <v/>
      </c>
      <c r="C86" s="18" t="str">
        <f aca="false">IF(B86="","",IFERROR(INDEX(NV_TEN,MATCH(B86,NV_MA,0)),"MÃ KHÔNG CÓ"))</f>
        <v/>
      </c>
      <c r="D86" s="18" t="str">
        <f aca="false">IF(B86="","",IFERROR(INDEX(NV_PN,MATCH(B86,NV_MA,0)),""))</f>
        <v/>
      </c>
      <c r="E86" s="18" t="str">
        <f aca="false">IF(B86="","",IFERROR(INDEX(NV_HT,MATCH(B86,NV_MA,0)),""))</f>
        <v/>
      </c>
      <c r="F86" s="18" t="str">
        <f aca="false">IF(B86="","",IFERROR(INDEX(NV_CC,MATCH(B86,NV_MA,0)),""))</f>
        <v/>
      </c>
      <c r="G86" s="29" t="str">
        <f aca="false">IF(B86="","",IFERROR(INDEX(NV_CB,MATCH(B86,NV_MA,0)),""))</f>
        <v/>
      </c>
      <c r="H86" s="29" t="str">
        <f aca="false">IF(B86="","",IFERROR(INDEX(NV_TV,MATCH(B86,NV_MA,0)),""))</f>
        <v/>
      </c>
      <c r="I86" s="29" t="str">
        <f aca="false">IF(B86="","",IFERROR(INDEX(NV_BHXH,MATCH(B86,NV_MA,0)),""))</f>
        <v/>
      </c>
      <c r="J86" s="29" t="str">
        <f aca="false">IF(B86="","",IFERROR(INDEX(NV_DONG,MATCH(B86,NV_MA,0)),""))</f>
        <v/>
      </c>
      <c r="K86" s="29" t="str">
        <f aca="false">IF(B86="","",IFERROR(INDEX(NV_PC,MATCH(B86,NV_MA,0)),""))</f>
        <v/>
      </c>
      <c r="L86" s="18" t="str">
        <f aca="false">IF(B86="","",IFERROR(INDEX(NV_NHOMCC,MATCH(B86,NV_MA,0)),""))</f>
        <v/>
      </c>
      <c r="M86" s="25" t="str">
        <f aca="false">IF(B86="","",IFERROR(INDEX(BCC_CONG,MATCH(B86,BCC_MA,0)),0))</f>
        <v/>
      </c>
      <c r="N86" s="18" t="str">
        <f aca="false">IF(B86="","",IFERROR(INDEX(BCC_PHEP,MATCH(B86,BCC_MA,0)),0))</f>
        <v/>
      </c>
      <c r="O86" s="18" t="str">
        <f aca="false">IF(B86="","",IFERROR(INDEX(BCC_LE,MATCH(B86,BCC_MA,0)),0))</f>
        <v/>
      </c>
      <c r="P86" s="18" t="str">
        <f aca="false">IF(B86="","",IFERROR(INDEX(BCC_LEDL,MATCH(B86,BCC_MA,0)),0))</f>
        <v/>
      </c>
      <c r="Q86" s="18" t="str">
        <f aca="false">IF(B86="","",IFERROR(INDEX(BCC_CD,MATCH(B86,BCC_MA,0)),0))</f>
        <v/>
      </c>
      <c r="R86" s="29" t="str">
        <f aca="false">IF(B86="","",IF(E86="Khoán tháng",G86,IF(E86="Thử việc",IF(N(H86)&gt;0,H86,G86*TL_THUVIEC),G86)/F86*M86))</f>
        <v/>
      </c>
      <c r="S86" s="29" t="str">
        <f aca="false">IF(B86="","",IF(E86="Khoán tháng",0,I86/NGAY_CHIA*N86))</f>
        <v/>
      </c>
      <c r="T86" s="29" t="str">
        <f aca="false">IF(B86="","",IF(E86="Khoán tháng",0,I86/NGAY_CHIA*O86))</f>
        <v/>
      </c>
      <c r="U86" s="29" t="str">
        <f aca="false">IF(B86="","",IF(E86="Khoán tháng",0,G86/F86/GIO_CONG*P86*HS_LE))</f>
        <v/>
      </c>
      <c r="V86" s="29" t="str">
        <f aca="false">IF(B86="","",IF(E86="Khoán tháng",0,I86/NGAY_CHIA*Q86))</f>
        <v/>
      </c>
      <c r="W86" s="29" t="str">
        <f aca="false">IF(B86="","",IF(L86="Chung",IF(M86&gt;=CC_NGUONG,CC_TIEN,0),IF(L86="Cơ điện",IF(M86&gt;CD_N2,CD_T2,IF(M86&gt;CD_N1,CD_T1,0)),0))+SUMIFS(DC_TIEN,DC_MA,$B86,DC_LOAI,"Chuyên cần",DC_AP,"Có"))</f>
        <v/>
      </c>
      <c r="X86" s="29" t="str">
        <f aca="false">IF(B86="","",N(K86))</f>
        <v/>
      </c>
      <c r="Y86" s="29" t="str">
        <f aca="false">IF(B86="","",SUMIFS(DC_TIEN,DC_MA,$B86,DC_LOAI,"Truy lĩnh",DC_AP,"Có")+SUMIFS(DC_TIEN,DC_MA,$B86,DC_LOAI,"Cộng khác",DC_AP,"Có"))</f>
        <v/>
      </c>
      <c r="Z86" s="30" t="str">
        <f aca="false">IF(B86="","",SUM(R86:Y86))</f>
        <v/>
      </c>
      <c r="AA86" s="29" t="str">
        <f aca="false">IF(B86="","",IF(J86="Có",I86*BHXH_NLD,0))</f>
        <v/>
      </c>
      <c r="AB86" s="29" t="str">
        <f aca="false">IF(B86="","",SUMIFS(DC_TIEN,DC_MA,$B86,DC_LOAI,"Tạm ứng",DC_AP,"Có"))</f>
        <v/>
      </c>
      <c r="AC86" s="29" t="str">
        <f aca="false">IF(B86="","",SUMIFS(DC_TIEN,DC_MA,$B86,DC_LOAI,"Trừ khác",DC_AP,"Có"))</f>
        <v/>
      </c>
      <c r="AD86" s="29" t="str">
        <f aca="false">IF(B86="","",SUMIFS(DC_TIEN,DC_MA,$B86,DC_LOAI,"KPI trừ",DC_AP,"Có"))</f>
        <v/>
      </c>
      <c r="AE86" s="29" t="str">
        <f aca="false">IF(B86="","",SUM(AA86:AD86))</f>
        <v/>
      </c>
      <c r="AF86" s="30" t="str">
        <f aca="false">IF(B86="","",ROUNDDOWN(Z86-AE86,-3))</f>
        <v/>
      </c>
      <c r="AG86" s="20"/>
    </row>
    <row r="87" customFormat="false" ht="15" hidden="false" customHeight="false" outlineLevel="0" collapsed="false">
      <c r="A87" s="18" t="str">
        <f aca="false">IF(B87="","",ROW()-5)</f>
        <v/>
      </c>
      <c r="B87" s="28" t="str">
        <f aca="false">IF(BCC!B87="","",BCC!B87)</f>
        <v/>
      </c>
      <c r="C87" s="18" t="str">
        <f aca="false">IF(B87="","",IFERROR(INDEX(NV_TEN,MATCH(B87,NV_MA,0)),"MÃ KHÔNG CÓ"))</f>
        <v/>
      </c>
      <c r="D87" s="18" t="str">
        <f aca="false">IF(B87="","",IFERROR(INDEX(NV_PN,MATCH(B87,NV_MA,0)),""))</f>
        <v/>
      </c>
      <c r="E87" s="18" t="str">
        <f aca="false">IF(B87="","",IFERROR(INDEX(NV_HT,MATCH(B87,NV_MA,0)),""))</f>
        <v/>
      </c>
      <c r="F87" s="18" t="str">
        <f aca="false">IF(B87="","",IFERROR(INDEX(NV_CC,MATCH(B87,NV_MA,0)),""))</f>
        <v/>
      </c>
      <c r="G87" s="29" t="str">
        <f aca="false">IF(B87="","",IFERROR(INDEX(NV_CB,MATCH(B87,NV_MA,0)),""))</f>
        <v/>
      </c>
      <c r="H87" s="29" t="str">
        <f aca="false">IF(B87="","",IFERROR(INDEX(NV_TV,MATCH(B87,NV_MA,0)),""))</f>
        <v/>
      </c>
      <c r="I87" s="29" t="str">
        <f aca="false">IF(B87="","",IFERROR(INDEX(NV_BHXH,MATCH(B87,NV_MA,0)),""))</f>
        <v/>
      </c>
      <c r="J87" s="29" t="str">
        <f aca="false">IF(B87="","",IFERROR(INDEX(NV_DONG,MATCH(B87,NV_MA,0)),""))</f>
        <v/>
      </c>
      <c r="K87" s="29" t="str">
        <f aca="false">IF(B87="","",IFERROR(INDEX(NV_PC,MATCH(B87,NV_MA,0)),""))</f>
        <v/>
      </c>
      <c r="L87" s="18" t="str">
        <f aca="false">IF(B87="","",IFERROR(INDEX(NV_NHOMCC,MATCH(B87,NV_MA,0)),""))</f>
        <v/>
      </c>
      <c r="M87" s="25" t="str">
        <f aca="false">IF(B87="","",IFERROR(INDEX(BCC_CONG,MATCH(B87,BCC_MA,0)),0))</f>
        <v/>
      </c>
      <c r="N87" s="18" t="str">
        <f aca="false">IF(B87="","",IFERROR(INDEX(BCC_PHEP,MATCH(B87,BCC_MA,0)),0))</f>
        <v/>
      </c>
      <c r="O87" s="18" t="str">
        <f aca="false">IF(B87="","",IFERROR(INDEX(BCC_LE,MATCH(B87,BCC_MA,0)),0))</f>
        <v/>
      </c>
      <c r="P87" s="18" t="str">
        <f aca="false">IF(B87="","",IFERROR(INDEX(BCC_LEDL,MATCH(B87,BCC_MA,0)),0))</f>
        <v/>
      </c>
      <c r="Q87" s="18" t="str">
        <f aca="false">IF(B87="","",IFERROR(INDEX(BCC_CD,MATCH(B87,BCC_MA,0)),0))</f>
        <v/>
      </c>
      <c r="R87" s="29" t="str">
        <f aca="false">IF(B87="","",IF(E87="Khoán tháng",G87,IF(E87="Thử việc",IF(N(H87)&gt;0,H87,G87*TL_THUVIEC),G87)/F87*M87))</f>
        <v/>
      </c>
      <c r="S87" s="29" t="str">
        <f aca="false">IF(B87="","",IF(E87="Khoán tháng",0,I87/NGAY_CHIA*N87))</f>
        <v/>
      </c>
      <c r="T87" s="29" t="str">
        <f aca="false">IF(B87="","",IF(E87="Khoán tháng",0,I87/NGAY_CHIA*O87))</f>
        <v/>
      </c>
      <c r="U87" s="29" t="str">
        <f aca="false">IF(B87="","",IF(E87="Khoán tháng",0,G87/F87/GIO_CONG*P87*HS_LE))</f>
        <v/>
      </c>
      <c r="V87" s="29" t="str">
        <f aca="false">IF(B87="","",IF(E87="Khoán tháng",0,I87/NGAY_CHIA*Q87))</f>
        <v/>
      </c>
      <c r="W87" s="29" t="str">
        <f aca="false">IF(B87="","",IF(L87="Chung",IF(M87&gt;=CC_NGUONG,CC_TIEN,0),IF(L87="Cơ điện",IF(M87&gt;CD_N2,CD_T2,IF(M87&gt;CD_N1,CD_T1,0)),0))+SUMIFS(DC_TIEN,DC_MA,$B87,DC_LOAI,"Chuyên cần",DC_AP,"Có"))</f>
        <v/>
      </c>
      <c r="X87" s="29" t="str">
        <f aca="false">IF(B87="","",N(K87))</f>
        <v/>
      </c>
      <c r="Y87" s="29" t="str">
        <f aca="false">IF(B87="","",SUMIFS(DC_TIEN,DC_MA,$B87,DC_LOAI,"Truy lĩnh",DC_AP,"Có")+SUMIFS(DC_TIEN,DC_MA,$B87,DC_LOAI,"Cộng khác",DC_AP,"Có"))</f>
        <v/>
      </c>
      <c r="Z87" s="30" t="str">
        <f aca="false">IF(B87="","",SUM(R87:Y87))</f>
        <v/>
      </c>
      <c r="AA87" s="29" t="str">
        <f aca="false">IF(B87="","",IF(J87="Có",I87*BHXH_NLD,0))</f>
        <v/>
      </c>
      <c r="AB87" s="29" t="str">
        <f aca="false">IF(B87="","",SUMIFS(DC_TIEN,DC_MA,$B87,DC_LOAI,"Tạm ứng",DC_AP,"Có"))</f>
        <v/>
      </c>
      <c r="AC87" s="29" t="str">
        <f aca="false">IF(B87="","",SUMIFS(DC_TIEN,DC_MA,$B87,DC_LOAI,"Trừ khác",DC_AP,"Có"))</f>
        <v/>
      </c>
      <c r="AD87" s="29" t="str">
        <f aca="false">IF(B87="","",SUMIFS(DC_TIEN,DC_MA,$B87,DC_LOAI,"KPI trừ",DC_AP,"Có"))</f>
        <v/>
      </c>
      <c r="AE87" s="29" t="str">
        <f aca="false">IF(B87="","",SUM(AA87:AD87))</f>
        <v/>
      </c>
      <c r="AF87" s="30" t="str">
        <f aca="false">IF(B87="","",ROUNDDOWN(Z87-AE87,-3))</f>
        <v/>
      </c>
      <c r="AG87" s="20"/>
    </row>
    <row r="88" customFormat="false" ht="15" hidden="false" customHeight="false" outlineLevel="0" collapsed="false">
      <c r="A88" s="18" t="str">
        <f aca="false">IF(B88="","",ROW()-5)</f>
        <v/>
      </c>
      <c r="B88" s="28" t="str">
        <f aca="false">IF(BCC!B88="","",BCC!B88)</f>
        <v/>
      </c>
      <c r="C88" s="18" t="str">
        <f aca="false">IF(B88="","",IFERROR(INDEX(NV_TEN,MATCH(B88,NV_MA,0)),"MÃ KHÔNG CÓ"))</f>
        <v/>
      </c>
      <c r="D88" s="18" t="str">
        <f aca="false">IF(B88="","",IFERROR(INDEX(NV_PN,MATCH(B88,NV_MA,0)),""))</f>
        <v/>
      </c>
      <c r="E88" s="18" t="str">
        <f aca="false">IF(B88="","",IFERROR(INDEX(NV_HT,MATCH(B88,NV_MA,0)),""))</f>
        <v/>
      </c>
      <c r="F88" s="18" t="str">
        <f aca="false">IF(B88="","",IFERROR(INDEX(NV_CC,MATCH(B88,NV_MA,0)),""))</f>
        <v/>
      </c>
      <c r="G88" s="29" t="str">
        <f aca="false">IF(B88="","",IFERROR(INDEX(NV_CB,MATCH(B88,NV_MA,0)),""))</f>
        <v/>
      </c>
      <c r="H88" s="29" t="str">
        <f aca="false">IF(B88="","",IFERROR(INDEX(NV_TV,MATCH(B88,NV_MA,0)),""))</f>
        <v/>
      </c>
      <c r="I88" s="29" t="str">
        <f aca="false">IF(B88="","",IFERROR(INDEX(NV_BHXH,MATCH(B88,NV_MA,0)),""))</f>
        <v/>
      </c>
      <c r="J88" s="29" t="str">
        <f aca="false">IF(B88="","",IFERROR(INDEX(NV_DONG,MATCH(B88,NV_MA,0)),""))</f>
        <v/>
      </c>
      <c r="K88" s="29" t="str">
        <f aca="false">IF(B88="","",IFERROR(INDEX(NV_PC,MATCH(B88,NV_MA,0)),""))</f>
        <v/>
      </c>
      <c r="L88" s="18" t="str">
        <f aca="false">IF(B88="","",IFERROR(INDEX(NV_NHOMCC,MATCH(B88,NV_MA,0)),""))</f>
        <v/>
      </c>
      <c r="M88" s="25" t="str">
        <f aca="false">IF(B88="","",IFERROR(INDEX(BCC_CONG,MATCH(B88,BCC_MA,0)),0))</f>
        <v/>
      </c>
      <c r="N88" s="18" t="str">
        <f aca="false">IF(B88="","",IFERROR(INDEX(BCC_PHEP,MATCH(B88,BCC_MA,0)),0))</f>
        <v/>
      </c>
      <c r="O88" s="18" t="str">
        <f aca="false">IF(B88="","",IFERROR(INDEX(BCC_LE,MATCH(B88,BCC_MA,0)),0))</f>
        <v/>
      </c>
      <c r="P88" s="18" t="str">
        <f aca="false">IF(B88="","",IFERROR(INDEX(BCC_LEDL,MATCH(B88,BCC_MA,0)),0))</f>
        <v/>
      </c>
      <c r="Q88" s="18" t="str">
        <f aca="false">IF(B88="","",IFERROR(INDEX(BCC_CD,MATCH(B88,BCC_MA,0)),0))</f>
        <v/>
      </c>
      <c r="R88" s="29" t="str">
        <f aca="false">IF(B88="","",IF(E88="Khoán tháng",G88,IF(E88="Thử việc",IF(N(H88)&gt;0,H88,G88*TL_THUVIEC),G88)/F88*M88))</f>
        <v/>
      </c>
      <c r="S88" s="29" t="str">
        <f aca="false">IF(B88="","",IF(E88="Khoán tháng",0,I88/NGAY_CHIA*N88))</f>
        <v/>
      </c>
      <c r="T88" s="29" t="str">
        <f aca="false">IF(B88="","",IF(E88="Khoán tháng",0,I88/NGAY_CHIA*O88))</f>
        <v/>
      </c>
      <c r="U88" s="29" t="str">
        <f aca="false">IF(B88="","",IF(E88="Khoán tháng",0,G88/F88/GIO_CONG*P88*HS_LE))</f>
        <v/>
      </c>
      <c r="V88" s="29" t="str">
        <f aca="false">IF(B88="","",IF(E88="Khoán tháng",0,I88/NGAY_CHIA*Q88))</f>
        <v/>
      </c>
      <c r="W88" s="29" t="str">
        <f aca="false">IF(B88="","",IF(L88="Chung",IF(M88&gt;=CC_NGUONG,CC_TIEN,0),IF(L88="Cơ điện",IF(M88&gt;CD_N2,CD_T2,IF(M88&gt;CD_N1,CD_T1,0)),0))+SUMIFS(DC_TIEN,DC_MA,$B88,DC_LOAI,"Chuyên cần",DC_AP,"Có"))</f>
        <v/>
      </c>
      <c r="X88" s="29" t="str">
        <f aca="false">IF(B88="","",N(K88))</f>
        <v/>
      </c>
      <c r="Y88" s="29" t="str">
        <f aca="false">IF(B88="","",SUMIFS(DC_TIEN,DC_MA,$B88,DC_LOAI,"Truy lĩnh",DC_AP,"Có")+SUMIFS(DC_TIEN,DC_MA,$B88,DC_LOAI,"Cộng khác",DC_AP,"Có"))</f>
        <v/>
      </c>
      <c r="Z88" s="30" t="str">
        <f aca="false">IF(B88="","",SUM(R88:Y88))</f>
        <v/>
      </c>
      <c r="AA88" s="29" t="str">
        <f aca="false">IF(B88="","",IF(J88="Có",I88*BHXH_NLD,0))</f>
        <v/>
      </c>
      <c r="AB88" s="29" t="str">
        <f aca="false">IF(B88="","",SUMIFS(DC_TIEN,DC_MA,$B88,DC_LOAI,"Tạm ứng",DC_AP,"Có"))</f>
        <v/>
      </c>
      <c r="AC88" s="29" t="str">
        <f aca="false">IF(B88="","",SUMIFS(DC_TIEN,DC_MA,$B88,DC_LOAI,"Trừ khác",DC_AP,"Có"))</f>
        <v/>
      </c>
      <c r="AD88" s="29" t="str">
        <f aca="false">IF(B88="","",SUMIFS(DC_TIEN,DC_MA,$B88,DC_LOAI,"KPI trừ",DC_AP,"Có"))</f>
        <v/>
      </c>
      <c r="AE88" s="29" t="str">
        <f aca="false">IF(B88="","",SUM(AA88:AD88))</f>
        <v/>
      </c>
      <c r="AF88" s="30" t="str">
        <f aca="false">IF(B88="","",ROUNDDOWN(Z88-AE88,-3))</f>
        <v/>
      </c>
      <c r="AG88" s="20"/>
    </row>
    <row r="89" customFormat="false" ht="15" hidden="false" customHeight="false" outlineLevel="0" collapsed="false">
      <c r="A89" s="18" t="str">
        <f aca="false">IF(B89="","",ROW()-5)</f>
        <v/>
      </c>
      <c r="B89" s="28" t="str">
        <f aca="false">IF(BCC!B89="","",BCC!B89)</f>
        <v/>
      </c>
      <c r="C89" s="18" t="str">
        <f aca="false">IF(B89="","",IFERROR(INDEX(NV_TEN,MATCH(B89,NV_MA,0)),"MÃ KHÔNG CÓ"))</f>
        <v/>
      </c>
      <c r="D89" s="18" t="str">
        <f aca="false">IF(B89="","",IFERROR(INDEX(NV_PN,MATCH(B89,NV_MA,0)),""))</f>
        <v/>
      </c>
      <c r="E89" s="18" t="str">
        <f aca="false">IF(B89="","",IFERROR(INDEX(NV_HT,MATCH(B89,NV_MA,0)),""))</f>
        <v/>
      </c>
      <c r="F89" s="18" t="str">
        <f aca="false">IF(B89="","",IFERROR(INDEX(NV_CC,MATCH(B89,NV_MA,0)),""))</f>
        <v/>
      </c>
      <c r="G89" s="29" t="str">
        <f aca="false">IF(B89="","",IFERROR(INDEX(NV_CB,MATCH(B89,NV_MA,0)),""))</f>
        <v/>
      </c>
      <c r="H89" s="29" t="str">
        <f aca="false">IF(B89="","",IFERROR(INDEX(NV_TV,MATCH(B89,NV_MA,0)),""))</f>
        <v/>
      </c>
      <c r="I89" s="29" t="str">
        <f aca="false">IF(B89="","",IFERROR(INDEX(NV_BHXH,MATCH(B89,NV_MA,0)),""))</f>
        <v/>
      </c>
      <c r="J89" s="29" t="str">
        <f aca="false">IF(B89="","",IFERROR(INDEX(NV_DONG,MATCH(B89,NV_MA,0)),""))</f>
        <v/>
      </c>
      <c r="K89" s="29" t="str">
        <f aca="false">IF(B89="","",IFERROR(INDEX(NV_PC,MATCH(B89,NV_MA,0)),""))</f>
        <v/>
      </c>
      <c r="L89" s="18" t="str">
        <f aca="false">IF(B89="","",IFERROR(INDEX(NV_NHOMCC,MATCH(B89,NV_MA,0)),""))</f>
        <v/>
      </c>
      <c r="M89" s="25" t="str">
        <f aca="false">IF(B89="","",IFERROR(INDEX(BCC_CONG,MATCH(B89,BCC_MA,0)),0))</f>
        <v/>
      </c>
      <c r="N89" s="18" t="str">
        <f aca="false">IF(B89="","",IFERROR(INDEX(BCC_PHEP,MATCH(B89,BCC_MA,0)),0))</f>
        <v/>
      </c>
      <c r="O89" s="18" t="str">
        <f aca="false">IF(B89="","",IFERROR(INDEX(BCC_LE,MATCH(B89,BCC_MA,0)),0))</f>
        <v/>
      </c>
      <c r="P89" s="18" t="str">
        <f aca="false">IF(B89="","",IFERROR(INDEX(BCC_LEDL,MATCH(B89,BCC_MA,0)),0))</f>
        <v/>
      </c>
      <c r="Q89" s="18" t="str">
        <f aca="false">IF(B89="","",IFERROR(INDEX(BCC_CD,MATCH(B89,BCC_MA,0)),0))</f>
        <v/>
      </c>
      <c r="R89" s="29" t="str">
        <f aca="false">IF(B89="","",IF(E89="Khoán tháng",G89,IF(E89="Thử việc",IF(N(H89)&gt;0,H89,G89*TL_THUVIEC),G89)/F89*M89))</f>
        <v/>
      </c>
      <c r="S89" s="29" t="str">
        <f aca="false">IF(B89="","",IF(E89="Khoán tháng",0,I89/NGAY_CHIA*N89))</f>
        <v/>
      </c>
      <c r="T89" s="29" t="str">
        <f aca="false">IF(B89="","",IF(E89="Khoán tháng",0,I89/NGAY_CHIA*O89))</f>
        <v/>
      </c>
      <c r="U89" s="29" t="str">
        <f aca="false">IF(B89="","",IF(E89="Khoán tháng",0,G89/F89/GIO_CONG*P89*HS_LE))</f>
        <v/>
      </c>
      <c r="V89" s="29" t="str">
        <f aca="false">IF(B89="","",IF(E89="Khoán tháng",0,I89/NGAY_CHIA*Q89))</f>
        <v/>
      </c>
      <c r="W89" s="29" t="str">
        <f aca="false">IF(B89="","",IF(L89="Chung",IF(M89&gt;=CC_NGUONG,CC_TIEN,0),IF(L89="Cơ điện",IF(M89&gt;CD_N2,CD_T2,IF(M89&gt;CD_N1,CD_T1,0)),0))+SUMIFS(DC_TIEN,DC_MA,$B89,DC_LOAI,"Chuyên cần",DC_AP,"Có"))</f>
        <v/>
      </c>
      <c r="X89" s="29" t="str">
        <f aca="false">IF(B89="","",N(K89))</f>
        <v/>
      </c>
      <c r="Y89" s="29" t="str">
        <f aca="false">IF(B89="","",SUMIFS(DC_TIEN,DC_MA,$B89,DC_LOAI,"Truy lĩnh",DC_AP,"Có")+SUMIFS(DC_TIEN,DC_MA,$B89,DC_LOAI,"Cộng khác",DC_AP,"Có"))</f>
        <v/>
      </c>
      <c r="Z89" s="30" t="str">
        <f aca="false">IF(B89="","",SUM(R89:Y89))</f>
        <v/>
      </c>
      <c r="AA89" s="29" t="str">
        <f aca="false">IF(B89="","",IF(J89="Có",I89*BHXH_NLD,0))</f>
        <v/>
      </c>
      <c r="AB89" s="29" t="str">
        <f aca="false">IF(B89="","",SUMIFS(DC_TIEN,DC_MA,$B89,DC_LOAI,"Tạm ứng",DC_AP,"Có"))</f>
        <v/>
      </c>
      <c r="AC89" s="29" t="str">
        <f aca="false">IF(B89="","",SUMIFS(DC_TIEN,DC_MA,$B89,DC_LOAI,"Trừ khác",DC_AP,"Có"))</f>
        <v/>
      </c>
      <c r="AD89" s="29" t="str">
        <f aca="false">IF(B89="","",SUMIFS(DC_TIEN,DC_MA,$B89,DC_LOAI,"KPI trừ",DC_AP,"Có"))</f>
        <v/>
      </c>
      <c r="AE89" s="29" t="str">
        <f aca="false">IF(B89="","",SUM(AA89:AD89))</f>
        <v/>
      </c>
      <c r="AF89" s="30" t="str">
        <f aca="false">IF(B89="","",ROUNDDOWN(Z89-AE89,-3))</f>
        <v/>
      </c>
      <c r="AG89" s="20"/>
    </row>
    <row r="90" customFormat="false" ht="15" hidden="false" customHeight="false" outlineLevel="0" collapsed="false">
      <c r="A90" s="18" t="str">
        <f aca="false">IF(B90="","",ROW()-5)</f>
        <v/>
      </c>
      <c r="B90" s="28" t="str">
        <f aca="false">IF(BCC!B90="","",BCC!B90)</f>
        <v/>
      </c>
      <c r="C90" s="18" t="str">
        <f aca="false">IF(B90="","",IFERROR(INDEX(NV_TEN,MATCH(B90,NV_MA,0)),"MÃ KHÔNG CÓ"))</f>
        <v/>
      </c>
      <c r="D90" s="18" t="str">
        <f aca="false">IF(B90="","",IFERROR(INDEX(NV_PN,MATCH(B90,NV_MA,0)),""))</f>
        <v/>
      </c>
      <c r="E90" s="18" t="str">
        <f aca="false">IF(B90="","",IFERROR(INDEX(NV_HT,MATCH(B90,NV_MA,0)),""))</f>
        <v/>
      </c>
      <c r="F90" s="18" t="str">
        <f aca="false">IF(B90="","",IFERROR(INDEX(NV_CC,MATCH(B90,NV_MA,0)),""))</f>
        <v/>
      </c>
      <c r="G90" s="29" t="str">
        <f aca="false">IF(B90="","",IFERROR(INDEX(NV_CB,MATCH(B90,NV_MA,0)),""))</f>
        <v/>
      </c>
      <c r="H90" s="29" t="str">
        <f aca="false">IF(B90="","",IFERROR(INDEX(NV_TV,MATCH(B90,NV_MA,0)),""))</f>
        <v/>
      </c>
      <c r="I90" s="29" t="str">
        <f aca="false">IF(B90="","",IFERROR(INDEX(NV_BHXH,MATCH(B90,NV_MA,0)),""))</f>
        <v/>
      </c>
      <c r="J90" s="29" t="str">
        <f aca="false">IF(B90="","",IFERROR(INDEX(NV_DONG,MATCH(B90,NV_MA,0)),""))</f>
        <v/>
      </c>
      <c r="K90" s="29" t="str">
        <f aca="false">IF(B90="","",IFERROR(INDEX(NV_PC,MATCH(B90,NV_MA,0)),""))</f>
        <v/>
      </c>
      <c r="L90" s="18" t="str">
        <f aca="false">IF(B90="","",IFERROR(INDEX(NV_NHOMCC,MATCH(B90,NV_MA,0)),""))</f>
        <v/>
      </c>
      <c r="M90" s="25" t="str">
        <f aca="false">IF(B90="","",IFERROR(INDEX(BCC_CONG,MATCH(B90,BCC_MA,0)),0))</f>
        <v/>
      </c>
      <c r="N90" s="18" t="str">
        <f aca="false">IF(B90="","",IFERROR(INDEX(BCC_PHEP,MATCH(B90,BCC_MA,0)),0))</f>
        <v/>
      </c>
      <c r="O90" s="18" t="str">
        <f aca="false">IF(B90="","",IFERROR(INDEX(BCC_LE,MATCH(B90,BCC_MA,0)),0))</f>
        <v/>
      </c>
      <c r="P90" s="18" t="str">
        <f aca="false">IF(B90="","",IFERROR(INDEX(BCC_LEDL,MATCH(B90,BCC_MA,0)),0))</f>
        <v/>
      </c>
      <c r="Q90" s="18" t="str">
        <f aca="false">IF(B90="","",IFERROR(INDEX(BCC_CD,MATCH(B90,BCC_MA,0)),0))</f>
        <v/>
      </c>
      <c r="R90" s="29" t="str">
        <f aca="false">IF(B90="","",IF(E90="Khoán tháng",G90,IF(E90="Thử việc",IF(N(H90)&gt;0,H90,G90*TL_THUVIEC),G90)/F90*M90))</f>
        <v/>
      </c>
      <c r="S90" s="29" t="str">
        <f aca="false">IF(B90="","",IF(E90="Khoán tháng",0,I90/NGAY_CHIA*N90))</f>
        <v/>
      </c>
      <c r="T90" s="29" t="str">
        <f aca="false">IF(B90="","",IF(E90="Khoán tháng",0,I90/NGAY_CHIA*O90))</f>
        <v/>
      </c>
      <c r="U90" s="29" t="str">
        <f aca="false">IF(B90="","",IF(E90="Khoán tháng",0,G90/F90/GIO_CONG*P90*HS_LE))</f>
        <v/>
      </c>
      <c r="V90" s="29" t="str">
        <f aca="false">IF(B90="","",IF(E90="Khoán tháng",0,I90/NGAY_CHIA*Q90))</f>
        <v/>
      </c>
      <c r="W90" s="29" t="str">
        <f aca="false">IF(B90="","",IF(L90="Chung",IF(M90&gt;=CC_NGUONG,CC_TIEN,0),IF(L90="Cơ điện",IF(M90&gt;CD_N2,CD_T2,IF(M90&gt;CD_N1,CD_T1,0)),0))+SUMIFS(DC_TIEN,DC_MA,$B90,DC_LOAI,"Chuyên cần",DC_AP,"Có"))</f>
        <v/>
      </c>
      <c r="X90" s="29" t="str">
        <f aca="false">IF(B90="","",N(K90))</f>
        <v/>
      </c>
      <c r="Y90" s="29" t="str">
        <f aca="false">IF(B90="","",SUMIFS(DC_TIEN,DC_MA,$B90,DC_LOAI,"Truy lĩnh",DC_AP,"Có")+SUMIFS(DC_TIEN,DC_MA,$B90,DC_LOAI,"Cộng khác",DC_AP,"Có"))</f>
        <v/>
      </c>
      <c r="Z90" s="30" t="str">
        <f aca="false">IF(B90="","",SUM(R90:Y90))</f>
        <v/>
      </c>
      <c r="AA90" s="29" t="str">
        <f aca="false">IF(B90="","",IF(J90="Có",I90*BHXH_NLD,0))</f>
        <v/>
      </c>
      <c r="AB90" s="29" t="str">
        <f aca="false">IF(B90="","",SUMIFS(DC_TIEN,DC_MA,$B90,DC_LOAI,"Tạm ứng",DC_AP,"Có"))</f>
        <v/>
      </c>
      <c r="AC90" s="29" t="str">
        <f aca="false">IF(B90="","",SUMIFS(DC_TIEN,DC_MA,$B90,DC_LOAI,"Trừ khác",DC_AP,"Có"))</f>
        <v/>
      </c>
      <c r="AD90" s="29" t="str">
        <f aca="false">IF(B90="","",SUMIFS(DC_TIEN,DC_MA,$B90,DC_LOAI,"KPI trừ",DC_AP,"Có"))</f>
        <v/>
      </c>
      <c r="AE90" s="29" t="str">
        <f aca="false">IF(B90="","",SUM(AA90:AD90))</f>
        <v/>
      </c>
      <c r="AF90" s="30" t="str">
        <f aca="false">IF(B90="","",ROUNDDOWN(Z90-AE90,-3))</f>
        <v/>
      </c>
      <c r="AG90" s="20"/>
    </row>
    <row r="91" customFormat="false" ht="15" hidden="false" customHeight="false" outlineLevel="0" collapsed="false">
      <c r="A91" s="18" t="str">
        <f aca="false">IF(B91="","",ROW()-5)</f>
        <v/>
      </c>
      <c r="B91" s="28" t="str">
        <f aca="false">IF(BCC!B91="","",BCC!B91)</f>
        <v/>
      </c>
      <c r="C91" s="18" t="str">
        <f aca="false">IF(B91="","",IFERROR(INDEX(NV_TEN,MATCH(B91,NV_MA,0)),"MÃ KHÔNG CÓ"))</f>
        <v/>
      </c>
      <c r="D91" s="18" t="str">
        <f aca="false">IF(B91="","",IFERROR(INDEX(NV_PN,MATCH(B91,NV_MA,0)),""))</f>
        <v/>
      </c>
      <c r="E91" s="18" t="str">
        <f aca="false">IF(B91="","",IFERROR(INDEX(NV_HT,MATCH(B91,NV_MA,0)),""))</f>
        <v/>
      </c>
      <c r="F91" s="18" t="str">
        <f aca="false">IF(B91="","",IFERROR(INDEX(NV_CC,MATCH(B91,NV_MA,0)),""))</f>
        <v/>
      </c>
      <c r="G91" s="29" t="str">
        <f aca="false">IF(B91="","",IFERROR(INDEX(NV_CB,MATCH(B91,NV_MA,0)),""))</f>
        <v/>
      </c>
      <c r="H91" s="29" t="str">
        <f aca="false">IF(B91="","",IFERROR(INDEX(NV_TV,MATCH(B91,NV_MA,0)),""))</f>
        <v/>
      </c>
      <c r="I91" s="29" t="str">
        <f aca="false">IF(B91="","",IFERROR(INDEX(NV_BHXH,MATCH(B91,NV_MA,0)),""))</f>
        <v/>
      </c>
      <c r="J91" s="29" t="str">
        <f aca="false">IF(B91="","",IFERROR(INDEX(NV_DONG,MATCH(B91,NV_MA,0)),""))</f>
        <v/>
      </c>
      <c r="K91" s="29" t="str">
        <f aca="false">IF(B91="","",IFERROR(INDEX(NV_PC,MATCH(B91,NV_MA,0)),""))</f>
        <v/>
      </c>
      <c r="L91" s="18" t="str">
        <f aca="false">IF(B91="","",IFERROR(INDEX(NV_NHOMCC,MATCH(B91,NV_MA,0)),""))</f>
        <v/>
      </c>
      <c r="M91" s="25" t="str">
        <f aca="false">IF(B91="","",IFERROR(INDEX(BCC_CONG,MATCH(B91,BCC_MA,0)),0))</f>
        <v/>
      </c>
      <c r="N91" s="18" t="str">
        <f aca="false">IF(B91="","",IFERROR(INDEX(BCC_PHEP,MATCH(B91,BCC_MA,0)),0))</f>
        <v/>
      </c>
      <c r="O91" s="18" t="str">
        <f aca="false">IF(B91="","",IFERROR(INDEX(BCC_LE,MATCH(B91,BCC_MA,0)),0))</f>
        <v/>
      </c>
      <c r="P91" s="18" t="str">
        <f aca="false">IF(B91="","",IFERROR(INDEX(BCC_LEDL,MATCH(B91,BCC_MA,0)),0))</f>
        <v/>
      </c>
      <c r="Q91" s="18" t="str">
        <f aca="false">IF(B91="","",IFERROR(INDEX(BCC_CD,MATCH(B91,BCC_MA,0)),0))</f>
        <v/>
      </c>
      <c r="R91" s="29" t="str">
        <f aca="false">IF(B91="","",IF(E91="Khoán tháng",G91,IF(E91="Thử việc",IF(N(H91)&gt;0,H91,G91*TL_THUVIEC),G91)/F91*M91))</f>
        <v/>
      </c>
      <c r="S91" s="29" t="str">
        <f aca="false">IF(B91="","",IF(E91="Khoán tháng",0,I91/NGAY_CHIA*N91))</f>
        <v/>
      </c>
      <c r="T91" s="29" t="str">
        <f aca="false">IF(B91="","",IF(E91="Khoán tháng",0,I91/NGAY_CHIA*O91))</f>
        <v/>
      </c>
      <c r="U91" s="29" t="str">
        <f aca="false">IF(B91="","",IF(E91="Khoán tháng",0,G91/F91/GIO_CONG*P91*HS_LE))</f>
        <v/>
      </c>
      <c r="V91" s="29" t="str">
        <f aca="false">IF(B91="","",IF(E91="Khoán tháng",0,I91/NGAY_CHIA*Q91))</f>
        <v/>
      </c>
      <c r="W91" s="29" t="str">
        <f aca="false">IF(B91="","",IF(L91="Chung",IF(M91&gt;=CC_NGUONG,CC_TIEN,0),IF(L91="Cơ điện",IF(M91&gt;CD_N2,CD_T2,IF(M91&gt;CD_N1,CD_T1,0)),0))+SUMIFS(DC_TIEN,DC_MA,$B91,DC_LOAI,"Chuyên cần",DC_AP,"Có"))</f>
        <v/>
      </c>
      <c r="X91" s="29" t="str">
        <f aca="false">IF(B91="","",N(K91))</f>
        <v/>
      </c>
      <c r="Y91" s="29" t="str">
        <f aca="false">IF(B91="","",SUMIFS(DC_TIEN,DC_MA,$B91,DC_LOAI,"Truy lĩnh",DC_AP,"Có")+SUMIFS(DC_TIEN,DC_MA,$B91,DC_LOAI,"Cộng khác",DC_AP,"Có"))</f>
        <v/>
      </c>
      <c r="Z91" s="30" t="str">
        <f aca="false">IF(B91="","",SUM(R91:Y91))</f>
        <v/>
      </c>
      <c r="AA91" s="29" t="str">
        <f aca="false">IF(B91="","",IF(J91="Có",I91*BHXH_NLD,0))</f>
        <v/>
      </c>
      <c r="AB91" s="29" t="str">
        <f aca="false">IF(B91="","",SUMIFS(DC_TIEN,DC_MA,$B91,DC_LOAI,"Tạm ứng",DC_AP,"Có"))</f>
        <v/>
      </c>
      <c r="AC91" s="29" t="str">
        <f aca="false">IF(B91="","",SUMIFS(DC_TIEN,DC_MA,$B91,DC_LOAI,"Trừ khác",DC_AP,"Có"))</f>
        <v/>
      </c>
      <c r="AD91" s="29" t="str">
        <f aca="false">IF(B91="","",SUMIFS(DC_TIEN,DC_MA,$B91,DC_LOAI,"KPI trừ",DC_AP,"Có"))</f>
        <v/>
      </c>
      <c r="AE91" s="29" t="str">
        <f aca="false">IF(B91="","",SUM(AA91:AD91))</f>
        <v/>
      </c>
      <c r="AF91" s="30" t="str">
        <f aca="false">IF(B91="","",ROUNDDOWN(Z91-AE91,-3))</f>
        <v/>
      </c>
      <c r="AG91" s="20"/>
    </row>
    <row r="92" customFormat="false" ht="15" hidden="false" customHeight="false" outlineLevel="0" collapsed="false">
      <c r="A92" s="18" t="str">
        <f aca="false">IF(B92="","",ROW()-5)</f>
        <v/>
      </c>
      <c r="B92" s="28" t="str">
        <f aca="false">IF(BCC!B92="","",BCC!B92)</f>
        <v/>
      </c>
      <c r="C92" s="18" t="str">
        <f aca="false">IF(B92="","",IFERROR(INDEX(NV_TEN,MATCH(B92,NV_MA,0)),"MÃ KHÔNG CÓ"))</f>
        <v/>
      </c>
      <c r="D92" s="18" t="str">
        <f aca="false">IF(B92="","",IFERROR(INDEX(NV_PN,MATCH(B92,NV_MA,0)),""))</f>
        <v/>
      </c>
      <c r="E92" s="18" t="str">
        <f aca="false">IF(B92="","",IFERROR(INDEX(NV_HT,MATCH(B92,NV_MA,0)),""))</f>
        <v/>
      </c>
      <c r="F92" s="18" t="str">
        <f aca="false">IF(B92="","",IFERROR(INDEX(NV_CC,MATCH(B92,NV_MA,0)),""))</f>
        <v/>
      </c>
      <c r="G92" s="29" t="str">
        <f aca="false">IF(B92="","",IFERROR(INDEX(NV_CB,MATCH(B92,NV_MA,0)),""))</f>
        <v/>
      </c>
      <c r="H92" s="29" t="str">
        <f aca="false">IF(B92="","",IFERROR(INDEX(NV_TV,MATCH(B92,NV_MA,0)),""))</f>
        <v/>
      </c>
      <c r="I92" s="29" t="str">
        <f aca="false">IF(B92="","",IFERROR(INDEX(NV_BHXH,MATCH(B92,NV_MA,0)),""))</f>
        <v/>
      </c>
      <c r="J92" s="29" t="str">
        <f aca="false">IF(B92="","",IFERROR(INDEX(NV_DONG,MATCH(B92,NV_MA,0)),""))</f>
        <v/>
      </c>
      <c r="K92" s="29" t="str">
        <f aca="false">IF(B92="","",IFERROR(INDEX(NV_PC,MATCH(B92,NV_MA,0)),""))</f>
        <v/>
      </c>
      <c r="L92" s="18" t="str">
        <f aca="false">IF(B92="","",IFERROR(INDEX(NV_NHOMCC,MATCH(B92,NV_MA,0)),""))</f>
        <v/>
      </c>
      <c r="M92" s="25" t="str">
        <f aca="false">IF(B92="","",IFERROR(INDEX(BCC_CONG,MATCH(B92,BCC_MA,0)),0))</f>
        <v/>
      </c>
      <c r="N92" s="18" t="str">
        <f aca="false">IF(B92="","",IFERROR(INDEX(BCC_PHEP,MATCH(B92,BCC_MA,0)),0))</f>
        <v/>
      </c>
      <c r="O92" s="18" t="str">
        <f aca="false">IF(B92="","",IFERROR(INDEX(BCC_LE,MATCH(B92,BCC_MA,0)),0))</f>
        <v/>
      </c>
      <c r="P92" s="18" t="str">
        <f aca="false">IF(B92="","",IFERROR(INDEX(BCC_LEDL,MATCH(B92,BCC_MA,0)),0))</f>
        <v/>
      </c>
      <c r="Q92" s="18" t="str">
        <f aca="false">IF(B92="","",IFERROR(INDEX(BCC_CD,MATCH(B92,BCC_MA,0)),0))</f>
        <v/>
      </c>
      <c r="R92" s="29" t="str">
        <f aca="false">IF(B92="","",IF(E92="Khoán tháng",G92,IF(E92="Thử việc",IF(N(H92)&gt;0,H92,G92*TL_THUVIEC),G92)/F92*M92))</f>
        <v/>
      </c>
      <c r="S92" s="29" t="str">
        <f aca="false">IF(B92="","",IF(E92="Khoán tháng",0,I92/NGAY_CHIA*N92))</f>
        <v/>
      </c>
      <c r="T92" s="29" t="str">
        <f aca="false">IF(B92="","",IF(E92="Khoán tháng",0,I92/NGAY_CHIA*O92))</f>
        <v/>
      </c>
      <c r="U92" s="29" t="str">
        <f aca="false">IF(B92="","",IF(E92="Khoán tháng",0,G92/F92/GIO_CONG*P92*HS_LE))</f>
        <v/>
      </c>
      <c r="V92" s="29" t="str">
        <f aca="false">IF(B92="","",IF(E92="Khoán tháng",0,I92/NGAY_CHIA*Q92))</f>
        <v/>
      </c>
      <c r="W92" s="29" t="str">
        <f aca="false">IF(B92="","",IF(L92="Chung",IF(M92&gt;=CC_NGUONG,CC_TIEN,0),IF(L92="Cơ điện",IF(M92&gt;CD_N2,CD_T2,IF(M92&gt;CD_N1,CD_T1,0)),0))+SUMIFS(DC_TIEN,DC_MA,$B92,DC_LOAI,"Chuyên cần",DC_AP,"Có"))</f>
        <v/>
      </c>
      <c r="X92" s="29" t="str">
        <f aca="false">IF(B92="","",N(K92))</f>
        <v/>
      </c>
      <c r="Y92" s="29" t="str">
        <f aca="false">IF(B92="","",SUMIFS(DC_TIEN,DC_MA,$B92,DC_LOAI,"Truy lĩnh",DC_AP,"Có")+SUMIFS(DC_TIEN,DC_MA,$B92,DC_LOAI,"Cộng khác",DC_AP,"Có"))</f>
        <v/>
      </c>
      <c r="Z92" s="30" t="str">
        <f aca="false">IF(B92="","",SUM(R92:Y92))</f>
        <v/>
      </c>
      <c r="AA92" s="29" t="str">
        <f aca="false">IF(B92="","",IF(J92="Có",I92*BHXH_NLD,0))</f>
        <v/>
      </c>
      <c r="AB92" s="29" t="str">
        <f aca="false">IF(B92="","",SUMIFS(DC_TIEN,DC_MA,$B92,DC_LOAI,"Tạm ứng",DC_AP,"Có"))</f>
        <v/>
      </c>
      <c r="AC92" s="29" t="str">
        <f aca="false">IF(B92="","",SUMIFS(DC_TIEN,DC_MA,$B92,DC_LOAI,"Trừ khác",DC_AP,"Có"))</f>
        <v/>
      </c>
      <c r="AD92" s="29" t="str">
        <f aca="false">IF(B92="","",SUMIFS(DC_TIEN,DC_MA,$B92,DC_LOAI,"KPI trừ",DC_AP,"Có"))</f>
        <v/>
      </c>
      <c r="AE92" s="29" t="str">
        <f aca="false">IF(B92="","",SUM(AA92:AD92))</f>
        <v/>
      </c>
      <c r="AF92" s="30" t="str">
        <f aca="false">IF(B92="","",ROUNDDOWN(Z92-AE92,-3))</f>
        <v/>
      </c>
      <c r="AG92" s="20"/>
    </row>
    <row r="93" customFormat="false" ht="15" hidden="false" customHeight="false" outlineLevel="0" collapsed="false">
      <c r="A93" s="18" t="str">
        <f aca="false">IF(B93="","",ROW()-5)</f>
        <v/>
      </c>
      <c r="B93" s="28" t="str">
        <f aca="false">IF(BCC!B93="","",BCC!B93)</f>
        <v/>
      </c>
      <c r="C93" s="18" t="str">
        <f aca="false">IF(B93="","",IFERROR(INDEX(NV_TEN,MATCH(B93,NV_MA,0)),"MÃ KHÔNG CÓ"))</f>
        <v/>
      </c>
      <c r="D93" s="18" t="str">
        <f aca="false">IF(B93="","",IFERROR(INDEX(NV_PN,MATCH(B93,NV_MA,0)),""))</f>
        <v/>
      </c>
      <c r="E93" s="18" t="str">
        <f aca="false">IF(B93="","",IFERROR(INDEX(NV_HT,MATCH(B93,NV_MA,0)),""))</f>
        <v/>
      </c>
      <c r="F93" s="18" t="str">
        <f aca="false">IF(B93="","",IFERROR(INDEX(NV_CC,MATCH(B93,NV_MA,0)),""))</f>
        <v/>
      </c>
      <c r="G93" s="29" t="str">
        <f aca="false">IF(B93="","",IFERROR(INDEX(NV_CB,MATCH(B93,NV_MA,0)),""))</f>
        <v/>
      </c>
      <c r="H93" s="29" t="str">
        <f aca="false">IF(B93="","",IFERROR(INDEX(NV_TV,MATCH(B93,NV_MA,0)),""))</f>
        <v/>
      </c>
      <c r="I93" s="29" t="str">
        <f aca="false">IF(B93="","",IFERROR(INDEX(NV_BHXH,MATCH(B93,NV_MA,0)),""))</f>
        <v/>
      </c>
      <c r="J93" s="29" t="str">
        <f aca="false">IF(B93="","",IFERROR(INDEX(NV_DONG,MATCH(B93,NV_MA,0)),""))</f>
        <v/>
      </c>
      <c r="K93" s="29" t="str">
        <f aca="false">IF(B93="","",IFERROR(INDEX(NV_PC,MATCH(B93,NV_MA,0)),""))</f>
        <v/>
      </c>
      <c r="L93" s="18" t="str">
        <f aca="false">IF(B93="","",IFERROR(INDEX(NV_NHOMCC,MATCH(B93,NV_MA,0)),""))</f>
        <v/>
      </c>
      <c r="M93" s="25" t="str">
        <f aca="false">IF(B93="","",IFERROR(INDEX(BCC_CONG,MATCH(B93,BCC_MA,0)),0))</f>
        <v/>
      </c>
      <c r="N93" s="18" t="str">
        <f aca="false">IF(B93="","",IFERROR(INDEX(BCC_PHEP,MATCH(B93,BCC_MA,0)),0))</f>
        <v/>
      </c>
      <c r="O93" s="18" t="str">
        <f aca="false">IF(B93="","",IFERROR(INDEX(BCC_LE,MATCH(B93,BCC_MA,0)),0))</f>
        <v/>
      </c>
      <c r="P93" s="18" t="str">
        <f aca="false">IF(B93="","",IFERROR(INDEX(BCC_LEDL,MATCH(B93,BCC_MA,0)),0))</f>
        <v/>
      </c>
      <c r="Q93" s="18" t="str">
        <f aca="false">IF(B93="","",IFERROR(INDEX(BCC_CD,MATCH(B93,BCC_MA,0)),0))</f>
        <v/>
      </c>
      <c r="R93" s="29" t="str">
        <f aca="false">IF(B93="","",IF(E93="Khoán tháng",G93,IF(E93="Thử việc",IF(N(H93)&gt;0,H93,G93*TL_THUVIEC),G93)/F93*M93))</f>
        <v/>
      </c>
      <c r="S93" s="29" t="str">
        <f aca="false">IF(B93="","",IF(E93="Khoán tháng",0,I93/NGAY_CHIA*N93))</f>
        <v/>
      </c>
      <c r="T93" s="29" t="str">
        <f aca="false">IF(B93="","",IF(E93="Khoán tháng",0,I93/NGAY_CHIA*O93))</f>
        <v/>
      </c>
      <c r="U93" s="29" t="str">
        <f aca="false">IF(B93="","",IF(E93="Khoán tháng",0,G93/F93/GIO_CONG*P93*HS_LE))</f>
        <v/>
      </c>
      <c r="V93" s="29" t="str">
        <f aca="false">IF(B93="","",IF(E93="Khoán tháng",0,I93/NGAY_CHIA*Q93))</f>
        <v/>
      </c>
      <c r="W93" s="29" t="str">
        <f aca="false">IF(B93="","",IF(L93="Chung",IF(M93&gt;=CC_NGUONG,CC_TIEN,0),IF(L93="Cơ điện",IF(M93&gt;CD_N2,CD_T2,IF(M93&gt;CD_N1,CD_T1,0)),0))+SUMIFS(DC_TIEN,DC_MA,$B93,DC_LOAI,"Chuyên cần",DC_AP,"Có"))</f>
        <v/>
      </c>
      <c r="X93" s="29" t="str">
        <f aca="false">IF(B93="","",N(K93))</f>
        <v/>
      </c>
      <c r="Y93" s="29" t="str">
        <f aca="false">IF(B93="","",SUMIFS(DC_TIEN,DC_MA,$B93,DC_LOAI,"Truy lĩnh",DC_AP,"Có")+SUMIFS(DC_TIEN,DC_MA,$B93,DC_LOAI,"Cộng khác",DC_AP,"Có"))</f>
        <v/>
      </c>
      <c r="Z93" s="30" t="str">
        <f aca="false">IF(B93="","",SUM(R93:Y93))</f>
        <v/>
      </c>
      <c r="AA93" s="29" t="str">
        <f aca="false">IF(B93="","",IF(J93="Có",I93*BHXH_NLD,0))</f>
        <v/>
      </c>
      <c r="AB93" s="29" t="str">
        <f aca="false">IF(B93="","",SUMIFS(DC_TIEN,DC_MA,$B93,DC_LOAI,"Tạm ứng",DC_AP,"Có"))</f>
        <v/>
      </c>
      <c r="AC93" s="29" t="str">
        <f aca="false">IF(B93="","",SUMIFS(DC_TIEN,DC_MA,$B93,DC_LOAI,"Trừ khác",DC_AP,"Có"))</f>
        <v/>
      </c>
      <c r="AD93" s="29" t="str">
        <f aca="false">IF(B93="","",SUMIFS(DC_TIEN,DC_MA,$B93,DC_LOAI,"KPI trừ",DC_AP,"Có"))</f>
        <v/>
      </c>
      <c r="AE93" s="29" t="str">
        <f aca="false">IF(B93="","",SUM(AA93:AD93))</f>
        <v/>
      </c>
      <c r="AF93" s="30" t="str">
        <f aca="false">IF(B93="","",ROUNDDOWN(Z93-AE93,-3))</f>
        <v/>
      </c>
      <c r="AG93" s="20"/>
    </row>
    <row r="94" customFormat="false" ht="15" hidden="false" customHeight="false" outlineLevel="0" collapsed="false">
      <c r="A94" s="18" t="str">
        <f aca="false">IF(B94="","",ROW()-5)</f>
        <v/>
      </c>
      <c r="B94" s="28" t="str">
        <f aca="false">IF(BCC!B94="","",BCC!B94)</f>
        <v/>
      </c>
      <c r="C94" s="18" t="str">
        <f aca="false">IF(B94="","",IFERROR(INDEX(NV_TEN,MATCH(B94,NV_MA,0)),"MÃ KHÔNG CÓ"))</f>
        <v/>
      </c>
      <c r="D94" s="18" t="str">
        <f aca="false">IF(B94="","",IFERROR(INDEX(NV_PN,MATCH(B94,NV_MA,0)),""))</f>
        <v/>
      </c>
      <c r="E94" s="18" t="str">
        <f aca="false">IF(B94="","",IFERROR(INDEX(NV_HT,MATCH(B94,NV_MA,0)),""))</f>
        <v/>
      </c>
      <c r="F94" s="18" t="str">
        <f aca="false">IF(B94="","",IFERROR(INDEX(NV_CC,MATCH(B94,NV_MA,0)),""))</f>
        <v/>
      </c>
      <c r="G94" s="29" t="str">
        <f aca="false">IF(B94="","",IFERROR(INDEX(NV_CB,MATCH(B94,NV_MA,0)),""))</f>
        <v/>
      </c>
      <c r="H94" s="29" t="str">
        <f aca="false">IF(B94="","",IFERROR(INDEX(NV_TV,MATCH(B94,NV_MA,0)),""))</f>
        <v/>
      </c>
      <c r="I94" s="29" t="str">
        <f aca="false">IF(B94="","",IFERROR(INDEX(NV_BHXH,MATCH(B94,NV_MA,0)),""))</f>
        <v/>
      </c>
      <c r="J94" s="29" t="str">
        <f aca="false">IF(B94="","",IFERROR(INDEX(NV_DONG,MATCH(B94,NV_MA,0)),""))</f>
        <v/>
      </c>
      <c r="K94" s="29" t="str">
        <f aca="false">IF(B94="","",IFERROR(INDEX(NV_PC,MATCH(B94,NV_MA,0)),""))</f>
        <v/>
      </c>
      <c r="L94" s="18" t="str">
        <f aca="false">IF(B94="","",IFERROR(INDEX(NV_NHOMCC,MATCH(B94,NV_MA,0)),""))</f>
        <v/>
      </c>
      <c r="M94" s="25" t="str">
        <f aca="false">IF(B94="","",IFERROR(INDEX(BCC_CONG,MATCH(B94,BCC_MA,0)),0))</f>
        <v/>
      </c>
      <c r="N94" s="18" t="str">
        <f aca="false">IF(B94="","",IFERROR(INDEX(BCC_PHEP,MATCH(B94,BCC_MA,0)),0))</f>
        <v/>
      </c>
      <c r="O94" s="18" t="str">
        <f aca="false">IF(B94="","",IFERROR(INDEX(BCC_LE,MATCH(B94,BCC_MA,0)),0))</f>
        <v/>
      </c>
      <c r="P94" s="18" t="str">
        <f aca="false">IF(B94="","",IFERROR(INDEX(BCC_LEDL,MATCH(B94,BCC_MA,0)),0))</f>
        <v/>
      </c>
      <c r="Q94" s="18" t="str">
        <f aca="false">IF(B94="","",IFERROR(INDEX(BCC_CD,MATCH(B94,BCC_MA,0)),0))</f>
        <v/>
      </c>
      <c r="R94" s="29" t="str">
        <f aca="false">IF(B94="","",IF(E94="Khoán tháng",G94,IF(E94="Thử việc",IF(N(H94)&gt;0,H94,G94*TL_THUVIEC),G94)/F94*M94))</f>
        <v/>
      </c>
      <c r="S94" s="29" t="str">
        <f aca="false">IF(B94="","",IF(E94="Khoán tháng",0,I94/NGAY_CHIA*N94))</f>
        <v/>
      </c>
      <c r="T94" s="29" t="str">
        <f aca="false">IF(B94="","",IF(E94="Khoán tháng",0,I94/NGAY_CHIA*O94))</f>
        <v/>
      </c>
      <c r="U94" s="29" t="str">
        <f aca="false">IF(B94="","",IF(E94="Khoán tháng",0,G94/F94/GIO_CONG*P94*HS_LE))</f>
        <v/>
      </c>
      <c r="V94" s="29" t="str">
        <f aca="false">IF(B94="","",IF(E94="Khoán tháng",0,I94/NGAY_CHIA*Q94))</f>
        <v/>
      </c>
      <c r="W94" s="29" t="str">
        <f aca="false">IF(B94="","",IF(L94="Chung",IF(M94&gt;=CC_NGUONG,CC_TIEN,0),IF(L94="Cơ điện",IF(M94&gt;CD_N2,CD_T2,IF(M94&gt;CD_N1,CD_T1,0)),0))+SUMIFS(DC_TIEN,DC_MA,$B94,DC_LOAI,"Chuyên cần",DC_AP,"Có"))</f>
        <v/>
      </c>
      <c r="X94" s="29" t="str">
        <f aca="false">IF(B94="","",N(K94))</f>
        <v/>
      </c>
      <c r="Y94" s="29" t="str">
        <f aca="false">IF(B94="","",SUMIFS(DC_TIEN,DC_MA,$B94,DC_LOAI,"Truy lĩnh",DC_AP,"Có")+SUMIFS(DC_TIEN,DC_MA,$B94,DC_LOAI,"Cộng khác",DC_AP,"Có"))</f>
        <v/>
      </c>
      <c r="Z94" s="30" t="str">
        <f aca="false">IF(B94="","",SUM(R94:Y94))</f>
        <v/>
      </c>
      <c r="AA94" s="29" t="str">
        <f aca="false">IF(B94="","",IF(J94="Có",I94*BHXH_NLD,0))</f>
        <v/>
      </c>
      <c r="AB94" s="29" t="str">
        <f aca="false">IF(B94="","",SUMIFS(DC_TIEN,DC_MA,$B94,DC_LOAI,"Tạm ứng",DC_AP,"Có"))</f>
        <v/>
      </c>
      <c r="AC94" s="29" t="str">
        <f aca="false">IF(B94="","",SUMIFS(DC_TIEN,DC_MA,$B94,DC_LOAI,"Trừ khác",DC_AP,"Có"))</f>
        <v/>
      </c>
      <c r="AD94" s="29" t="str">
        <f aca="false">IF(B94="","",SUMIFS(DC_TIEN,DC_MA,$B94,DC_LOAI,"KPI trừ",DC_AP,"Có"))</f>
        <v/>
      </c>
      <c r="AE94" s="29" t="str">
        <f aca="false">IF(B94="","",SUM(AA94:AD94))</f>
        <v/>
      </c>
      <c r="AF94" s="30" t="str">
        <f aca="false">IF(B94="","",ROUNDDOWN(Z94-AE94,-3))</f>
        <v/>
      </c>
      <c r="AG94" s="20"/>
    </row>
    <row r="95" customFormat="false" ht="15" hidden="false" customHeight="false" outlineLevel="0" collapsed="false">
      <c r="A95" s="18" t="str">
        <f aca="false">IF(B95="","",ROW()-5)</f>
        <v/>
      </c>
      <c r="B95" s="28" t="str">
        <f aca="false">IF(BCC!B95="","",BCC!B95)</f>
        <v/>
      </c>
      <c r="C95" s="18" t="str">
        <f aca="false">IF(B95="","",IFERROR(INDEX(NV_TEN,MATCH(B95,NV_MA,0)),"MÃ KHÔNG CÓ"))</f>
        <v/>
      </c>
      <c r="D95" s="18" t="str">
        <f aca="false">IF(B95="","",IFERROR(INDEX(NV_PN,MATCH(B95,NV_MA,0)),""))</f>
        <v/>
      </c>
      <c r="E95" s="18" t="str">
        <f aca="false">IF(B95="","",IFERROR(INDEX(NV_HT,MATCH(B95,NV_MA,0)),""))</f>
        <v/>
      </c>
      <c r="F95" s="18" t="str">
        <f aca="false">IF(B95="","",IFERROR(INDEX(NV_CC,MATCH(B95,NV_MA,0)),""))</f>
        <v/>
      </c>
      <c r="G95" s="29" t="str">
        <f aca="false">IF(B95="","",IFERROR(INDEX(NV_CB,MATCH(B95,NV_MA,0)),""))</f>
        <v/>
      </c>
      <c r="H95" s="29" t="str">
        <f aca="false">IF(B95="","",IFERROR(INDEX(NV_TV,MATCH(B95,NV_MA,0)),""))</f>
        <v/>
      </c>
      <c r="I95" s="29" t="str">
        <f aca="false">IF(B95="","",IFERROR(INDEX(NV_BHXH,MATCH(B95,NV_MA,0)),""))</f>
        <v/>
      </c>
      <c r="J95" s="29" t="str">
        <f aca="false">IF(B95="","",IFERROR(INDEX(NV_DONG,MATCH(B95,NV_MA,0)),""))</f>
        <v/>
      </c>
      <c r="K95" s="29" t="str">
        <f aca="false">IF(B95="","",IFERROR(INDEX(NV_PC,MATCH(B95,NV_MA,0)),""))</f>
        <v/>
      </c>
      <c r="L95" s="18" t="str">
        <f aca="false">IF(B95="","",IFERROR(INDEX(NV_NHOMCC,MATCH(B95,NV_MA,0)),""))</f>
        <v/>
      </c>
      <c r="M95" s="25" t="str">
        <f aca="false">IF(B95="","",IFERROR(INDEX(BCC_CONG,MATCH(B95,BCC_MA,0)),0))</f>
        <v/>
      </c>
      <c r="N95" s="18" t="str">
        <f aca="false">IF(B95="","",IFERROR(INDEX(BCC_PHEP,MATCH(B95,BCC_MA,0)),0))</f>
        <v/>
      </c>
      <c r="O95" s="18" t="str">
        <f aca="false">IF(B95="","",IFERROR(INDEX(BCC_LE,MATCH(B95,BCC_MA,0)),0))</f>
        <v/>
      </c>
      <c r="P95" s="18" t="str">
        <f aca="false">IF(B95="","",IFERROR(INDEX(BCC_LEDL,MATCH(B95,BCC_MA,0)),0))</f>
        <v/>
      </c>
      <c r="Q95" s="18" t="str">
        <f aca="false">IF(B95="","",IFERROR(INDEX(BCC_CD,MATCH(B95,BCC_MA,0)),0))</f>
        <v/>
      </c>
      <c r="R95" s="29" t="str">
        <f aca="false">IF(B95="","",IF(E95="Khoán tháng",G95,IF(E95="Thử việc",IF(N(H95)&gt;0,H95,G95*TL_THUVIEC),G95)/F95*M95))</f>
        <v/>
      </c>
      <c r="S95" s="29" t="str">
        <f aca="false">IF(B95="","",IF(E95="Khoán tháng",0,I95/NGAY_CHIA*N95))</f>
        <v/>
      </c>
      <c r="T95" s="29" t="str">
        <f aca="false">IF(B95="","",IF(E95="Khoán tháng",0,I95/NGAY_CHIA*O95))</f>
        <v/>
      </c>
      <c r="U95" s="29" t="str">
        <f aca="false">IF(B95="","",IF(E95="Khoán tháng",0,G95/F95/GIO_CONG*P95*HS_LE))</f>
        <v/>
      </c>
      <c r="V95" s="29" t="str">
        <f aca="false">IF(B95="","",IF(E95="Khoán tháng",0,I95/NGAY_CHIA*Q95))</f>
        <v/>
      </c>
      <c r="W95" s="29" t="str">
        <f aca="false">IF(B95="","",IF(L95="Chung",IF(M95&gt;=CC_NGUONG,CC_TIEN,0),IF(L95="Cơ điện",IF(M95&gt;CD_N2,CD_T2,IF(M95&gt;CD_N1,CD_T1,0)),0))+SUMIFS(DC_TIEN,DC_MA,$B95,DC_LOAI,"Chuyên cần",DC_AP,"Có"))</f>
        <v/>
      </c>
      <c r="X95" s="29" t="str">
        <f aca="false">IF(B95="","",N(K95))</f>
        <v/>
      </c>
      <c r="Y95" s="29" t="str">
        <f aca="false">IF(B95="","",SUMIFS(DC_TIEN,DC_MA,$B95,DC_LOAI,"Truy lĩnh",DC_AP,"Có")+SUMIFS(DC_TIEN,DC_MA,$B95,DC_LOAI,"Cộng khác",DC_AP,"Có"))</f>
        <v/>
      </c>
      <c r="Z95" s="30" t="str">
        <f aca="false">IF(B95="","",SUM(R95:Y95))</f>
        <v/>
      </c>
      <c r="AA95" s="29" t="str">
        <f aca="false">IF(B95="","",IF(J95="Có",I95*BHXH_NLD,0))</f>
        <v/>
      </c>
      <c r="AB95" s="29" t="str">
        <f aca="false">IF(B95="","",SUMIFS(DC_TIEN,DC_MA,$B95,DC_LOAI,"Tạm ứng",DC_AP,"Có"))</f>
        <v/>
      </c>
      <c r="AC95" s="29" t="str">
        <f aca="false">IF(B95="","",SUMIFS(DC_TIEN,DC_MA,$B95,DC_LOAI,"Trừ khác",DC_AP,"Có"))</f>
        <v/>
      </c>
      <c r="AD95" s="29" t="str">
        <f aca="false">IF(B95="","",SUMIFS(DC_TIEN,DC_MA,$B95,DC_LOAI,"KPI trừ",DC_AP,"Có"))</f>
        <v/>
      </c>
      <c r="AE95" s="29" t="str">
        <f aca="false">IF(B95="","",SUM(AA95:AD95))</f>
        <v/>
      </c>
      <c r="AF95" s="30" t="str">
        <f aca="false">IF(B95="","",ROUNDDOWN(Z95-AE95,-3))</f>
        <v/>
      </c>
      <c r="AG95" s="20"/>
    </row>
    <row r="96" customFormat="false" ht="15" hidden="false" customHeight="false" outlineLevel="0" collapsed="false">
      <c r="A96" s="18" t="str">
        <f aca="false">IF(B96="","",ROW()-5)</f>
        <v/>
      </c>
      <c r="B96" s="28" t="str">
        <f aca="false">IF(BCC!B96="","",BCC!B96)</f>
        <v/>
      </c>
      <c r="C96" s="18" t="str">
        <f aca="false">IF(B96="","",IFERROR(INDEX(NV_TEN,MATCH(B96,NV_MA,0)),"MÃ KHÔNG CÓ"))</f>
        <v/>
      </c>
      <c r="D96" s="18" t="str">
        <f aca="false">IF(B96="","",IFERROR(INDEX(NV_PN,MATCH(B96,NV_MA,0)),""))</f>
        <v/>
      </c>
      <c r="E96" s="18" t="str">
        <f aca="false">IF(B96="","",IFERROR(INDEX(NV_HT,MATCH(B96,NV_MA,0)),""))</f>
        <v/>
      </c>
      <c r="F96" s="18" t="str">
        <f aca="false">IF(B96="","",IFERROR(INDEX(NV_CC,MATCH(B96,NV_MA,0)),""))</f>
        <v/>
      </c>
      <c r="G96" s="29" t="str">
        <f aca="false">IF(B96="","",IFERROR(INDEX(NV_CB,MATCH(B96,NV_MA,0)),""))</f>
        <v/>
      </c>
      <c r="H96" s="29" t="str">
        <f aca="false">IF(B96="","",IFERROR(INDEX(NV_TV,MATCH(B96,NV_MA,0)),""))</f>
        <v/>
      </c>
      <c r="I96" s="29" t="str">
        <f aca="false">IF(B96="","",IFERROR(INDEX(NV_BHXH,MATCH(B96,NV_MA,0)),""))</f>
        <v/>
      </c>
      <c r="J96" s="29" t="str">
        <f aca="false">IF(B96="","",IFERROR(INDEX(NV_DONG,MATCH(B96,NV_MA,0)),""))</f>
        <v/>
      </c>
      <c r="K96" s="29" t="str">
        <f aca="false">IF(B96="","",IFERROR(INDEX(NV_PC,MATCH(B96,NV_MA,0)),""))</f>
        <v/>
      </c>
      <c r="L96" s="18" t="str">
        <f aca="false">IF(B96="","",IFERROR(INDEX(NV_NHOMCC,MATCH(B96,NV_MA,0)),""))</f>
        <v/>
      </c>
      <c r="M96" s="25" t="str">
        <f aca="false">IF(B96="","",IFERROR(INDEX(BCC_CONG,MATCH(B96,BCC_MA,0)),0))</f>
        <v/>
      </c>
      <c r="N96" s="18" t="str">
        <f aca="false">IF(B96="","",IFERROR(INDEX(BCC_PHEP,MATCH(B96,BCC_MA,0)),0))</f>
        <v/>
      </c>
      <c r="O96" s="18" t="str">
        <f aca="false">IF(B96="","",IFERROR(INDEX(BCC_LE,MATCH(B96,BCC_MA,0)),0))</f>
        <v/>
      </c>
      <c r="P96" s="18" t="str">
        <f aca="false">IF(B96="","",IFERROR(INDEX(BCC_LEDL,MATCH(B96,BCC_MA,0)),0))</f>
        <v/>
      </c>
      <c r="Q96" s="18" t="str">
        <f aca="false">IF(B96="","",IFERROR(INDEX(BCC_CD,MATCH(B96,BCC_MA,0)),0))</f>
        <v/>
      </c>
      <c r="R96" s="29" t="str">
        <f aca="false">IF(B96="","",IF(E96="Khoán tháng",G96,IF(E96="Thử việc",IF(N(H96)&gt;0,H96,G96*TL_THUVIEC),G96)/F96*M96))</f>
        <v/>
      </c>
      <c r="S96" s="29" t="str">
        <f aca="false">IF(B96="","",IF(E96="Khoán tháng",0,I96/NGAY_CHIA*N96))</f>
        <v/>
      </c>
      <c r="T96" s="29" t="str">
        <f aca="false">IF(B96="","",IF(E96="Khoán tháng",0,I96/NGAY_CHIA*O96))</f>
        <v/>
      </c>
      <c r="U96" s="29" t="str">
        <f aca="false">IF(B96="","",IF(E96="Khoán tháng",0,G96/F96/GIO_CONG*P96*HS_LE))</f>
        <v/>
      </c>
      <c r="V96" s="29" t="str">
        <f aca="false">IF(B96="","",IF(E96="Khoán tháng",0,I96/NGAY_CHIA*Q96))</f>
        <v/>
      </c>
      <c r="W96" s="29" t="str">
        <f aca="false">IF(B96="","",IF(L96="Chung",IF(M96&gt;=CC_NGUONG,CC_TIEN,0),IF(L96="Cơ điện",IF(M96&gt;CD_N2,CD_T2,IF(M96&gt;CD_N1,CD_T1,0)),0))+SUMIFS(DC_TIEN,DC_MA,$B96,DC_LOAI,"Chuyên cần",DC_AP,"Có"))</f>
        <v/>
      </c>
      <c r="X96" s="29" t="str">
        <f aca="false">IF(B96="","",N(K96))</f>
        <v/>
      </c>
      <c r="Y96" s="29" t="str">
        <f aca="false">IF(B96="","",SUMIFS(DC_TIEN,DC_MA,$B96,DC_LOAI,"Truy lĩnh",DC_AP,"Có")+SUMIFS(DC_TIEN,DC_MA,$B96,DC_LOAI,"Cộng khác",DC_AP,"Có"))</f>
        <v/>
      </c>
      <c r="Z96" s="30" t="str">
        <f aca="false">IF(B96="","",SUM(R96:Y96))</f>
        <v/>
      </c>
      <c r="AA96" s="29" t="str">
        <f aca="false">IF(B96="","",IF(J96="Có",I96*BHXH_NLD,0))</f>
        <v/>
      </c>
      <c r="AB96" s="29" t="str">
        <f aca="false">IF(B96="","",SUMIFS(DC_TIEN,DC_MA,$B96,DC_LOAI,"Tạm ứng",DC_AP,"Có"))</f>
        <v/>
      </c>
      <c r="AC96" s="29" t="str">
        <f aca="false">IF(B96="","",SUMIFS(DC_TIEN,DC_MA,$B96,DC_LOAI,"Trừ khác",DC_AP,"Có"))</f>
        <v/>
      </c>
      <c r="AD96" s="29" t="str">
        <f aca="false">IF(B96="","",SUMIFS(DC_TIEN,DC_MA,$B96,DC_LOAI,"KPI trừ",DC_AP,"Có"))</f>
        <v/>
      </c>
      <c r="AE96" s="29" t="str">
        <f aca="false">IF(B96="","",SUM(AA96:AD96))</f>
        <v/>
      </c>
      <c r="AF96" s="30" t="str">
        <f aca="false">IF(B96="","",ROUNDDOWN(Z96-AE96,-3))</f>
        <v/>
      </c>
      <c r="AG96" s="20"/>
    </row>
    <row r="97" customFormat="false" ht="15" hidden="false" customHeight="false" outlineLevel="0" collapsed="false">
      <c r="A97" s="18" t="str">
        <f aca="false">IF(B97="","",ROW()-5)</f>
        <v/>
      </c>
      <c r="B97" s="28" t="str">
        <f aca="false">IF(BCC!B97="","",BCC!B97)</f>
        <v/>
      </c>
      <c r="C97" s="18" t="str">
        <f aca="false">IF(B97="","",IFERROR(INDEX(NV_TEN,MATCH(B97,NV_MA,0)),"MÃ KHÔNG CÓ"))</f>
        <v/>
      </c>
      <c r="D97" s="18" t="str">
        <f aca="false">IF(B97="","",IFERROR(INDEX(NV_PN,MATCH(B97,NV_MA,0)),""))</f>
        <v/>
      </c>
      <c r="E97" s="18" t="str">
        <f aca="false">IF(B97="","",IFERROR(INDEX(NV_HT,MATCH(B97,NV_MA,0)),""))</f>
        <v/>
      </c>
      <c r="F97" s="18" t="str">
        <f aca="false">IF(B97="","",IFERROR(INDEX(NV_CC,MATCH(B97,NV_MA,0)),""))</f>
        <v/>
      </c>
      <c r="G97" s="29" t="str">
        <f aca="false">IF(B97="","",IFERROR(INDEX(NV_CB,MATCH(B97,NV_MA,0)),""))</f>
        <v/>
      </c>
      <c r="H97" s="29" t="str">
        <f aca="false">IF(B97="","",IFERROR(INDEX(NV_TV,MATCH(B97,NV_MA,0)),""))</f>
        <v/>
      </c>
      <c r="I97" s="29" t="str">
        <f aca="false">IF(B97="","",IFERROR(INDEX(NV_BHXH,MATCH(B97,NV_MA,0)),""))</f>
        <v/>
      </c>
      <c r="J97" s="29" t="str">
        <f aca="false">IF(B97="","",IFERROR(INDEX(NV_DONG,MATCH(B97,NV_MA,0)),""))</f>
        <v/>
      </c>
      <c r="K97" s="29" t="str">
        <f aca="false">IF(B97="","",IFERROR(INDEX(NV_PC,MATCH(B97,NV_MA,0)),""))</f>
        <v/>
      </c>
      <c r="L97" s="18" t="str">
        <f aca="false">IF(B97="","",IFERROR(INDEX(NV_NHOMCC,MATCH(B97,NV_MA,0)),""))</f>
        <v/>
      </c>
      <c r="M97" s="25" t="str">
        <f aca="false">IF(B97="","",IFERROR(INDEX(BCC_CONG,MATCH(B97,BCC_MA,0)),0))</f>
        <v/>
      </c>
      <c r="N97" s="18" t="str">
        <f aca="false">IF(B97="","",IFERROR(INDEX(BCC_PHEP,MATCH(B97,BCC_MA,0)),0))</f>
        <v/>
      </c>
      <c r="O97" s="18" t="str">
        <f aca="false">IF(B97="","",IFERROR(INDEX(BCC_LE,MATCH(B97,BCC_MA,0)),0))</f>
        <v/>
      </c>
      <c r="P97" s="18" t="str">
        <f aca="false">IF(B97="","",IFERROR(INDEX(BCC_LEDL,MATCH(B97,BCC_MA,0)),0))</f>
        <v/>
      </c>
      <c r="Q97" s="18" t="str">
        <f aca="false">IF(B97="","",IFERROR(INDEX(BCC_CD,MATCH(B97,BCC_MA,0)),0))</f>
        <v/>
      </c>
      <c r="R97" s="29" t="str">
        <f aca="false">IF(B97="","",IF(E97="Khoán tháng",G97,IF(E97="Thử việc",IF(N(H97)&gt;0,H97,G97*TL_THUVIEC),G97)/F97*M97))</f>
        <v/>
      </c>
      <c r="S97" s="29" t="str">
        <f aca="false">IF(B97="","",IF(E97="Khoán tháng",0,I97/NGAY_CHIA*N97))</f>
        <v/>
      </c>
      <c r="T97" s="29" t="str">
        <f aca="false">IF(B97="","",IF(E97="Khoán tháng",0,I97/NGAY_CHIA*O97))</f>
        <v/>
      </c>
      <c r="U97" s="29" t="str">
        <f aca="false">IF(B97="","",IF(E97="Khoán tháng",0,G97/F97/GIO_CONG*P97*HS_LE))</f>
        <v/>
      </c>
      <c r="V97" s="29" t="str">
        <f aca="false">IF(B97="","",IF(E97="Khoán tháng",0,I97/NGAY_CHIA*Q97))</f>
        <v/>
      </c>
      <c r="W97" s="29" t="str">
        <f aca="false">IF(B97="","",IF(L97="Chung",IF(M97&gt;=CC_NGUONG,CC_TIEN,0),IF(L97="Cơ điện",IF(M97&gt;CD_N2,CD_T2,IF(M97&gt;CD_N1,CD_T1,0)),0))+SUMIFS(DC_TIEN,DC_MA,$B97,DC_LOAI,"Chuyên cần",DC_AP,"Có"))</f>
        <v/>
      </c>
      <c r="X97" s="29" t="str">
        <f aca="false">IF(B97="","",N(K97))</f>
        <v/>
      </c>
      <c r="Y97" s="29" t="str">
        <f aca="false">IF(B97="","",SUMIFS(DC_TIEN,DC_MA,$B97,DC_LOAI,"Truy lĩnh",DC_AP,"Có")+SUMIFS(DC_TIEN,DC_MA,$B97,DC_LOAI,"Cộng khác",DC_AP,"Có"))</f>
        <v/>
      </c>
      <c r="Z97" s="30" t="str">
        <f aca="false">IF(B97="","",SUM(R97:Y97))</f>
        <v/>
      </c>
      <c r="AA97" s="29" t="str">
        <f aca="false">IF(B97="","",IF(J97="Có",I97*BHXH_NLD,0))</f>
        <v/>
      </c>
      <c r="AB97" s="29" t="str">
        <f aca="false">IF(B97="","",SUMIFS(DC_TIEN,DC_MA,$B97,DC_LOAI,"Tạm ứng",DC_AP,"Có"))</f>
        <v/>
      </c>
      <c r="AC97" s="29" t="str">
        <f aca="false">IF(B97="","",SUMIFS(DC_TIEN,DC_MA,$B97,DC_LOAI,"Trừ khác",DC_AP,"Có"))</f>
        <v/>
      </c>
      <c r="AD97" s="29" t="str">
        <f aca="false">IF(B97="","",SUMIFS(DC_TIEN,DC_MA,$B97,DC_LOAI,"KPI trừ",DC_AP,"Có"))</f>
        <v/>
      </c>
      <c r="AE97" s="29" t="str">
        <f aca="false">IF(B97="","",SUM(AA97:AD97))</f>
        <v/>
      </c>
      <c r="AF97" s="30" t="str">
        <f aca="false">IF(B97="","",ROUNDDOWN(Z97-AE97,-3))</f>
        <v/>
      </c>
      <c r="AG97" s="20"/>
    </row>
    <row r="98" customFormat="false" ht="15" hidden="false" customHeight="false" outlineLevel="0" collapsed="false">
      <c r="A98" s="18" t="str">
        <f aca="false">IF(B98="","",ROW()-5)</f>
        <v/>
      </c>
      <c r="B98" s="28" t="str">
        <f aca="false">IF(BCC!B98="","",BCC!B98)</f>
        <v/>
      </c>
      <c r="C98" s="18" t="str">
        <f aca="false">IF(B98="","",IFERROR(INDEX(NV_TEN,MATCH(B98,NV_MA,0)),"MÃ KHÔNG CÓ"))</f>
        <v/>
      </c>
      <c r="D98" s="18" t="str">
        <f aca="false">IF(B98="","",IFERROR(INDEX(NV_PN,MATCH(B98,NV_MA,0)),""))</f>
        <v/>
      </c>
      <c r="E98" s="18" t="str">
        <f aca="false">IF(B98="","",IFERROR(INDEX(NV_HT,MATCH(B98,NV_MA,0)),""))</f>
        <v/>
      </c>
      <c r="F98" s="18" t="str">
        <f aca="false">IF(B98="","",IFERROR(INDEX(NV_CC,MATCH(B98,NV_MA,0)),""))</f>
        <v/>
      </c>
      <c r="G98" s="29" t="str">
        <f aca="false">IF(B98="","",IFERROR(INDEX(NV_CB,MATCH(B98,NV_MA,0)),""))</f>
        <v/>
      </c>
      <c r="H98" s="29" t="str">
        <f aca="false">IF(B98="","",IFERROR(INDEX(NV_TV,MATCH(B98,NV_MA,0)),""))</f>
        <v/>
      </c>
      <c r="I98" s="29" t="str">
        <f aca="false">IF(B98="","",IFERROR(INDEX(NV_BHXH,MATCH(B98,NV_MA,0)),""))</f>
        <v/>
      </c>
      <c r="J98" s="29" t="str">
        <f aca="false">IF(B98="","",IFERROR(INDEX(NV_DONG,MATCH(B98,NV_MA,0)),""))</f>
        <v/>
      </c>
      <c r="K98" s="29" t="str">
        <f aca="false">IF(B98="","",IFERROR(INDEX(NV_PC,MATCH(B98,NV_MA,0)),""))</f>
        <v/>
      </c>
      <c r="L98" s="18" t="str">
        <f aca="false">IF(B98="","",IFERROR(INDEX(NV_NHOMCC,MATCH(B98,NV_MA,0)),""))</f>
        <v/>
      </c>
      <c r="M98" s="25" t="str">
        <f aca="false">IF(B98="","",IFERROR(INDEX(BCC_CONG,MATCH(B98,BCC_MA,0)),0))</f>
        <v/>
      </c>
      <c r="N98" s="18" t="str">
        <f aca="false">IF(B98="","",IFERROR(INDEX(BCC_PHEP,MATCH(B98,BCC_MA,0)),0))</f>
        <v/>
      </c>
      <c r="O98" s="18" t="str">
        <f aca="false">IF(B98="","",IFERROR(INDEX(BCC_LE,MATCH(B98,BCC_MA,0)),0))</f>
        <v/>
      </c>
      <c r="P98" s="18" t="str">
        <f aca="false">IF(B98="","",IFERROR(INDEX(BCC_LEDL,MATCH(B98,BCC_MA,0)),0))</f>
        <v/>
      </c>
      <c r="Q98" s="18" t="str">
        <f aca="false">IF(B98="","",IFERROR(INDEX(BCC_CD,MATCH(B98,BCC_MA,0)),0))</f>
        <v/>
      </c>
      <c r="R98" s="29" t="str">
        <f aca="false">IF(B98="","",IF(E98="Khoán tháng",G98,IF(E98="Thử việc",IF(N(H98)&gt;0,H98,G98*TL_THUVIEC),G98)/F98*M98))</f>
        <v/>
      </c>
      <c r="S98" s="29" t="str">
        <f aca="false">IF(B98="","",IF(E98="Khoán tháng",0,I98/NGAY_CHIA*N98))</f>
        <v/>
      </c>
      <c r="T98" s="29" t="str">
        <f aca="false">IF(B98="","",IF(E98="Khoán tháng",0,I98/NGAY_CHIA*O98))</f>
        <v/>
      </c>
      <c r="U98" s="29" t="str">
        <f aca="false">IF(B98="","",IF(E98="Khoán tháng",0,G98/F98/GIO_CONG*P98*HS_LE))</f>
        <v/>
      </c>
      <c r="V98" s="29" t="str">
        <f aca="false">IF(B98="","",IF(E98="Khoán tháng",0,I98/NGAY_CHIA*Q98))</f>
        <v/>
      </c>
      <c r="W98" s="29" t="str">
        <f aca="false">IF(B98="","",IF(L98="Chung",IF(M98&gt;=CC_NGUONG,CC_TIEN,0),IF(L98="Cơ điện",IF(M98&gt;CD_N2,CD_T2,IF(M98&gt;CD_N1,CD_T1,0)),0))+SUMIFS(DC_TIEN,DC_MA,$B98,DC_LOAI,"Chuyên cần",DC_AP,"Có"))</f>
        <v/>
      </c>
      <c r="X98" s="29" t="str">
        <f aca="false">IF(B98="","",N(K98))</f>
        <v/>
      </c>
      <c r="Y98" s="29" t="str">
        <f aca="false">IF(B98="","",SUMIFS(DC_TIEN,DC_MA,$B98,DC_LOAI,"Truy lĩnh",DC_AP,"Có")+SUMIFS(DC_TIEN,DC_MA,$B98,DC_LOAI,"Cộng khác",DC_AP,"Có"))</f>
        <v/>
      </c>
      <c r="Z98" s="30" t="str">
        <f aca="false">IF(B98="","",SUM(R98:Y98))</f>
        <v/>
      </c>
      <c r="AA98" s="29" t="str">
        <f aca="false">IF(B98="","",IF(J98="Có",I98*BHXH_NLD,0))</f>
        <v/>
      </c>
      <c r="AB98" s="29" t="str">
        <f aca="false">IF(B98="","",SUMIFS(DC_TIEN,DC_MA,$B98,DC_LOAI,"Tạm ứng",DC_AP,"Có"))</f>
        <v/>
      </c>
      <c r="AC98" s="29" t="str">
        <f aca="false">IF(B98="","",SUMIFS(DC_TIEN,DC_MA,$B98,DC_LOAI,"Trừ khác",DC_AP,"Có"))</f>
        <v/>
      </c>
      <c r="AD98" s="29" t="str">
        <f aca="false">IF(B98="","",SUMIFS(DC_TIEN,DC_MA,$B98,DC_LOAI,"KPI trừ",DC_AP,"Có"))</f>
        <v/>
      </c>
      <c r="AE98" s="29" t="str">
        <f aca="false">IF(B98="","",SUM(AA98:AD98))</f>
        <v/>
      </c>
      <c r="AF98" s="30" t="str">
        <f aca="false">IF(B98="","",ROUNDDOWN(Z98-AE98,-3))</f>
        <v/>
      </c>
      <c r="AG98" s="20"/>
    </row>
    <row r="99" customFormat="false" ht="15" hidden="false" customHeight="false" outlineLevel="0" collapsed="false">
      <c r="A99" s="18" t="str">
        <f aca="false">IF(B99="","",ROW()-5)</f>
        <v/>
      </c>
      <c r="B99" s="28" t="str">
        <f aca="false">IF(BCC!B99="","",BCC!B99)</f>
        <v/>
      </c>
      <c r="C99" s="18" t="str">
        <f aca="false">IF(B99="","",IFERROR(INDEX(NV_TEN,MATCH(B99,NV_MA,0)),"MÃ KHÔNG CÓ"))</f>
        <v/>
      </c>
      <c r="D99" s="18" t="str">
        <f aca="false">IF(B99="","",IFERROR(INDEX(NV_PN,MATCH(B99,NV_MA,0)),""))</f>
        <v/>
      </c>
      <c r="E99" s="18" t="str">
        <f aca="false">IF(B99="","",IFERROR(INDEX(NV_HT,MATCH(B99,NV_MA,0)),""))</f>
        <v/>
      </c>
      <c r="F99" s="18" t="str">
        <f aca="false">IF(B99="","",IFERROR(INDEX(NV_CC,MATCH(B99,NV_MA,0)),""))</f>
        <v/>
      </c>
      <c r="G99" s="29" t="str">
        <f aca="false">IF(B99="","",IFERROR(INDEX(NV_CB,MATCH(B99,NV_MA,0)),""))</f>
        <v/>
      </c>
      <c r="H99" s="29" t="str">
        <f aca="false">IF(B99="","",IFERROR(INDEX(NV_TV,MATCH(B99,NV_MA,0)),""))</f>
        <v/>
      </c>
      <c r="I99" s="29" t="str">
        <f aca="false">IF(B99="","",IFERROR(INDEX(NV_BHXH,MATCH(B99,NV_MA,0)),""))</f>
        <v/>
      </c>
      <c r="J99" s="29" t="str">
        <f aca="false">IF(B99="","",IFERROR(INDEX(NV_DONG,MATCH(B99,NV_MA,0)),""))</f>
        <v/>
      </c>
      <c r="K99" s="29" t="str">
        <f aca="false">IF(B99="","",IFERROR(INDEX(NV_PC,MATCH(B99,NV_MA,0)),""))</f>
        <v/>
      </c>
      <c r="L99" s="18" t="str">
        <f aca="false">IF(B99="","",IFERROR(INDEX(NV_NHOMCC,MATCH(B99,NV_MA,0)),""))</f>
        <v/>
      </c>
      <c r="M99" s="25" t="str">
        <f aca="false">IF(B99="","",IFERROR(INDEX(BCC_CONG,MATCH(B99,BCC_MA,0)),0))</f>
        <v/>
      </c>
      <c r="N99" s="18" t="str">
        <f aca="false">IF(B99="","",IFERROR(INDEX(BCC_PHEP,MATCH(B99,BCC_MA,0)),0))</f>
        <v/>
      </c>
      <c r="O99" s="18" t="str">
        <f aca="false">IF(B99="","",IFERROR(INDEX(BCC_LE,MATCH(B99,BCC_MA,0)),0))</f>
        <v/>
      </c>
      <c r="P99" s="18" t="str">
        <f aca="false">IF(B99="","",IFERROR(INDEX(BCC_LEDL,MATCH(B99,BCC_MA,0)),0))</f>
        <v/>
      </c>
      <c r="Q99" s="18" t="str">
        <f aca="false">IF(B99="","",IFERROR(INDEX(BCC_CD,MATCH(B99,BCC_MA,0)),0))</f>
        <v/>
      </c>
      <c r="R99" s="29" t="str">
        <f aca="false">IF(B99="","",IF(E99="Khoán tháng",G99,IF(E99="Thử việc",IF(N(H99)&gt;0,H99,G99*TL_THUVIEC),G99)/F99*M99))</f>
        <v/>
      </c>
      <c r="S99" s="29" t="str">
        <f aca="false">IF(B99="","",IF(E99="Khoán tháng",0,I99/NGAY_CHIA*N99))</f>
        <v/>
      </c>
      <c r="T99" s="29" t="str">
        <f aca="false">IF(B99="","",IF(E99="Khoán tháng",0,I99/NGAY_CHIA*O99))</f>
        <v/>
      </c>
      <c r="U99" s="29" t="str">
        <f aca="false">IF(B99="","",IF(E99="Khoán tháng",0,G99/F99/GIO_CONG*P99*HS_LE))</f>
        <v/>
      </c>
      <c r="V99" s="29" t="str">
        <f aca="false">IF(B99="","",IF(E99="Khoán tháng",0,I99/NGAY_CHIA*Q99))</f>
        <v/>
      </c>
      <c r="W99" s="29" t="str">
        <f aca="false">IF(B99="","",IF(L99="Chung",IF(M99&gt;=CC_NGUONG,CC_TIEN,0),IF(L99="Cơ điện",IF(M99&gt;CD_N2,CD_T2,IF(M99&gt;CD_N1,CD_T1,0)),0))+SUMIFS(DC_TIEN,DC_MA,$B99,DC_LOAI,"Chuyên cần",DC_AP,"Có"))</f>
        <v/>
      </c>
      <c r="X99" s="29" t="str">
        <f aca="false">IF(B99="","",N(K99))</f>
        <v/>
      </c>
      <c r="Y99" s="29" t="str">
        <f aca="false">IF(B99="","",SUMIFS(DC_TIEN,DC_MA,$B99,DC_LOAI,"Truy lĩnh",DC_AP,"Có")+SUMIFS(DC_TIEN,DC_MA,$B99,DC_LOAI,"Cộng khác",DC_AP,"Có"))</f>
        <v/>
      </c>
      <c r="Z99" s="30" t="str">
        <f aca="false">IF(B99="","",SUM(R99:Y99))</f>
        <v/>
      </c>
      <c r="AA99" s="29" t="str">
        <f aca="false">IF(B99="","",IF(J99="Có",I99*BHXH_NLD,0))</f>
        <v/>
      </c>
      <c r="AB99" s="29" t="str">
        <f aca="false">IF(B99="","",SUMIFS(DC_TIEN,DC_MA,$B99,DC_LOAI,"Tạm ứng",DC_AP,"Có"))</f>
        <v/>
      </c>
      <c r="AC99" s="29" t="str">
        <f aca="false">IF(B99="","",SUMIFS(DC_TIEN,DC_MA,$B99,DC_LOAI,"Trừ khác",DC_AP,"Có"))</f>
        <v/>
      </c>
      <c r="AD99" s="29" t="str">
        <f aca="false">IF(B99="","",SUMIFS(DC_TIEN,DC_MA,$B99,DC_LOAI,"KPI trừ",DC_AP,"Có"))</f>
        <v/>
      </c>
      <c r="AE99" s="29" t="str">
        <f aca="false">IF(B99="","",SUM(AA99:AD99))</f>
        <v/>
      </c>
      <c r="AF99" s="30" t="str">
        <f aca="false">IF(B99="","",ROUNDDOWN(Z99-AE99,-3))</f>
        <v/>
      </c>
      <c r="AG99" s="20"/>
    </row>
    <row r="100" customFormat="false" ht="15" hidden="false" customHeight="false" outlineLevel="0" collapsed="false">
      <c r="A100" s="18" t="str">
        <f aca="false">IF(B100="","",ROW()-5)</f>
        <v/>
      </c>
      <c r="B100" s="28" t="str">
        <f aca="false">IF(BCC!B100="","",BCC!B100)</f>
        <v/>
      </c>
      <c r="C100" s="18" t="str">
        <f aca="false">IF(B100="","",IFERROR(INDEX(NV_TEN,MATCH(B100,NV_MA,0)),"MÃ KHÔNG CÓ"))</f>
        <v/>
      </c>
      <c r="D100" s="18" t="str">
        <f aca="false">IF(B100="","",IFERROR(INDEX(NV_PN,MATCH(B100,NV_MA,0)),""))</f>
        <v/>
      </c>
      <c r="E100" s="18" t="str">
        <f aca="false">IF(B100="","",IFERROR(INDEX(NV_HT,MATCH(B100,NV_MA,0)),""))</f>
        <v/>
      </c>
      <c r="F100" s="18" t="str">
        <f aca="false">IF(B100="","",IFERROR(INDEX(NV_CC,MATCH(B100,NV_MA,0)),""))</f>
        <v/>
      </c>
      <c r="G100" s="29" t="str">
        <f aca="false">IF(B100="","",IFERROR(INDEX(NV_CB,MATCH(B100,NV_MA,0)),""))</f>
        <v/>
      </c>
      <c r="H100" s="29" t="str">
        <f aca="false">IF(B100="","",IFERROR(INDEX(NV_TV,MATCH(B100,NV_MA,0)),""))</f>
        <v/>
      </c>
      <c r="I100" s="29" t="str">
        <f aca="false">IF(B100="","",IFERROR(INDEX(NV_BHXH,MATCH(B100,NV_MA,0)),""))</f>
        <v/>
      </c>
      <c r="J100" s="29" t="str">
        <f aca="false">IF(B100="","",IFERROR(INDEX(NV_DONG,MATCH(B100,NV_MA,0)),""))</f>
        <v/>
      </c>
      <c r="K100" s="29" t="str">
        <f aca="false">IF(B100="","",IFERROR(INDEX(NV_PC,MATCH(B100,NV_MA,0)),""))</f>
        <v/>
      </c>
      <c r="L100" s="18" t="str">
        <f aca="false">IF(B100="","",IFERROR(INDEX(NV_NHOMCC,MATCH(B100,NV_MA,0)),""))</f>
        <v/>
      </c>
      <c r="M100" s="25" t="str">
        <f aca="false">IF(B100="","",IFERROR(INDEX(BCC_CONG,MATCH(B100,BCC_MA,0)),0))</f>
        <v/>
      </c>
      <c r="N100" s="18" t="str">
        <f aca="false">IF(B100="","",IFERROR(INDEX(BCC_PHEP,MATCH(B100,BCC_MA,0)),0))</f>
        <v/>
      </c>
      <c r="O100" s="18" t="str">
        <f aca="false">IF(B100="","",IFERROR(INDEX(BCC_LE,MATCH(B100,BCC_MA,0)),0))</f>
        <v/>
      </c>
      <c r="P100" s="18" t="str">
        <f aca="false">IF(B100="","",IFERROR(INDEX(BCC_LEDL,MATCH(B100,BCC_MA,0)),0))</f>
        <v/>
      </c>
      <c r="Q100" s="18" t="str">
        <f aca="false">IF(B100="","",IFERROR(INDEX(BCC_CD,MATCH(B100,BCC_MA,0)),0))</f>
        <v/>
      </c>
      <c r="R100" s="29" t="str">
        <f aca="false">IF(B100="","",IF(E100="Khoán tháng",G100,IF(E100="Thử việc",IF(N(H100)&gt;0,H100,G100*TL_THUVIEC),G100)/F100*M100))</f>
        <v/>
      </c>
      <c r="S100" s="29" t="str">
        <f aca="false">IF(B100="","",IF(E100="Khoán tháng",0,I100/NGAY_CHIA*N100))</f>
        <v/>
      </c>
      <c r="T100" s="29" t="str">
        <f aca="false">IF(B100="","",IF(E100="Khoán tháng",0,I100/NGAY_CHIA*O100))</f>
        <v/>
      </c>
      <c r="U100" s="29" t="str">
        <f aca="false">IF(B100="","",IF(E100="Khoán tháng",0,G100/F100/GIO_CONG*P100*HS_LE))</f>
        <v/>
      </c>
      <c r="V100" s="29" t="str">
        <f aca="false">IF(B100="","",IF(E100="Khoán tháng",0,I100/NGAY_CHIA*Q100))</f>
        <v/>
      </c>
      <c r="W100" s="29" t="str">
        <f aca="false">IF(B100="","",IF(L100="Chung",IF(M100&gt;=CC_NGUONG,CC_TIEN,0),IF(L100="Cơ điện",IF(M100&gt;CD_N2,CD_T2,IF(M100&gt;CD_N1,CD_T1,0)),0))+SUMIFS(DC_TIEN,DC_MA,$B100,DC_LOAI,"Chuyên cần",DC_AP,"Có"))</f>
        <v/>
      </c>
      <c r="X100" s="29" t="str">
        <f aca="false">IF(B100="","",N(K100))</f>
        <v/>
      </c>
      <c r="Y100" s="29" t="str">
        <f aca="false">IF(B100="","",SUMIFS(DC_TIEN,DC_MA,$B100,DC_LOAI,"Truy lĩnh",DC_AP,"Có")+SUMIFS(DC_TIEN,DC_MA,$B100,DC_LOAI,"Cộng khác",DC_AP,"Có"))</f>
        <v/>
      </c>
      <c r="Z100" s="30" t="str">
        <f aca="false">IF(B100="","",SUM(R100:Y100))</f>
        <v/>
      </c>
      <c r="AA100" s="29" t="str">
        <f aca="false">IF(B100="","",IF(J100="Có",I100*BHXH_NLD,0))</f>
        <v/>
      </c>
      <c r="AB100" s="29" t="str">
        <f aca="false">IF(B100="","",SUMIFS(DC_TIEN,DC_MA,$B100,DC_LOAI,"Tạm ứng",DC_AP,"Có"))</f>
        <v/>
      </c>
      <c r="AC100" s="29" t="str">
        <f aca="false">IF(B100="","",SUMIFS(DC_TIEN,DC_MA,$B100,DC_LOAI,"Trừ khác",DC_AP,"Có"))</f>
        <v/>
      </c>
      <c r="AD100" s="29" t="str">
        <f aca="false">IF(B100="","",SUMIFS(DC_TIEN,DC_MA,$B100,DC_LOAI,"KPI trừ",DC_AP,"Có"))</f>
        <v/>
      </c>
      <c r="AE100" s="29" t="str">
        <f aca="false">IF(B100="","",SUM(AA100:AD100))</f>
        <v/>
      </c>
      <c r="AF100" s="30" t="str">
        <f aca="false">IF(B100="","",ROUNDDOWN(Z100-AE100,-3))</f>
        <v/>
      </c>
      <c r="AG100" s="20"/>
    </row>
    <row r="101" customFormat="false" ht="15" hidden="false" customHeight="false" outlineLevel="0" collapsed="false">
      <c r="A101" s="18" t="str">
        <f aca="false">IF(B101="","",ROW()-5)</f>
        <v/>
      </c>
      <c r="B101" s="28" t="str">
        <f aca="false">IF(BCC!B101="","",BCC!B101)</f>
        <v/>
      </c>
      <c r="C101" s="18" t="str">
        <f aca="false">IF(B101="","",IFERROR(INDEX(NV_TEN,MATCH(B101,NV_MA,0)),"MÃ KHÔNG CÓ"))</f>
        <v/>
      </c>
      <c r="D101" s="18" t="str">
        <f aca="false">IF(B101="","",IFERROR(INDEX(NV_PN,MATCH(B101,NV_MA,0)),""))</f>
        <v/>
      </c>
      <c r="E101" s="18" t="str">
        <f aca="false">IF(B101="","",IFERROR(INDEX(NV_HT,MATCH(B101,NV_MA,0)),""))</f>
        <v/>
      </c>
      <c r="F101" s="18" t="str">
        <f aca="false">IF(B101="","",IFERROR(INDEX(NV_CC,MATCH(B101,NV_MA,0)),""))</f>
        <v/>
      </c>
      <c r="G101" s="29" t="str">
        <f aca="false">IF(B101="","",IFERROR(INDEX(NV_CB,MATCH(B101,NV_MA,0)),""))</f>
        <v/>
      </c>
      <c r="H101" s="29" t="str">
        <f aca="false">IF(B101="","",IFERROR(INDEX(NV_TV,MATCH(B101,NV_MA,0)),""))</f>
        <v/>
      </c>
      <c r="I101" s="29" t="str">
        <f aca="false">IF(B101="","",IFERROR(INDEX(NV_BHXH,MATCH(B101,NV_MA,0)),""))</f>
        <v/>
      </c>
      <c r="J101" s="29" t="str">
        <f aca="false">IF(B101="","",IFERROR(INDEX(NV_DONG,MATCH(B101,NV_MA,0)),""))</f>
        <v/>
      </c>
      <c r="K101" s="29" t="str">
        <f aca="false">IF(B101="","",IFERROR(INDEX(NV_PC,MATCH(B101,NV_MA,0)),""))</f>
        <v/>
      </c>
      <c r="L101" s="18" t="str">
        <f aca="false">IF(B101="","",IFERROR(INDEX(NV_NHOMCC,MATCH(B101,NV_MA,0)),""))</f>
        <v/>
      </c>
      <c r="M101" s="25" t="str">
        <f aca="false">IF(B101="","",IFERROR(INDEX(BCC_CONG,MATCH(B101,BCC_MA,0)),0))</f>
        <v/>
      </c>
      <c r="N101" s="18" t="str">
        <f aca="false">IF(B101="","",IFERROR(INDEX(BCC_PHEP,MATCH(B101,BCC_MA,0)),0))</f>
        <v/>
      </c>
      <c r="O101" s="18" t="str">
        <f aca="false">IF(B101="","",IFERROR(INDEX(BCC_LE,MATCH(B101,BCC_MA,0)),0))</f>
        <v/>
      </c>
      <c r="P101" s="18" t="str">
        <f aca="false">IF(B101="","",IFERROR(INDEX(BCC_LEDL,MATCH(B101,BCC_MA,0)),0))</f>
        <v/>
      </c>
      <c r="Q101" s="18" t="str">
        <f aca="false">IF(B101="","",IFERROR(INDEX(BCC_CD,MATCH(B101,BCC_MA,0)),0))</f>
        <v/>
      </c>
      <c r="R101" s="29" t="str">
        <f aca="false">IF(B101="","",IF(E101="Khoán tháng",G101,IF(E101="Thử việc",IF(N(H101)&gt;0,H101,G101*TL_THUVIEC),G101)/F101*M101))</f>
        <v/>
      </c>
      <c r="S101" s="29" t="str">
        <f aca="false">IF(B101="","",IF(E101="Khoán tháng",0,I101/NGAY_CHIA*N101))</f>
        <v/>
      </c>
      <c r="T101" s="29" t="str">
        <f aca="false">IF(B101="","",IF(E101="Khoán tháng",0,I101/NGAY_CHIA*O101))</f>
        <v/>
      </c>
      <c r="U101" s="29" t="str">
        <f aca="false">IF(B101="","",IF(E101="Khoán tháng",0,G101/F101/GIO_CONG*P101*HS_LE))</f>
        <v/>
      </c>
      <c r="V101" s="29" t="str">
        <f aca="false">IF(B101="","",IF(E101="Khoán tháng",0,I101/NGAY_CHIA*Q101))</f>
        <v/>
      </c>
      <c r="W101" s="29" t="str">
        <f aca="false">IF(B101="","",IF(L101="Chung",IF(M101&gt;=CC_NGUONG,CC_TIEN,0),IF(L101="Cơ điện",IF(M101&gt;CD_N2,CD_T2,IF(M101&gt;CD_N1,CD_T1,0)),0))+SUMIFS(DC_TIEN,DC_MA,$B101,DC_LOAI,"Chuyên cần",DC_AP,"Có"))</f>
        <v/>
      </c>
      <c r="X101" s="29" t="str">
        <f aca="false">IF(B101="","",N(K101))</f>
        <v/>
      </c>
      <c r="Y101" s="29" t="str">
        <f aca="false">IF(B101="","",SUMIFS(DC_TIEN,DC_MA,$B101,DC_LOAI,"Truy lĩnh",DC_AP,"Có")+SUMIFS(DC_TIEN,DC_MA,$B101,DC_LOAI,"Cộng khác",DC_AP,"Có"))</f>
        <v/>
      </c>
      <c r="Z101" s="30" t="str">
        <f aca="false">IF(B101="","",SUM(R101:Y101))</f>
        <v/>
      </c>
      <c r="AA101" s="29" t="str">
        <f aca="false">IF(B101="","",IF(J101="Có",I101*BHXH_NLD,0))</f>
        <v/>
      </c>
      <c r="AB101" s="29" t="str">
        <f aca="false">IF(B101="","",SUMIFS(DC_TIEN,DC_MA,$B101,DC_LOAI,"Tạm ứng",DC_AP,"Có"))</f>
        <v/>
      </c>
      <c r="AC101" s="29" t="str">
        <f aca="false">IF(B101="","",SUMIFS(DC_TIEN,DC_MA,$B101,DC_LOAI,"Trừ khác",DC_AP,"Có"))</f>
        <v/>
      </c>
      <c r="AD101" s="29" t="str">
        <f aca="false">IF(B101="","",SUMIFS(DC_TIEN,DC_MA,$B101,DC_LOAI,"KPI trừ",DC_AP,"Có"))</f>
        <v/>
      </c>
      <c r="AE101" s="29" t="str">
        <f aca="false">IF(B101="","",SUM(AA101:AD101))</f>
        <v/>
      </c>
      <c r="AF101" s="30" t="str">
        <f aca="false">IF(B101="","",ROUNDDOWN(Z101-AE101,-3))</f>
        <v/>
      </c>
      <c r="AG101" s="20"/>
    </row>
    <row r="102" customFormat="false" ht="15" hidden="false" customHeight="false" outlineLevel="0" collapsed="false">
      <c r="A102" s="18" t="str">
        <f aca="false">IF(B102="","",ROW()-5)</f>
        <v/>
      </c>
      <c r="B102" s="28" t="str">
        <f aca="false">IF(BCC!B102="","",BCC!B102)</f>
        <v/>
      </c>
      <c r="C102" s="18" t="str">
        <f aca="false">IF(B102="","",IFERROR(INDEX(NV_TEN,MATCH(B102,NV_MA,0)),"MÃ KHÔNG CÓ"))</f>
        <v/>
      </c>
      <c r="D102" s="18" t="str">
        <f aca="false">IF(B102="","",IFERROR(INDEX(NV_PN,MATCH(B102,NV_MA,0)),""))</f>
        <v/>
      </c>
      <c r="E102" s="18" t="str">
        <f aca="false">IF(B102="","",IFERROR(INDEX(NV_HT,MATCH(B102,NV_MA,0)),""))</f>
        <v/>
      </c>
      <c r="F102" s="18" t="str">
        <f aca="false">IF(B102="","",IFERROR(INDEX(NV_CC,MATCH(B102,NV_MA,0)),""))</f>
        <v/>
      </c>
      <c r="G102" s="29" t="str">
        <f aca="false">IF(B102="","",IFERROR(INDEX(NV_CB,MATCH(B102,NV_MA,0)),""))</f>
        <v/>
      </c>
      <c r="H102" s="29" t="str">
        <f aca="false">IF(B102="","",IFERROR(INDEX(NV_TV,MATCH(B102,NV_MA,0)),""))</f>
        <v/>
      </c>
      <c r="I102" s="29" t="str">
        <f aca="false">IF(B102="","",IFERROR(INDEX(NV_BHXH,MATCH(B102,NV_MA,0)),""))</f>
        <v/>
      </c>
      <c r="J102" s="29" t="str">
        <f aca="false">IF(B102="","",IFERROR(INDEX(NV_DONG,MATCH(B102,NV_MA,0)),""))</f>
        <v/>
      </c>
      <c r="K102" s="29" t="str">
        <f aca="false">IF(B102="","",IFERROR(INDEX(NV_PC,MATCH(B102,NV_MA,0)),""))</f>
        <v/>
      </c>
      <c r="L102" s="18" t="str">
        <f aca="false">IF(B102="","",IFERROR(INDEX(NV_NHOMCC,MATCH(B102,NV_MA,0)),""))</f>
        <v/>
      </c>
      <c r="M102" s="25" t="str">
        <f aca="false">IF(B102="","",IFERROR(INDEX(BCC_CONG,MATCH(B102,BCC_MA,0)),0))</f>
        <v/>
      </c>
      <c r="N102" s="18" t="str">
        <f aca="false">IF(B102="","",IFERROR(INDEX(BCC_PHEP,MATCH(B102,BCC_MA,0)),0))</f>
        <v/>
      </c>
      <c r="O102" s="18" t="str">
        <f aca="false">IF(B102="","",IFERROR(INDEX(BCC_LE,MATCH(B102,BCC_MA,0)),0))</f>
        <v/>
      </c>
      <c r="P102" s="18" t="str">
        <f aca="false">IF(B102="","",IFERROR(INDEX(BCC_LEDL,MATCH(B102,BCC_MA,0)),0))</f>
        <v/>
      </c>
      <c r="Q102" s="18" t="str">
        <f aca="false">IF(B102="","",IFERROR(INDEX(BCC_CD,MATCH(B102,BCC_MA,0)),0))</f>
        <v/>
      </c>
      <c r="R102" s="29" t="str">
        <f aca="false">IF(B102="","",IF(E102="Khoán tháng",G102,IF(E102="Thử việc",IF(N(H102)&gt;0,H102,G102*TL_THUVIEC),G102)/F102*M102))</f>
        <v/>
      </c>
      <c r="S102" s="29" t="str">
        <f aca="false">IF(B102="","",IF(E102="Khoán tháng",0,I102/NGAY_CHIA*N102))</f>
        <v/>
      </c>
      <c r="T102" s="29" t="str">
        <f aca="false">IF(B102="","",IF(E102="Khoán tháng",0,I102/NGAY_CHIA*O102))</f>
        <v/>
      </c>
      <c r="U102" s="29" t="str">
        <f aca="false">IF(B102="","",IF(E102="Khoán tháng",0,G102/F102/GIO_CONG*P102*HS_LE))</f>
        <v/>
      </c>
      <c r="V102" s="29" t="str">
        <f aca="false">IF(B102="","",IF(E102="Khoán tháng",0,I102/NGAY_CHIA*Q102))</f>
        <v/>
      </c>
      <c r="W102" s="29" t="str">
        <f aca="false">IF(B102="","",IF(L102="Chung",IF(M102&gt;=CC_NGUONG,CC_TIEN,0),IF(L102="Cơ điện",IF(M102&gt;CD_N2,CD_T2,IF(M102&gt;CD_N1,CD_T1,0)),0))+SUMIFS(DC_TIEN,DC_MA,$B102,DC_LOAI,"Chuyên cần",DC_AP,"Có"))</f>
        <v/>
      </c>
      <c r="X102" s="29" t="str">
        <f aca="false">IF(B102="","",N(K102))</f>
        <v/>
      </c>
      <c r="Y102" s="29" t="str">
        <f aca="false">IF(B102="","",SUMIFS(DC_TIEN,DC_MA,$B102,DC_LOAI,"Truy lĩnh",DC_AP,"Có")+SUMIFS(DC_TIEN,DC_MA,$B102,DC_LOAI,"Cộng khác",DC_AP,"Có"))</f>
        <v/>
      </c>
      <c r="Z102" s="30" t="str">
        <f aca="false">IF(B102="","",SUM(R102:Y102))</f>
        <v/>
      </c>
      <c r="AA102" s="29" t="str">
        <f aca="false">IF(B102="","",IF(J102="Có",I102*BHXH_NLD,0))</f>
        <v/>
      </c>
      <c r="AB102" s="29" t="str">
        <f aca="false">IF(B102="","",SUMIFS(DC_TIEN,DC_MA,$B102,DC_LOAI,"Tạm ứng",DC_AP,"Có"))</f>
        <v/>
      </c>
      <c r="AC102" s="29" t="str">
        <f aca="false">IF(B102="","",SUMIFS(DC_TIEN,DC_MA,$B102,DC_LOAI,"Trừ khác",DC_AP,"Có"))</f>
        <v/>
      </c>
      <c r="AD102" s="29" t="str">
        <f aca="false">IF(B102="","",SUMIFS(DC_TIEN,DC_MA,$B102,DC_LOAI,"KPI trừ",DC_AP,"Có"))</f>
        <v/>
      </c>
      <c r="AE102" s="29" t="str">
        <f aca="false">IF(B102="","",SUM(AA102:AD102))</f>
        <v/>
      </c>
      <c r="AF102" s="30" t="str">
        <f aca="false">IF(B102="","",ROUNDDOWN(Z102-AE102,-3))</f>
        <v/>
      </c>
      <c r="AG102" s="20"/>
    </row>
    <row r="103" customFormat="false" ht="15" hidden="false" customHeight="false" outlineLevel="0" collapsed="false">
      <c r="A103" s="18" t="str">
        <f aca="false">IF(B103="","",ROW()-5)</f>
        <v/>
      </c>
      <c r="B103" s="28" t="str">
        <f aca="false">IF(BCC!B103="","",BCC!B103)</f>
        <v/>
      </c>
      <c r="C103" s="18" t="str">
        <f aca="false">IF(B103="","",IFERROR(INDEX(NV_TEN,MATCH(B103,NV_MA,0)),"MÃ KHÔNG CÓ"))</f>
        <v/>
      </c>
      <c r="D103" s="18" t="str">
        <f aca="false">IF(B103="","",IFERROR(INDEX(NV_PN,MATCH(B103,NV_MA,0)),""))</f>
        <v/>
      </c>
      <c r="E103" s="18" t="str">
        <f aca="false">IF(B103="","",IFERROR(INDEX(NV_HT,MATCH(B103,NV_MA,0)),""))</f>
        <v/>
      </c>
      <c r="F103" s="18" t="str">
        <f aca="false">IF(B103="","",IFERROR(INDEX(NV_CC,MATCH(B103,NV_MA,0)),""))</f>
        <v/>
      </c>
      <c r="G103" s="29" t="str">
        <f aca="false">IF(B103="","",IFERROR(INDEX(NV_CB,MATCH(B103,NV_MA,0)),""))</f>
        <v/>
      </c>
      <c r="H103" s="29" t="str">
        <f aca="false">IF(B103="","",IFERROR(INDEX(NV_TV,MATCH(B103,NV_MA,0)),""))</f>
        <v/>
      </c>
      <c r="I103" s="29" t="str">
        <f aca="false">IF(B103="","",IFERROR(INDEX(NV_BHXH,MATCH(B103,NV_MA,0)),""))</f>
        <v/>
      </c>
      <c r="J103" s="29" t="str">
        <f aca="false">IF(B103="","",IFERROR(INDEX(NV_DONG,MATCH(B103,NV_MA,0)),""))</f>
        <v/>
      </c>
      <c r="K103" s="29" t="str">
        <f aca="false">IF(B103="","",IFERROR(INDEX(NV_PC,MATCH(B103,NV_MA,0)),""))</f>
        <v/>
      </c>
      <c r="L103" s="18" t="str">
        <f aca="false">IF(B103="","",IFERROR(INDEX(NV_NHOMCC,MATCH(B103,NV_MA,0)),""))</f>
        <v/>
      </c>
      <c r="M103" s="25" t="str">
        <f aca="false">IF(B103="","",IFERROR(INDEX(BCC_CONG,MATCH(B103,BCC_MA,0)),0))</f>
        <v/>
      </c>
      <c r="N103" s="18" t="str">
        <f aca="false">IF(B103="","",IFERROR(INDEX(BCC_PHEP,MATCH(B103,BCC_MA,0)),0))</f>
        <v/>
      </c>
      <c r="O103" s="18" t="str">
        <f aca="false">IF(B103="","",IFERROR(INDEX(BCC_LE,MATCH(B103,BCC_MA,0)),0))</f>
        <v/>
      </c>
      <c r="P103" s="18" t="str">
        <f aca="false">IF(B103="","",IFERROR(INDEX(BCC_LEDL,MATCH(B103,BCC_MA,0)),0))</f>
        <v/>
      </c>
      <c r="Q103" s="18" t="str">
        <f aca="false">IF(B103="","",IFERROR(INDEX(BCC_CD,MATCH(B103,BCC_MA,0)),0))</f>
        <v/>
      </c>
      <c r="R103" s="29" t="str">
        <f aca="false">IF(B103="","",IF(E103="Khoán tháng",G103,IF(E103="Thử việc",IF(N(H103)&gt;0,H103,G103*TL_THUVIEC),G103)/F103*M103))</f>
        <v/>
      </c>
      <c r="S103" s="29" t="str">
        <f aca="false">IF(B103="","",IF(E103="Khoán tháng",0,I103/NGAY_CHIA*N103))</f>
        <v/>
      </c>
      <c r="T103" s="29" t="str">
        <f aca="false">IF(B103="","",IF(E103="Khoán tháng",0,I103/NGAY_CHIA*O103))</f>
        <v/>
      </c>
      <c r="U103" s="29" t="str">
        <f aca="false">IF(B103="","",IF(E103="Khoán tháng",0,G103/F103/GIO_CONG*P103*HS_LE))</f>
        <v/>
      </c>
      <c r="V103" s="29" t="str">
        <f aca="false">IF(B103="","",IF(E103="Khoán tháng",0,I103/NGAY_CHIA*Q103))</f>
        <v/>
      </c>
      <c r="W103" s="29" t="str">
        <f aca="false">IF(B103="","",IF(L103="Chung",IF(M103&gt;=CC_NGUONG,CC_TIEN,0),IF(L103="Cơ điện",IF(M103&gt;CD_N2,CD_T2,IF(M103&gt;CD_N1,CD_T1,0)),0))+SUMIFS(DC_TIEN,DC_MA,$B103,DC_LOAI,"Chuyên cần",DC_AP,"Có"))</f>
        <v/>
      </c>
      <c r="X103" s="29" t="str">
        <f aca="false">IF(B103="","",N(K103))</f>
        <v/>
      </c>
      <c r="Y103" s="29" t="str">
        <f aca="false">IF(B103="","",SUMIFS(DC_TIEN,DC_MA,$B103,DC_LOAI,"Truy lĩnh",DC_AP,"Có")+SUMIFS(DC_TIEN,DC_MA,$B103,DC_LOAI,"Cộng khác",DC_AP,"Có"))</f>
        <v/>
      </c>
      <c r="Z103" s="30" t="str">
        <f aca="false">IF(B103="","",SUM(R103:Y103))</f>
        <v/>
      </c>
      <c r="AA103" s="29" t="str">
        <f aca="false">IF(B103="","",IF(J103="Có",I103*BHXH_NLD,0))</f>
        <v/>
      </c>
      <c r="AB103" s="29" t="str">
        <f aca="false">IF(B103="","",SUMIFS(DC_TIEN,DC_MA,$B103,DC_LOAI,"Tạm ứng",DC_AP,"Có"))</f>
        <v/>
      </c>
      <c r="AC103" s="29" t="str">
        <f aca="false">IF(B103="","",SUMIFS(DC_TIEN,DC_MA,$B103,DC_LOAI,"Trừ khác",DC_AP,"Có"))</f>
        <v/>
      </c>
      <c r="AD103" s="29" t="str">
        <f aca="false">IF(B103="","",SUMIFS(DC_TIEN,DC_MA,$B103,DC_LOAI,"KPI trừ",DC_AP,"Có"))</f>
        <v/>
      </c>
      <c r="AE103" s="29" t="str">
        <f aca="false">IF(B103="","",SUM(AA103:AD103))</f>
        <v/>
      </c>
      <c r="AF103" s="30" t="str">
        <f aca="false">IF(B103="","",ROUNDDOWN(Z103-AE103,-3))</f>
        <v/>
      </c>
      <c r="AG103" s="20"/>
    </row>
    <row r="104" customFormat="false" ht="15" hidden="false" customHeight="false" outlineLevel="0" collapsed="false">
      <c r="A104" s="18" t="str">
        <f aca="false">IF(B104="","",ROW()-5)</f>
        <v/>
      </c>
      <c r="B104" s="28" t="str">
        <f aca="false">IF(BCC!B104="","",BCC!B104)</f>
        <v/>
      </c>
      <c r="C104" s="18" t="str">
        <f aca="false">IF(B104="","",IFERROR(INDEX(NV_TEN,MATCH(B104,NV_MA,0)),"MÃ KHÔNG CÓ"))</f>
        <v/>
      </c>
      <c r="D104" s="18" t="str">
        <f aca="false">IF(B104="","",IFERROR(INDEX(NV_PN,MATCH(B104,NV_MA,0)),""))</f>
        <v/>
      </c>
      <c r="E104" s="18" t="str">
        <f aca="false">IF(B104="","",IFERROR(INDEX(NV_HT,MATCH(B104,NV_MA,0)),""))</f>
        <v/>
      </c>
      <c r="F104" s="18" t="str">
        <f aca="false">IF(B104="","",IFERROR(INDEX(NV_CC,MATCH(B104,NV_MA,0)),""))</f>
        <v/>
      </c>
      <c r="G104" s="29" t="str">
        <f aca="false">IF(B104="","",IFERROR(INDEX(NV_CB,MATCH(B104,NV_MA,0)),""))</f>
        <v/>
      </c>
      <c r="H104" s="29" t="str">
        <f aca="false">IF(B104="","",IFERROR(INDEX(NV_TV,MATCH(B104,NV_MA,0)),""))</f>
        <v/>
      </c>
      <c r="I104" s="29" t="str">
        <f aca="false">IF(B104="","",IFERROR(INDEX(NV_BHXH,MATCH(B104,NV_MA,0)),""))</f>
        <v/>
      </c>
      <c r="J104" s="29" t="str">
        <f aca="false">IF(B104="","",IFERROR(INDEX(NV_DONG,MATCH(B104,NV_MA,0)),""))</f>
        <v/>
      </c>
      <c r="K104" s="29" t="str">
        <f aca="false">IF(B104="","",IFERROR(INDEX(NV_PC,MATCH(B104,NV_MA,0)),""))</f>
        <v/>
      </c>
      <c r="L104" s="18" t="str">
        <f aca="false">IF(B104="","",IFERROR(INDEX(NV_NHOMCC,MATCH(B104,NV_MA,0)),""))</f>
        <v/>
      </c>
      <c r="M104" s="25" t="str">
        <f aca="false">IF(B104="","",IFERROR(INDEX(BCC_CONG,MATCH(B104,BCC_MA,0)),0))</f>
        <v/>
      </c>
      <c r="N104" s="18" t="str">
        <f aca="false">IF(B104="","",IFERROR(INDEX(BCC_PHEP,MATCH(B104,BCC_MA,0)),0))</f>
        <v/>
      </c>
      <c r="O104" s="18" t="str">
        <f aca="false">IF(B104="","",IFERROR(INDEX(BCC_LE,MATCH(B104,BCC_MA,0)),0))</f>
        <v/>
      </c>
      <c r="P104" s="18" t="str">
        <f aca="false">IF(B104="","",IFERROR(INDEX(BCC_LEDL,MATCH(B104,BCC_MA,0)),0))</f>
        <v/>
      </c>
      <c r="Q104" s="18" t="str">
        <f aca="false">IF(B104="","",IFERROR(INDEX(BCC_CD,MATCH(B104,BCC_MA,0)),0))</f>
        <v/>
      </c>
      <c r="R104" s="29" t="str">
        <f aca="false">IF(B104="","",IF(E104="Khoán tháng",G104,IF(E104="Thử việc",IF(N(H104)&gt;0,H104,G104*TL_THUVIEC),G104)/F104*M104))</f>
        <v/>
      </c>
      <c r="S104" s="29" t="str">
        <f aca="false">IF(B104="","",IF(E104="Khoán tháng",0,I104/NGAY_CHIA*N104))</f>
        <v/>
      </c>
      <c r="T104" s="29" t="str">
        <f aca="false">IF(B104="","",IF(E104="Khoán tháng",0,I104/NGAY_CHIA*O104))</f>
        <v/>
      </c>
      <c r="U104" s="29" t="str">
        <f aca="false">IF(B104="","",IF(E104="Khoán tháng",0,G104/F104/GIO_CONG*P104*HS_LE))</f>
        <v/>
      </c>
      <c r="V104" s="29" t="str">
        <f aca="false">IF(B104="","",IF(E104="Khoán tháng",0,I104/NGAY_CHIA*Q104))</f>
        <v/>
      </c>
      <c r="W104" s="29" t="str">
        <f aca="false">IF(B104="","",IF(L104="Chung",IF(M104&gt;=CC_NGUONG,CC_TIEN,0),IF(L104="Cơ điện",IF(M104&gt;CD_N2,CD_T2,IF(M104&gt;CD_N1,CD_T1,0)),0))+SUMIFS(DC_TIEN,DC_MA,$B104,DC_LOAI,"Chuyên cần",DC_AP,"Có"))</f>
        <v/>
      </c>
      <c r="X104" s="29" t="str">
        <f aca="false">IF(B104="","",N(K104))</f>
        <v/>
      </c>
      <c r="Y104" s="29" t="str">
        <f aca="false">IF(B104="","",SUMIFS(DC_TIEN,DC_MA,$B104,DC_LOAI,"Truy lĩnh",DC_AP,"Có")+SUMIFS(DC_TIEN,DC_MA,$B104,DC_LOAI,"Cộng khác",DC_AP,"Có"))</f>
        <v/>
      </c>
      <c r="Z104" s="30" t="str">
        <f aca="false">IF(B104="","",SUM(R104:Y104))</f>
        <v/>
      </c>
      <c r="AA104" s="29" t="str">
        <f aca="false">IF(B104="","",IF(J104="Có",I104*BHXH_NLD,0))</f>
        <v/>
      </c>
      <c r="AB104" s="29" t="str">
        <f aca="false">IF(B104="","",SUMIFS(DC_TIEN,DC_MA,$B104,DC_LOAI,"Tạm ứng",DC_AP,"Có"))</f>
        <v/>
      </c>
      <c r="AC104" s="29" t="str">
        <f aca="false">IF(B104="","",SUMIFS(DC_TIEN,DC_MA,$B104,DC_LOAI,"Trừ khác",DC_AP,"Có"))</f>
        <v/>
      </c>
      <c r="AD104" s="29" t="str">
        <f aca="false">IF(B104="","",SUMIFS(DC_TIEN,DC_MA,$B104,DC_LOAI,"KPI trừ",DC_AP,"Có"))</f>
        <v/>
      </c>
      <c r="AE104" s="29" t="str">
        <f aca="false">IF(B104="","",SUM(AA104:AD104))</f>
        <v/>
      </c>
      <c r="AF104" s="30" t="str">
        <f aca="false">IF(B104="","",ROUNDDOWN(Z104-AE104,-3))</f>
        <v/>
      </c>
      <c r="AG104" s="20"/>
    </row>
    <row r="105" customFormat="false" ht="15" hidden="false" customHeight="false" outlineLevel="0" collapsed="false">
      <c r="A105" s="18" t="str">
        <f aca="false">IF(B105="","",ROW()-5)</f>
        <v/>
      </c>
      <c r="B105" s="28" t="str">
        <f aca="false">IF(BCC!B105="","",BCC!B105)</f>
        <v/>
      </c>
      <c r="C105" s="18" t="str">
        <f aca="false">IF(B105="","",IFERROR(INDEX(NV_TEN,MATCH(B105,NV_MA,0)),"MÃ KHÔNG CÓ"))</f>
        <v/>
      </c>
      <c r="D105" s="18" t="str">
        <f aca="false">IF(B105="","",IFERROR(INDEX(NV_PN,MATCH(B105,NV_MA,0)),""))</f>
        <v/>
      </c>
      <c r="E105" s="18" t="str">
        <f aca="false">IF(B105="","",IFERROR(INDEX(NV_HT,MATCH(B105,NV_MA,0)),""))</f>
        <v/>
      </c>
      <c r="F105" s="18" t="str">
        <f aca="false">IF(B105="","",IFERROR(INDEX(NV_CC,MATCH(B105,NV_MA,0)),""))</f>
        <v/>
      </c>
      <c r="G105" s="29" t="str">
        <f aca="false">IF(B105="","",IFERROR(INDEX(NV_CB,MATCH(B105,NV_MA,0)),""))</f>
        <v/>
      </c>
      <c r="H105" s="29" t="str">
        <f aca="false">IF(B105="","",IFERROR(INDEX(NV_TV,MATCH(B105,NV_MA,0)),""))</f>
        <v/>
      </c>
      <c r="I105" s="29" t="str">
        <f aca="false">IF(B105="","",IFERROR(INDEX(NV_BHXH,MATCH(B105,NV_MA,0)),""))</f>
        <v/>
      </c>
      <c r="J105" s="29" t="str">
        <f aca="false">IF(B105="","",IFERROR(INDEX(NV_DONG,MATCH(B105,NV_MA,0)),""))</f>
        <v/>
      </c>
      <c r="K105" s="29" t="str">
        <f aca="false">IF(B105="","",IFERROR(INDEX(NV_PC,MATCH(B105,NV_MA,0)),""))</f>
        <v/>
      </c>
      <c r="L105" s="18" t="str">
        <f aca="false">IF(B105="","",IFERROR(INDEX(NV_NHOMCC,MATCH(B105,NV_MA,0)),""))</f>
        <v/>
      </c>
      <c r="M105" s="25" t="str">
        <f aca="false">IF(B105="","",IFERROR(INDEX(BCC_CONG,MATCH(B105,BCC_MA,0)),0))</f>
        <v/>
      </c>
      <c r="N105" s="18" t="str">
        <f aca="false">IF(B105="","",IFERROR(INDEX(BCC_PHEP,MATCH(B105,BCC_MA,0)),0))</f>
        <v/>
      </c>
      <c r="O105" s="18" t="str">
        <f aca="false">IF(B105="","",IFERROR(INDEX(BCC_LE,MATCH(B105,BCC_MA,0)),0))</f>
        <v/>
      </c>
      <c r="P105" s="18" t="str">
        <f aca="false">IF(B105="","",IFERROR(INDEX(BCC_LEDL,MATCH(B105,BCC_MA,0)),0))</f>
        <v/>
      </c>
      <c r="Q105" s="18" t="str">
        <f aca="false">IF(B105="","",IFERROR(INDEX(BCC_CD,MATCH(B105,BCC_MA,0)),0))</f>
        <v/>
      </c>
      <c r="R105" s="29" t="str">
        <f aca="false">IF(B105="","",IF(E105="Khoán tháng",G105,IF(E105="Thử việc",IF(N(H105)&gt;0,H105,G105*TL_THUVIEC),G105)/F105*M105))</f>
        <v/>
      </c>
      <c r="S105" s="29" t="str">
        <f aca="false">IF(B105="","",IF(E105="Khoán tháng",0,I105/NGAY_CHIA*N105))</f>
        <v/>
      </c>
      <c r="T105" s="29" t="str">
        <f aca="false">IF(B105="","",IF(E105="Khoán tháng",0,I105/NGAY_CHIA*O105))</f>
        <v/>
      </c>
      <c r="U105" s="29" t="str">
        <f aca="false">IF(B105="","",IF(E105="Khoán tháng",0,G105/F105/GIO_CONG*P105*HS_LE))</f>
        <v/>
      </c>
      <c r="V105" s="29" t="str">
        <f aca="false">IF(B105="","",IF(E105="Khoán tháng",0,I105/NGAY_CHIA*Q105))</f>
        <v/>
      </c>
      <c r="W105" s="29" t="str">
        <f aca="false">IF(B105="","",IF(L105="Chung",IF(M105&gt;=CC_NGUONG,CC_TIEN,0),IF(L105="Cơ điện",IF(M105&gt;CD_N2,CD_T2,IF(M105&gt;CD_N1,CD_T1,0)),0))+SUMIFS(DC_TIEN,DC_MA,$B105,DC_LOAI,"Chuyên cần",DC_AP,"Có"))</f>
        <v/>
      </c>
      <c r="X105" s="29" t="str">
        <f aca="false">IF(B105="","",N(K105))</f>
        <v/>
      </c>
      <c r="Y105" s="29" t="str">
        <f aca="false">IF(B105="","",SUMIFS(DC_TIEN,DC_MA,$B105,DC_LOAI,"Truy lĩnh",DC_AP,"Có")+SUMIFS(DC_TIEN,DC_MA,$B105,DC_LOAI,"Cộng khác",DC_AP,"Có"))</f>
        <v/>
      </c>
      <c r="Z105" s="30" t="str">
        <f aca="false">IF(B105="","",SUM(R105:Y105))</f>
        <v/>
      </c>
      <c r="AA105" s="29" t="str">
        <f aca="false">IF(B105="","",IF(J105="Có",I105*BHXH_NLD,0))</f>
        <v/>
      </c>
      <c r="AB105" s="29" t="str">
        <f aca="false">IF(B105="","",SUMIFS(DC_TIEN,DC_MA,$B105,DC_LOAI,"Tạm ứng",DC_AP,"Có"))</f>
        <v/>
      </c>
      <c r="AC105" s="29" t="str">
        <f aca="false">IF(B105="","",SUMIFS(DC_TIEN,DC_MA,$B105,DC_LOAI,"Trừ khác",DC_AP,"Có"))</f>
        <v/>
      </c>
      <c r="AD105" s="29" t="str">
        <f aca="false">IF(B105="","",SUMIFS(DC_TIEN,DC_MA,$B105,DC_LOAI,"KPI trừ",DC_AP,"Có"))</f>
        <v/>
      </c>
      <c r="AE105" s="29" t="str">
        <f aca="false">IF(B105="","",SUM(AA105:AD105))</f>
        <v/>
      </c>
      <c r="AF105" s="30" t="str">
        <f aca="false">IF(B105="","",ROUNDDOWN(Z105-AE105,-3))</f>
        <v/>
      </c>
      <c r="AG105" s="20"/>
    </row>
    <row r="106" customFormat="false" ht="15" hidden="false" customHeight="false" outlineLevel="0" collapsed="false">
      <c r="A106" s="18" t="str">
        <f aca="false">IF(B106="","",ROW()-5)</f>
        <v/>
      </c>
      <c r="B106" s="28" t="str">
        <f aca="false">IF(BCC!B106="","",BCC!B106)</f>
        <v/>
      </c>
      <c r="C106" s="18" t="str">
        <f aca="false">IF(B106="","",IFERROR(INDEX(NV_TEN,MATCH(B106,NV_MA,0)),"MÃ KHÔNG CÓ"))</f>
        <v/>
      </c>
      <c r="D106" s="18" t="str">
        <f aca="false">IF(B106="","",IFERROR(INDEX(NV_PN,MATCH(B106,NV_MA,0)),""))</f>
        <v/>
      </c>
      <c r="E106" s="18" t="str">
        <f aca="false">IF(B106="","",IFERROR(INDEX(NV_HT,MATCH(B106,NV_MA,0)),""))</f>
        <v/>
      </c>
      <c r="F106" s="18" t="str">
        <f aca="false">IF(B106="","",IFERROR(INDEX(NV_CC,MATCH(B106,NV_MA,0)),""))</f>
        <v/>
      </c>
      <c r="G106" s="29" t="str">
        <f aca="false">IF(B106="","",IFERROR(INDEX(NV_CB,MATCH(B106,NV_MA,0)),""))</f>
        <v/>
      </c>
      <c r="H106" s="29" t="str">
        <f aca="false">IF(B106="","",IFERROR(INDEX(NV_TV,MATCH(B106,NV_MA,0)),""))</f>
        <v/>
      </c>
      <c r="I106" s="29" t="str">
        <f aca="false">IF(B106="","",IFERROR(INDEX(NV_BHXH,MATCH(B106,NV_MA,0)),""))</f>
        <v/>
      </c>
      <c r="J106" s="29" t="str">
        <f aca="false">IF(B106="","",IFERROR(INDEX(NV_DONG,MATCH(B106,NV_MA,0)),""))</f>
        <v/>
      </c>
      <c r="K106" s="29" t="str">
        <f aca="false">IF(B106="","",IFERROR(INDEX(NV_PC,MATCH(B106,NV_MA,0)),""))</f>
        <v/>
      </c>
      <c r="L106" s="18" t="str">
        <f aca="false">IF(B106="","",IFERROR(INDEX(NV_NHOMCC,MATCH(B106,NV_MA,0)),""))</f>
        <v/>
      </c>
      <c r="M106" s="25" t="str">
        <f aca="false">IF(B106="","",IFERROR(INDEX(BCC_CONG,MATCH(B106,BCC_MA,0)),0))</f>
        <v/>
      </c>
      <c r="N106" s="18" t="str">
        <f aca="false">IF(B106="","",IFERROR(INDEX(BCC_PHEP,MATCH(B106,BCC_MA,0)),0))</f>
        <v/>
      </c>
      <c r="O106" s="18" t="str">
        <f aca="false">IF(B106="","",IFERROR(INDEX(BCC_LE,MATCH(B106,BCC_MA,0)),0))</f>
        <v/>
      </c>
      <c r="P106" s="18" t="str">
        <f aca="false">IF(B106="","",IFERROR(INDEX(BCC_LEDL,MATCH(B106,BCC_MA,0)),0))</f>
        <v/>
      </c>
      <c r="Q106" s="18" t="str">
        <f aca="false">IF(B106="","",IFERROR(INDEX(BCC_CD,MATCH(B106,BCC_MA,0)),0))</f>
        <v/>
      </c>
      <c r="R106" s="29" t="str">
        <f aca="false">IF(B106="","",IF(E106="Khoán tháng",G106,IF(E106="Thử việc",IF(N(H106)&gt;0,H106,G106*TL_THUVIEC),G106)/F106*M106))</f>
        <v/>
      </c>
      <c r="S106" s="29" t="str">
        <f aca="false">IF(B106="","",IF(E106="Khoán tháng",0,I106/NGAY_CHIA*N106))</f>
        <v/>
      </c>
      <c r="T106" s="29" t="str">
        <f aca="false">IF(B106="","",IF(E106="Khoán tháng",0,I106/NGAY_CHIA*O106))</f>
        <v/>
      </c>
      <c r="U106" s="29" t="str">
        <f aca="false">IF(B106="","",IF(E106="Khoán tháng",0,G106/F106/GIO_CONG*P106*HS_LE))</f>
        <v/>
      </c>
      <c r="V106" s="29" t="str">
        <f aca="false">IF(B106="","",IF(E106="Khoán tháng",0,I106/NGAY_CHIA*Q106))</f>
        <v/>
      </c>
      <c r="W106" s="29" t="str">
        <f aca="false">IF(B106="","",IF(L106="Chung",IF(M106&gt;=CC_NGUONG,CC_TIEN,0),IF(L106="Cơ điện",IF(M106&gt;CD_N2,CD_T2,IF(M106&gt;CD_N1,CD_T1,0)),0))+SUMIFS(DC_TIEN,DC_MA,$B106,DC_LOAI,"Chuyên cần",DC_AP,"Có"))</f>
        <v/>
      </c>
      <c r="X106" s="29" t="str">
        <f aca="false">IF(B106="","",N(K106))</f>
        <v/>
      </c>
      <c r="Y106" s="29" t="str">
        <f aca="false">IF(B106="","",SUMIFS(DC_TIEN,DC_MA,$B106,DC_LOAI,"Truy lĩnh",DC_AP,"Có")+SUMIFS(DC_TIEN,DC_MA,$B106,DC_LOAI,"Cộng khác",DC_AP,"Có"))</f>
        <v/>
      </c>
      <c r="Z106" s="30" t="str">
        <f aca="false">IF(B106="","",SUM(R106:Y106))</f>
        <v/>
      </c>
      <c r="AA106" s="29" t="str">
        <f aca="false">IF(B106="","",IF(J106="Có",I106*BHXH_NLD,0))</f>
        <v/>
      </c>
      <c r="AB106" s="29" t="str">
        <f aca="false">IF(B106="","",SUMIFS(DC_TIEN,DC_MA,$B106,DC_LOAI,"Tạm ứng",DC_AP,"Có"))</f>
        <v/>
      </c>
      <c r="AC106" s="29" t="str">
        <f aca="false">IF(B106="","",SUMIFS(DC_TIEN,DC_MA,$B106,DC_LOAI,"Trừ khác",DC_AP,"Có"))</f>
        <v/>
      </c>
      <c r="AD106" s="29" t="str">
        <f aca="false">IF(B106="","",SUMIFS(DC_TIEN,DC_MA,$B106,DC_LOAI,"KPI trừ",DC_AP,"Có"))</f>
        <v/>
      </c>
      <c r="AE106" s="29" t="str">
        <f aca="false">IF(B106="","",SUM(AA106:AD106))</f>
        <v/>
      </c>
      <c r="AF106" s="30" t="str">
        <f aca="false">IF(B106="","",ROUNDDOWN(Z106-AE106,-3))</f>
        <v/>
      </c>
      <c r="AG106" s="20"/>
    </row>
    <row r="107" customFormat="false" ht="15" hidden="false" customHeight="false" outlineLevel="0" collapsed="false">
      <c r="A107" s="18" t="str">
        <f aca="false">IF(B107="","",ROW()-5)</f>
        <v/>
      </c>
      <c r="B107" s="28" t="str">
        <f aca="false">IF(BCC!B107="","",BCC!B107)</f>
        <v/>
      </c>
      <c r="C107" s="18" t="str">
        <f aca="false">IF(B107="","",IFERROR(INDEX(NV_TEN,MATCH(B107,NV_MA,0)),"MÃ KHÔNG CÓ"))</f>
        <v/>
      </c>
      <c r="D107" s="18" t="str">
        <f aca="false">IF(B107="","",IFERROR(INDEX(NV_PN,MATCH(B107,NV_MA,0)),""))</f>
        <v/>
      </c>
      <c r="E107" s="18" t="str">
        <f aca="false">IF(B107="","",IFERROR(INDEX(NV_HT,MATCH(B107,NV_MA,0)),""))</f>
        <v/>
      </c>
      <c r="F107" s="18" t="str">
        <f aca="false">IF(B107="","",IFERROR(INDEX(NV_CC,MATCH(B107,NV_MA,0)),""))</f>
        <v/>
      </c>
      <c r="G107" s="29" t="str">
        <f aca="false">IF(B107="","",IFERROR(INDEX(NV_CB,MATCH(B107,NV_MA,0)),""))</f>
        <v/>
      </c>
      <c r="H107" s="29" t="str">
        <f aca="false">IF(B107="","",IFERROR(INDEX(NV_TV,MATCH(B107,NV_MA,0)),""))</f>
        <v/>
      </c>
      <c r="I107" s="29" t="str">
        <f aca="false">IF(B107="","",IFERROR(INDEX(NV_BHXH,MATCH(B107,NV_MA,0)),""))</f>
        <v/>
      </c>
      <c r="J107" s="29" t="str">
        <f aca="false">IF(B107="","",IFERROR(INDEX(NV_DONG,MATCH(B107,NV_MA,0)),""))</f>
        <v/>
      </c>
      <c r="K107" s="29" t="str">
        <f aca="false">IF(B107="","",IFERROR(INDEX(NV_PC,MATCH(B107,NV_MA,0)),""))</f>
        <v/>
      </c>
      <c r="L107" s="18" t="str">
        <f aca="false">IF(B107="","",IFERROR(INDEX(NV_NHOMCC,MATCH(B107,NV_MA,0)),""))</f>
        <v/>
      </c>
      <c r="M107" s="25" t="str">
        <f aca="false">IF(B107="","",IFERROR(INDEX(BCC_CONG,MATCH(B107,BCC_MA,0)),0))</f>
        <v/>
      </c>
      <c r="N107" s="18" t="str">
        <f aca="false">IF(B107="","",IFERROR(INDEX(BCC_PHEP,MATCH(B107,BCC_MA,0)),0))</f>
        <v/>
      </c>
      <c r="O107" s="18" t="str">
        <f aca="false">IF(B107="","",IFERROR(INDEX(BCC_LE,MATCH(B107,BCC_MA,0)),0))</f>
        <v/>
      </c>
      <c r="P107" s="18" t="str">
        <f aca="false">IF(B107="","",IFERROR(INDEX(BCC_LEDL,MATCH(B107,BCC_MA,0)),0))</f>
        <v/>
      </c>
      <c r="Q107" s="18" t="str">
        <f aca="false">IF(B107="","",IFERROR(INDEX(BCC_CD,MATCH(B107,BCC_MA,0)),0))</f>
        <v/>
      </c>
      <c r="R107" s="29" t="str">
        <f aca="false">IF(B107="","",IF(E107="Khoán tháng",G107,IF(E107="Thử việc",IF(N(H107)&gt;0,H107,G107*TL_THUVIEC),G107)/F107*M107))</f>
        <v/>
      </c>
      <c r="S107" s="29" t="str">
        <f aca="false">IF(B107="","",IF(E107="Khoán tháng",0,I107/NGAY_CHIA*N107))</f>
        <v/>
      </c>
      <c r="T107" s="29" t="str">
        <f aca="false">IF(B107="","",IF(E107="Khoán tháng",0,I107/NGAY_CHIA*O107))</f>
        <v/>
      </c>
      <c r="U107" s="29" t="str">
        <f aca="false">IF(B107="","",IF(E107="Khoán tháng",0,G107/F107/GIO_CONG*P107*HS_LE))</f>
        <v/>
      </c>
      <c r="V107" s="29" t="str">
        <f aca="false">IF(B107="","",IF(E107="Khoán tháng",0,I107/NGAY_CHIA*Q107))</f>
        <v/>
      </c>
      <c r="W107" s="29" t="str">
        <f aca="false">IF(B107="","",IF(L107="Chung",IF(M107&gt;=CC_NGUONG,CC_TIEN,0),IF(L107="Cơ điện",IF(M107&gt;CD_N2,CD_T2,IF(M107&gt;CD_N1,CD_T1,0)),0))+SUMIFS(DC_TIEN,DC_MA,$B107,DC_LOAI,"Chuyên cần",DC_AP,"Có"))</f>
        <v/>
      </c>
      <c r="X107" s="29" t="str">
        <f aca="false">IF(B107="","",N(K107))</f>
        <v/>
      </c>
      <c r="Y107" s="29" t="str">
        <f aca="false">IF(B107="","",SUMIFS(DC_TIEN,DC_MA,$B107,DC_LOAI,"Truy lĩnh",DC_AP,"Có")+SUMIFS(DC_TIEN,DC_MA,$B107,DC_LOAI,"Cộng khác",DC_AP,"Có"))</f>
        <v/>
      </c>
      <c r="Z107" s="30" t="str">
        <f aca="false">IF(B107="","",SUM(R107:Y107))</f>
        <v/>
      </c>
      <c r="AA107" s="29" t="str">
        <f aca="false">IF(B107="","",IF(J107="Có",I107*BHXH_NLD,0))</f>
        <v/>
      </c>
      <c r="AB107" s="29" t="str">
        <f aca="false">IF(B107="","",SUMIFS(DC_TIEN,DC_MA,$B107,DC_LOAI,"Tạm ứng",DC_AP,"Có"))</f>
        <v/>
      </c>
      <c r="AC107" s="29" t="str">
        <f aca="false">IF(B107="","",SUMIFS(DC_TIEN,DC_MA,$B107,DC_LOAI,"Trừ khác",DC_AP,"Có"))</f>
        <v/>
      </c>
      <c r="AD107" s="29" t="str">
        <f aca="false">IF(B107="","",SUMIFS(DC_TIEN,DC_MA,$B107,DC_LOAI,"KPI trừ",DC_AP,"Có"))</f>
        <v/>
      </c>
      <c r="AE107" s="29" t="str">
        <f aca="false">IF(B107="","",SUM(AA107:AD107))</f>
        <v/>
      </c>
      <c r="AF107" s="30" t="str">
        <f aca="false">IF(B107="","",ROUNDDOWN(Z107-AE107,-3))</f>
        <v/>
      </c>
      <c r="AG107" s="20"/>
    </row>
    <row r="108" customFormat="false" ht="15" hidden="false" customHeight="false" outlineLevel="0" collapsed="false">
      <c r="A108" s="18" t="str">
        <f aca="false">IF(B108="","",ROW()-5)</f>
        <v/>
      </c>
      <c r="B108" s="28" t="str">
        <f aca="false">IF(BCC!B108="","",BCC!B108)</f>
        <v/>
      </c>
      <c r="C108" s="18" t="str">
        <f aca="false">IF(B108="","",IFERROR(INDEX(NV_TEN,MATCH(B108,NV_MA,0)),"MÃ KHÔNG CÓ"))</f>
        <v/>
      </c>
      <c r="D108" s="18" t="str">
        <f aca="false">IF(B108="","",IFERROR(INDEX(NV_PN,MATCH(B108,NV_MA,0)),""))</f>
        <v/>
      </c>
      <c r="E108" s="18" t="str">
        <f aca="false">IF(B108="","",IFERROR(INDEX(NV_HT,MATCH(B108,NV_MA,0)),""))</f>
        <v/>
      </c>
      <c r="F108" s="18" t="str">
        <f aca="false">IF(B108="","",IFERROR(INDEX(NV_CC,MATCH(B108,NV_MA,0)),""))</f>
        <v/>
      </c>
      <c r="G108" s="29" t="str">
        <f aca="false">IF(B108="","",IFERROR(INDEX(NV_CB,MATCH(B108,NV_MA,0)),""))</f>
        <v/>
      </c>
      <c r="H108" s="29" t="str">
        <f aca="false">IF(B108="","",IFERROR(INDEX(NV_TV,MATCH(B108,NV_MA,0)),""))</f>
        <v/>
      </c>
      <c r="I108" s="29" t="str">
        <f aca="false">IF(B108="","",IFERROR(INDEX(NV_BHXH,MATCH(B108,NV_MA,0)),""))</f>
        <v/>
      </c>
      <c r="J108" s="29" t="str">
        <f aca="false">IF(B108="","",IFERROR(INDEX(NV_DONG,MATCH(B108,NV_MA,0)),""))</f>
        <v/>
      </c>
      <c r="K108" s="29" t="str">
        <f aca="false">IF(B108="","",IFERROR(INDEX(NV_PC,MATCH(B108,NV_MA,0)),""))</f>
        <v/>
      </c>
      <c r="L108" s="18" t="str">
        <f aca="false">IF(B108="","",IFERROR(INDEX(NV_NHOMCC,MATCH(B108,NV_MA,0)),""))</f>
        <v/>
      </c>
      <c r="M108" s="25" t="str">
        <f aca="false">IF(B108="","",IFERROR(INDEX(BCC_CONG,MATCH(B108,BCC_MA,0)),0))</f>
        <v/>
      </c>
      <c r="N108" s="18" t="str">
        <f aca="false">IF(B108="","",IFERROR(INDEX(BCC_PHEP,MATCH(B108,BCC_MA,0)),0))</f>
        <v/>
      </c>
      <c r="O108" s="18" t="str">
        <f aca="false">IF(B108="","",IFERROR(INDEX(BCC_LE,MATCH(B108,BCC_MA,0)),0))</f>
        <v/>
      </c>
      <c r="P108" s="18" t="str">
        <f aca="false">IF(B108="","",IFERROR(INDEX(BCC_LEDL,MATCH(B108,BCC_MA,0)),0))</f>
        <v/>
      </c>
      <c r="Q108" s="18" t="str">
        <f aca="false">IF(B108="","",IFERROR(INDEX(BCC_CD,MATCH(B108,BCC_MA,0)),0))</f>
        <v/>
      </c>
      <c r="R108" s="29" t="str">
        <f aca="false">IF(B108="","",IF(E108="Khoán tháng",G108,IF(E108="Thử việc",IF(N(H108)&gt;0,H108,G108*TL_THUVIEC),G108)/F108*M108))</f>
        <v/>
      </c>
      <c r="S108" s="29" t="str">
        <f aca="false">IF(B108="","",IF(E108="Khoán tháng",0,I108/NGAY_CHIA*N108))</f>
        <v/>
      </c>
      <c r="T108" s="29" t="str">
        <f aca="false">IF(B108="","",IF(E108="Khoán tháng",0,I108/NGAY_CHIA*O108))</f>
        <v/>
      </c>
      <c r="U108" s="29" t="str">
        <f aca="false">IF(B108="","",IF(E108="Khoán tháng",0,G108/F108/GIO_CONG*P108*HS_LE))</f>
        <v/>
      </c>
      <c r="V108" s="29" t="str">
        <f aca="false">IF(B108="","",IF(E108="Khoán tháng",0,I108/NGAY_CHIA*Q108))</f>
        <v/>
      </c>
      <c r="W108" s="29" t="str">
        <f aca="false">IF(B108="","",IF(L108="Chung",IF(M108&gt;=CC_NGUONG,CC_TIEN,0),IF(L108="Cơ điện",IF(M108&gt;CD_N2,CD_T2,IF(M108&gt;CD_N1,CD_T1,0)),0))+SUMIFS(DC_TIEN,DC_MA,$B108,DC_LOAI,"Chuyên cần",DC_AP,"Có"))</f>
        <v/>
      </c>
      <c r="X108" s="29" t="str">
        <f aca="false">IF(B108="","",N(K108))</f>
        <v/>
      </c>
      <c r="Y108" s="29" t="str">
        <f aca="false">IF(B108="","",SUMIFS(DC_TIEN,DC_MA,$B108,DC_LOAI,"Truy lĩnh",DC_AP,"Có")+SUMIFS(DC_TIEN,DC_MA,$B108,DC_LOAI,"Cộng khác",DC_AP,"Có"))</f>
        <v/>
      </c>
      <c r="Z108" s="30" t="str">
        <f aca="false">IF(B108="","",SUM(R108:Y108))</f>
        <v/>
      </c>
      <c r="AA108" s="29" t="str">
        <f aca="false">IF(B108="","",IF(J108="Có",I108*BHXH_NLD,0))</f>
        <v/>
      </c>
      <c r="AB108" s="29" t="str">
        <f aca="false">IF(B108="","",SUMIFS(DC_TIEN,DC_MA,$B108,DC_LOAI,"Tạm ứng",DC_AP,"Có"))</f>
        <v/>
      </c>
      <c r="AC108" s="29" t="str">
        <f aca="false">IF(B108="","",SUMIFS(DC_TIEN,DC_MA,$B108,DC_LOAI,"Trừ khác",DC_AP,"Có"))</f>
        <v/>
      </c>
      <c r="AD108" s="29" t="str">
        <f aca="false">IF(B108="","",SUMIFS(DC_TIEN,DC_MA,$B108,DC_LOAI,"KPI trừ",DC_AP,"Có"))</f>
        <v/>
      </c>
      <c r="AE108" s="29" t="str">
        <f aca="false">IF(B108="","",SUM(AA108:AD108))</f>
        <v/>
      </c>
      <c r="AF108" s="30" t="str">
        <f aca="false">IF(B108="","",ROUNDDOWN(Z108-AE108,-3))</f>
        <v/>
      </c>
      <c r="AG108" s="20"/>
    </row>
    <row r="109" customFormat="false" ht="15" hidden="false" customHeight="false" outlineLevel="0" collapsed="false">
      <c r="A109" s="18" t="str">
        <f aca="false">IF(B109="","",ROW()-5)</f>
        <v/>
      </c>
      <c r="B109" s="28" t="str">
        <f aca="false">IF(BCC!B109="","",BCC!B109)</f>
        <v/>
      </c>
      <c r="C109" s="18" t="str">
        <f aca="false">IF(B109="","",IFERROR(INDEX(NV_TEN,MATCH(B109,NV_MA,0)),"MÃ KHÔNG CÓ"))</f>
        <v/>
      </c>
      <c r="D109" s="18" t="str">
        <f aca="false">IF(B109="","",IFERROR(INDEX(NV_PN,MATCH(B109,NV_MA,0)),""))</f>
        <v/>
      </c>
      <c r="E109" s="18" t="str">
        <f aca="false">IF(B109="","",IFERROR(INDEX(NV_HT,MATCH(B109,NV_MA,0)),""))</f>
        <v/>
      </c>
      <c r="F109" s="18" t="str">
        <f aca="false">IF(B109="","",IFERROR(INDEX(NV_CC,MATCH(B109,NV_MA,0)),""))</f>
        <v/>
      </c>
      <c r="G109" s="29" t="str">
        <f aca="false">IF(B109="","",IFERROR(INDEX(NV_CB,MATCH(B109,NV_MA,0)),""))</f>
        <v/>
      </c>
      <c r="H109" s="29" t="str">
        <f aca="false">IF(B109="","",IFERROR(INDEX(NV_TV,MATCH(B109,NV_MA,0)),""))</f>
        <v/>
      </c>
      <c r="I109" s="29" t="str">
        <f aca="false">IF(B109="","",IFERROR(INDEX(NV_BHXH,MATCH(B109,NV_MA,0)),""))</f>
        <v/>
      </c>
      <c r="J109" s="29" t="str">
        <f aca="false">IF(B109="","",IFERROR(INDEX(NV_DONG,MATCH(B109,NV_MA,0)),""))</f>
        <v/>
      </c>
      <c r="K109" s="29" t="str">
        <f aca="false">IF(B109="","",IFERROR(INDEX(NV_PC,MATCH(B109,NV_MA,0)),""))</f>
        <v/>
      </c>
      <c r="L109" s="18" t="str">
        <f aca="false">IF(B109="","",IFERROR(INDEX(NV_NHOMCC,MATCH(B109,NV_MA,0)),""))</f>
        <v/>
      </c>
      <c r="M109" s="25" t="str">
        <f aca="false">IF(B109="","",IFERROR(INDEX(BCC_CONG,MATCH(B109,BCC_MA,0)),0))</f>
        <v/>
      </c>
      <c r="N109" s="18" t="str">
        <f aca="false">IF(B109="","",IFERROR(INDEX(BCC_PHEP,MATCH(B109,BCC_MA,0)),0))</f>
        <v/>
      </c>
      <c r="O109" s="18" t="str">
        <f aca="false">IF(B109="","",IFERROR(INDEX(BCC_LE,MATCH(B109,BCC_MA,0)),0))</f>
        <v/>
      </c>
      <c r="P109" s="18" t="str">
        <f aca="false">IF(B109="","",IFERROR(INDEX(BCC_LEDL,MATCH(B109,BCC_MA,0)),0))</f>
        <v/>
      </c>
      <c r="Q109" s="18" t="str">
        <f aca="false">IF(B109="","",IFERROR(INDEX(BCC_CD,MATCH(B109,BCC_MA,0)),0))</f>
        <v/>
      </c>
      <c r="R109" s="29" t="str">
        <f aca="false">IF(B109="","",IF(E109="Khoán tháng",G109,IF(E109="Thử việc",IF(N(H109)&gt;0,H109,G109*TL_THUVIEC),G109)/F109*M109))</f>
        <v/>
      </c>
      <c r="S109" s="29" t="str">
        <f aca="false">IF(B109="","",IF(E109="Khoán tháng",0,I109/NGAY_CHIA*N109))</f>
        <v/>
      </c>
      <c r="T109" s="29" t="str">
        <f aca="false">IF(B109="","",IF(E109="Khoán tháng",0,I109/NGAY_CHIA*O109))</f>
        <v/>
      </c>
      <c r="U109" s="29" t="str">
        <f aca="false">IF(B109="","",IF(E109="Khoán tháng",0,G109/F109/GIO_CONG*P109*HS_LE))</f>
        <v/>
      </c>
      <c r="V109" s="29" t="str">
        <f aca="false">IF(B109="","",IF(E109="Khoán tháng",0,I109/NGAY_CHIA*Q109))</f>
        <v/>
      </c>
      <c r="W109" s="29" t="str">
        <f aca="false">IF(B109="","",IF(L109="Chung",IF(M109&gt;=CC_NGUONG,CC_TIEN,0),IF(L109="Cơ điện",IF(M109&gt;CD_N2,CD_T2,IF(M109&gt;CD_N1,CD_T1,0)),0))+SUMIFS(DC_TIEN,DC_MA,$B109,DC_LOAI,"Chuyên cần",DC_AP,"Có"))</f>
        <v/>
      </c>
      <c r="X109" s="29" t="str">
        <f aca="false">IF(B109="","",N(K109))</f>
        <v/>
      </c>
      <c r="Y109" s="29" t="str">
        <f aca="false">IF(B109="","",SUMIFS(DC_TIEN,DC_MA,$B109,DC_LOAI,"Truy lĩnh",DC_AP,"Có")+SUMIFS(DC_TIEN,DC_MA,$B109,DC_LOAI,"Cộng khác",DC_AP,"Có"))</f>
        <v/>
      </c>
      <c r="Z109" s="30" t="str">
        <f aca="false">IF(B109="","",SUM(R109:Y109))</f>
        <v/>
      </c>
      <c r="AA109" s="29" t="str">
        <f aca="false">IF(B109="","",IF(J109="Có",I109*BHXH_NLD,0))</f>
        <v/>
      </c>
      <c r="AB109" s="29" t="str">
        <f aca="false">IF(B109="","",SUMIFS(DC_TIEN,DC_MA,$B109,DC_LOAI,"Tạm ứng",DC_AP,"Có"))</f>
        <v/>
      </c>
      <c r="AC109" s="29" t="str">
        <f aca="false">IF(B109="","",SUMIFS(DC_TIEN,DC_MA,$B109,DC_LOAI,"Trừ khác",DC_AP,"Có"))</f>
        <v/>
      </c>
      <c r="AD109" s="29" t="str">
        <f aca="false">IF(B109="","",SUMIFS(DC_TIEN,DC_MA,$B109,DC_LOAI,"KPI trừ",DC_AP,"Có"))</f>
        <v/>
      </c>
      <c r="AE109" s="29" t="str">
        <f aca="false">IF(B109="","",SUM(AA109:AD109))</f>
        <v/>
      </c>
      <c r="AF109" s="30" t="str">
        <f aca="false">IF(B109="","",ROUNDDOWN(Z109-AE109,-3))</f>
        <v/>
      </c>
      <c r="AG109" s="20"/>
    </row>
    <row r="110" customFormat="false" ht="15" hidden="false" customHeight="false" outlineLevel="0" collapsed="false">
      <c r="A110" s="18" t="str">
        <f aca="false">IF(B110="","",ROW()-5)</f>
        <v/>
      </c>
      <c r="B110" s="28" t="str">
        <f aca="false">IF(BCC!B110="","",BCC!B110)</f>
        <v/>
      </c>
      <c r="C110" s="18" t="str">
        <f aca="false">IF(B110="","",IFERROR(INDEX(NV_TEN,MATCH(B110,NV_MA,0)),"MÃ KHÔNG CÓ"))</f>
        <v/>
      </c>
      <c r="D110" s="18" t="str">
        <f aca="false">IF(B110="","",IFERROR(INDEX(NV_PN,MATCH(B110,NV_MA,0)),""))</f>
        <v/>
      </c>
      <c r="E110" s="18" t="str">
        <f aca="false">IF(B110="","",IFERROR(INDEX(NV_HT,MATCH(B110,NV_MA,0)),""))</f>
        <v/>
      </c>
      <c r="F110" s="18" t="str">
        <f aca="false">IF(B110="","",IFERROR(INDEX(NV_CC,MATCH(B110,NV_MA,0)),""))</f>
        <v/>
      </c>
      <c r="G110" s="29" t="str">
        <f aca="false">IF(B110="","",IFERROR(INDEX(NV_CB,MATCH(B110,NV_MA,0)),""))</f>
        <v/>
      </c>
      <c r="H110" s="29" t="str">
        <f aca="false">IF(B110="","",IFERROR(INDEX(NV_TV,MATCH(B110,NV_MA,0)),""))</f>
        <v/>
      </c>
      <c r="I110" s="29" t="str">
        <f aca="false">IF(B110="","",IFERROR(INDEX(NV_BHXH,MATCH(B110,NV_MA,0)),""))</f>
        <v/>
      </c>
      <c r="J110" s="29" t="str">
        <f aca="false">IF(B110="","",IFERROR(INDEX(NV_DONG,MATCH(B110,NV_MA,0)),""))</f>
        <v/>
      </c>
      <c r="K110" s="29" t="str">
        <f aca="false">IF(B110="","",IFERROR(INDEX(NV_PC,MATCH(B110,NV_MA,0)),""))</f>
        <v/>
      </c>
      <c r="L110" s="18" t="str">
        <f aca="false">IF(B110="","",IFERROR(INDEX(NV_NHOMCC,MATCH(B110,NV_MA,0)),""))</f>
        <v/>
      </c>
      <c r="M110" s="25" t="str">
        <f aca="false">IF(B110="","",IFERROR(INDEX(BCC_CONG,MATCH(B110,BCC_MA,0)),0))</f>
        <v/>
      </c>
      <c r="N110" s="18" t="str">
        <f aca="false">IF(B110="","",IFERROR(INDEX(BCC_PHEP,MATCH(B110,BCC_MA,0)),0))</f>
        <v/>
      </c>
      <c r="O110" s="18" t="str">
        <f aca="false">IF(B110="","",IFERROR(INDEX(BCC_LE,MATCH(B110,BCC_MA,0)),0))</f>
        <v/>
      </c>
      <c r="P110" s="18" t="str">
        <f aca="false">IF(B110="","",IFERROR(INDEX(BCC_LEDL,MATCH(B110,BCC_MA,0)),0))</f>
        <v/>
      </c>
      <c r="Q110" s="18" t="str">
        <f aca="false">IF(B110="","",IFERROR(INDEX(BCC_CD,MATCH(B110,BCC_MA,0)),0))</f>
        <v/>
      </c>
      <c r="R110" s="29" t="str">
        <f aca="false">IF(B110="","",IF(E110="Khoán tháng",G110,IF(E110="Thử việc",IF(N(H110)&gt;0,H110,G110*TL_THUVIEC),G110)/F110*M110))</f>
        <v/>
      </c>
      <c r="S110" s="29" t="str">
        <f aca="false">IF(B110="","",IF(E110="Khoán tháng",0,I110/NGAY_CHIA*N110))</f>
        <v/>
      </c>
      <c r="T110" s="29" t="str">
        <f aca="false">IF(B110="","",IF(E110="Khoán tháng",0,I110/NGAY_CHIA*O110))</f>
        <v/>
      </c>
      <c r="U110" s="29" t="str">
        <f aca="false">IF(B110="","",IF(E110="Khoán tháng",0,G110/F110/GIO_CONG*P110*HS_LE))</f>
        <v/>
      </c>
      <c r="V110" s="29" t="str">
        <f aca="false">IF(B110="","",IF(E110="Khoán tháng",0,I110/NGAY_CHIA*Q110))</f>
        <v/>
      </c>
      <c r="W110" s="29" t="str">
        <f aca="false">IF(B110="","",IF(L110="Chung",IF(M110&gt;=CC_NGUONG,CC_TIEN,0),IF(L110="Cơ điện",IF(M110&gt;CD_N2,CD_T2,IF(M110&gt;CD_N1,CD_T1,0)),0))+SUMIFS(DC_TIEN,DC_MA,$B110,DC_LOAI,"Chuyên cần",DC_AP,"Có"))</f>
        <v/>
      </c>
      <c r="X110" s="29" t="str">
        <f aca="false">IF(B110="","",N(K110))</f>
        <v/>
      </c>
      <c r="Y110" s="29" t="str">
        <f aca="false">IF(B110="","",SUMIFS(DC_TIEN,DC_MA,$B110,DC_LOAI,"Truy lĩnh",DC_AP,"Có")+SUMIFS(DC_TIEN,DC_MA,$B110,DC_LOAI,"Cộng khác",DC_AP,"Có"))</f>
        <v/>
      </c>
      <c r="Z110" s="30" t="str">
        <f aca="false">IF(B110="","",SUM(R110:Y110))</f>
        <v/>
      </c>
      <c r="AA110" s="29" t="str">
        <f aca="false">IF(B110="","",IF(J110="Có",I110*BHXH_NLD,0))</f>
        <v/>
      </c>
      <c r="AB110" s="29" t="str">
        <f aca="false">IF(B110="","",SUMIFS(DC_TIEN,DC_MA,$B110,DC_LOAI,"Tạm ứng",DC_AP,"Có"))</f>
        <v/>
      </c>
      <c r="AC110" s="29" t="str">
        <f aca="false">IF(B110="","",SUMIFS(DC_TIEN,DC_MA,$B110,DC_LOAI,"Trừ khác",DC_AP,"Có"))</f>
        <v/>
      </c>
      <c r="AD110" s="29" t="str">
        <f aca="false">IF(B110="","",SUMIFS(DC_TIEN,DC_MA,$B110,DC_LOAI,"KPI trừ",DC_AP,"Có"))</f>
        <v/>
      </c>
      <c r="AE110" s="29" t="str">
        <f aca="false">IF(B110="","",SUM(AA110:AD110))</f>
        <v/>
      </c>
      <c r="AF110" s="30" t="str">
        <f aca="false">IF(B110="","",ROUNDDOWN(Z110-AE110,-3))</f>
        <v/>
      </c>
      <c r="AG110" s="20"/>
    </row>
    <row r="111" customFormat="false" ht="15" hidden="false" customHeight="false" outlineLevel="0" collapsed="false">
      <c r="A111" s="18" t="str">
        <f aca="false">IF(B111="","",ROW()-5)</f>
        <v/>
      </c>
      <c r="B111" s="28" t="str">
        <f aca="false">IF(BCC!B111="","",BCC!B111)</f>
        <v/>
      </c>
      <c r="C111" s="18" t="str">
        <f aca="false">IF(B111="","",IFERROR(INDEX(NV_TEN,MATCH(B111,NV_MA,0)),"MÃ KHÔNG CÓ"))</f>
        <v/>
      </c>
      <c r="D111" s="18" t="str">
        <f aca="false">IF(B111="","",IFERROR(INDEX(NV_PN,MATCH(B111,NV_MA,0)),""))</f>
        <v/>
      </c>
      <c r="E111" s="18" t="str">
        <f aca="false">IF(B111="","",IFERROR(INDEX(NV_HT,MATCH(B111,NV_MA,0)),""))</f>
        <v/>
      </c>
      <c r="F111" s="18" t="str">
        <f aca="false">IF(B111="","",IFERROR(INDEX(NV_CC,MATCH(B111,NV_MA,0)),""))</f>
        <v/>
      </c>
      <c r="G111" s="29" t="str">
        <f aca="false">IF(B111="","",IFERROR(INDEX(NV_CB,MATCH(B111,NV_MA,0)),""))</f>
        <v/>
      </c>
      <c r="H111" s="29" t="str">
        <f aca="false">IF(B111="","",IFERROR(INDEX(NV_TV,MATCH(B111,NV_MA,0)),""))</f>
        <v/>
      </c>
      <c r="I111" s="29" t="str">
        <f aca="false">IF(B111="","",IFERROR(INDEX(NV_BHXH,MATCH(B111,NV_MA,0)),""))</f>
        <v/>
      </c>
      <c r="J111" s="29" t="str">
        <f aca="false">IF(B111="","",IFERROR(INDEX(NV_DONG,MATCH(B111,NV_MA,0)),""))</f>
        <v/>
      </c>
      <c r="K111" s="29" t="str">
        <f aca="false">IF(B111="","",IFERROR(INDEX(NV_PC,MATCH(B111,NV_MA,0)),""))</f>
        <v/>
      </c>
      <c r="L111" s="18" t="str">
        <f aca="false">IF(B111="","",IFERROR(INDEX(NV_NHOMCC,MATCH(B111,NV_MA,0)),""))</f>
        <v/>
      </c>
      <c r="M111" s="25" t="str">
        <f aca="false">IF(B111="","",IFERROR(INDEX(BCC_CONG,MATCH(B111,BCC_MA,0)),0))</f>
        <v/>
      </c>
      <c r="N111" s="18" t="str">
        <f aca="false">IF(B111="","",IFERROR(INDEX(BCC_PHEP,MATCH(B111,BCC_MA,0)),0))</f>
        <v/>
      </c>
      <c r="O111" s="18" t="str">
        <f aca="false">IF(B111="","",IFERROR(INDEX(BCC_LE,MATCH(B111,BCC_MA,0)),0))</f>
        <v/>
      </c>
      <c r="P111" s="18" t="str">
        <f aca="false">IF(B111="","",IFERROR(INDEX(BCC_LEDL,MATCH(B111,BCC_MA,0)),0))</f>
        <v/>
      </c>
      <c r="Q111" s="18" t="str">
        <f aca="false">IF(B111="","",IFERROR(INDEX(BCC_CD,MATCH(B111,BCC_MA,0)),0))</f>
        <v/>
      </c>
      <c r="R111" s="29" t="str">
        <f aca="false">IF(B111="","",IF(E111="Khoán tháng",G111,IF(E111="Thử việc",IF(N(H111)&gt;0,H111,G111*TL_THUVIEC),G111)/F111*M111))</f>
        <v/>
      </c>
      <c r="S111" s="29" t="str">
        <f aca="false">IF(B111="","",IF(E111="Khoán tháng",0,I111/NGAY_CHIA*N111))</f>
        <v/>
      </c>
      <c r="T111" s="29" t="str">
        <f aca="false">IF(B111="","",IF(E111="Khoán tháng",0,I111/NGAY_CHIA*O111))</f>
        <v/>
      </c>
      <c r="U111" s="29" t="str">
        <f aca="false">IF(B111="","",IF(E111="Khoán tháng",0,G111/F111/GIO_CONG*P111*HS_LE))</f>
        <v/>
      </c>
      <c r="V111" s="29" t="str">
        <f aca="false">IF(B111="","",IF(E111="Khoán tháng",0,I111/NGAY_CHIA*Q111))</f>
        <v/>
      </c>
      <c r="W111" s="29" t="str">
        <f aca="false">IF(B111="","",IF(L111="Chung",IF(M111&gt;=CC_NGUONG,CC_TIEN,0),IF(L111="Cơ điện",IF(M111&gt;CD_N2,CD_T2,IF(M111&gt;CD_N1,CD_T1,0)),0))+SUMIFS(DC_TIEN,DC_MA,$B111,DC_LOAI,"Chuyên cần",DC_AP,"Có"))</f>
        <v/>
      </c>
      <c r="X111" s="29" t="str">
        <f aca="false">IF(B111="","",N(K111))</f>
        <v/>
      </c>
      <c r="Y111" s="29" t="str">
        <f aca="false">IF(B111="","",SUMIFS(DC_TIEN,DC_MA,$B111,DC_LOAI,"Truy lĩnh",DC_AP,"Có")+SUMIFS(DC_TIEN,DC_MA,$B111,DC_LOAI,"Cộng khác",DC_AP,"Có"))</f>
        <v/>
      </c>
      <c r="Z111" s="30" t="str">
        <f aca="false">IF(B111="","",SUM(R111:Y111))</f>
        <v/>
      </c>
      <c r="AA111" s="29" t="str">
        <f aca="false">IF(B111="","",IF(J111="Có",I111*BHXH_NLD,0))</f>
        <v/>
      </c>
      <c r="AB111" s="29" t="str">
        <f aca="false">IF(B111="","",SUMIFS(DC_TIEN,DC_MA,$B111,DC_LOAI,"Tạm ứng",DC_AP,"Có"))</f>
        <v/>
      </c>
      <c r="AC111" s="29" t="str">
        <f aca="false">IF(B111="","",SUMIFS(DC_TIEN,DC_MA,$B111,DC_LOAI,"Trừ khác",DC_AP,"Có"))</f>
        <v/>
      </c>
      <c r="AD111" s="29" t="str">
        <f aca="false">IF(B111="","",SUMIFS(DC_TIEN,DC_MA,$B111,DC_LOAI,"KPI trừ",DC_AP,"Có"))</f>
        <v/>
      </c>
      <c r="AE111" s="29" t="str">
        <f aca="false">IF(B111="","",SUM(AA111:AD111))</f>
        <v/>
      </c>
      <c r="AF111" s="30" t="str">
        <f aca="false">IF(B111="","",ROUNDDOWN(Z111-AE111,-3))</f>
        <v/>
      </c>
      <c r="AG111" s="20"/>
    </row>
    <row r="112" customFormat="false" ht="15" hidden="false" customHeight="false" outlineLevel="0" collapsed="false">
      <c r="A112" s="18" t="str">
        <f aca="false">IF(B112="","",ROW()-5)</f>
        <v/>
      </c>
      <c r="B112" s="28" t="str">
        <f aca="false">IF(BCC!B112="","",BCC!B112)</f>
        <v/>
      </c>
      <c r="C112" s="18" t="str">
        <f aca="false">IF(B112="","",IFERROR(INDEX(NV_TEN,MATCH(B112,NV_MA,0)),"MÃ KHÔNG CÓ"))</f>
        <v/>
      </c>
      <c r="D112" s="18" t="str">
        <f aca="false">IF(B112="","",IFERROR(INDEX(NV_PN,MATCH(B112,NV_MA,0)),""))</f>
        <v/>
      </c>
      <c r="E112" s="18" t="str">
        <f aca="false">IF(B112="","",IFERROR(INDEX(NV_HT,MATCH(B112,NV_MA,0)),""))</f>
        <v/>
      </c>
      <c r="F112" s="18" t="str">
        <f aca="false">IF(B112="","",IFERROR(INDEX(NV_CC,MATCH(B112,NV_MA,0)),""))</f>
        <v/>
      </c>
      <c r="G112" s="29" t="str">
        <f aca="false">IF(B112="","",IFERROR(INDEX(NV_CB,MATCH(B112,NV_MA,0)),""))</f>
        <v/>
      </c>
      <c r="H112" s="29" t="str">
        <f aca="false">IF(B112="","",IFERROR(INDEX(NV_TV,MATCH(B112,NV_MA,0)),""))</f>
        <v/>
      </c>
      <c r="I112" s="29" t="str">
        <f aca="false">IF(B112="","",IFERROR(INDEX(NV_BHXH,MATCH(B112,NV_MA,0)),""))</f>
        <v/>
      </c>
      <c r="J112" s="29" t="str">
        <f aca="false">IF(B112="","",IFERROR(INDEX(NV_DONG,MATCH(B112,NV_MA,0)),""))</f>
        <v/>
      </c>
      <c r="K112" s="29" t="str">
        <f aca="false">IF(B112="","",IFERROR(INDEX(NV_PC,MATCH(B112,NV_MA,0)),""))</f>
        <v/>
      </c>
      <c r="L112" s="18" t="str">
        <f aca="false">IF(B112="","",IFERROR(INDEX(NV_NHOMCC,MATCH(B112,NV_MA,0)),""))</f>
        <v/>
      </c>
      <c r="M112" s="25" t="str">
        <f aca="false">IF(B112="","",IFERROR(INDEX(BCC_CONG,MATCH(B112,BCC_MA,0)),0))</f>
        <v/>
      </c>
      <c r="N112" s="18" t="str">
        <f aca="false">IF(B112="","",IFERROR(INDEX(BCC_PHEP,MATCH(B112,BCC_MA,0)),0))</f>
        <v/>
      </c>
      <c r="O112" s="18" t="str">
        <f aca="false">IF(B112="","",IFERROR(INDEX(BCC_LE,MATCH(B112,BCC_MA,0)),0))</f>
        <v/>
      </c>
      <c r="P112" s="18" t="str">
        <f aca="false">IF(B112="","",IFERROR(INDEX(BCC_LEDL,MATCH(B112,BCC_MA,0)),0))</f>
        <v/>
      </c>
      <c r="Q112" s="18" t="str">
        <f aca="false">IF(B112="","",IFERROR(INDEX(BCC_CD,MATCH(B112,BCC_MA,0)),0))</f>
        <v/>
      </c>
      <c r="R112" s="29" t="str">
        <f aca="false">IF(B112="","",IF(E112="Khoán tháng",G112,IF(E112="Thử việc",IF(N(H112)&gt;0,H112,G112*TL_THUVIEC),G112)/F112*M112))</f>
        <v/>
      </c>
      <c r="S112" s="29" t="str">
        <f aca="false">IF(B112="","",IF(E112="Khoán tháng",0,I112/NGAY_CHIA*N112))</f>
        <v/>
      </c>
      <c r="T112" s="29" t="str">
        <f aca="false">IF(B112="","",IF(E112="Khoán tháng",0,I112/NGAY_CHIA*O112))</f>
        <v/>
      </c>
      <c r="U112" s="29" t="str">
        <f aca="false">IF(B112="","",IF(E112="Khoán tháng",0,G112/F112/GIO_CONG*P112*HS_LE))</f>
        <v/>
      </c>
      <c r="V112" s="29" t="str">
        <f aca="false">IF(B112="","",IF(E112="Khoán tháng",0,I112/NGAY_CHIA*Q112))</f>
        <v/>
      </c>
      <c r="W112" s="29" t="str">
        <f aca="false">IF(B112="","",IF(L112="Chung",IF(M112&gt;=CC_NGUONG,CC_TIEN,0),IF(L112="Cơ điện",IF(M112&gt;CD_N2,CD_T2,IF(M112&gt;CD_N1,CD_T1,0)),0))+SUMIFS(DC_TIEN,DC_MA,$B112,DC_LOAI,"Chuyên cần",DC_AP,"Có"))</f>
        <v/>
      </c>
      <c r="X112" s="29" t="str">
        <f aca="false">IF(B112="","",N(K112))</f>
        <v/>
      </c>
      <c r="Y112" s="29" t="str">
        <f aca="false">IF(B112="","",SUMIFS(DC_TIEN,DC_MA,$B112,DC_LOAI,"Truy lĩnh",DC_AP,"Có")+SUMIFS(DC_TIEN,DC_MA,$B112,DC_LOAI,"Cộng khác",DC_AP,"Có"))</f>
        <v/>
      </c>
      <c r="Z112" s="30" t="str">
        <f aca="false">IF(B112="","",SUM(R112:Y112))</f>
        <v/>
      </c>
      <c r="AA112" s="29" t="str">
        <f aca="false">IF(B112="","",IF(J112="Có",I112*BHXH_NLD,0))</f>
        <v/>
      </c>
      <c r="AB112" s="29" t="str">
        <f aca="false">IF(B112="","",SUMIFS(DC_TIEN,DC_MA,$B112,DC_LOAI,"Tạm ứng",DC_AP,"Có"))</f>
        <v/>
      </c>
      <c r="AC112" s="29" t="str">
        <f aca="false">IF(B112="","",SUMIFS(DC_TIEN,DC_MA,$B112,DC_LOAI,"Trừ khác",DC_AP,"Có"))</f>
        <v/>
      </c>
      <c r="AD112" s="29" t="str">
        <f aca="false">IF(B112="","",SUMIFS(DC_TIEN,DC_MA,$B112,DC_LOAI,"KPI trừ",DC_AP,"Có"))</f>
        <v/>
      </c>
      <c r="AE112" s="29" t="str">
        <f aca="false">IF(B112="","",SUM(AA112:AD112))</f>
        <v/>
      </c>
      <c r="AF112" s="30" t="str">
        <f aca="false">IF(B112="","",ROUNDDOWN(Z112-AE112,-3))</f>
        <v/>
      </c>
      <c r="AG112" s="20"/>
    </row>
    <row r="113" customFormat="false" ht="15" hidden="false" customHeight="false" outlineLevel="0" collapsed="false">
      <c r="A113" s="18" t="str">
        <f aca="false">IF(B113="","",ROW()-5)</f>
        <v/>
      </c>
      <c r="B113" s="28" t="str">
        <f aca="false">IF(BCC!B113="","",BCC!B113)</f>
        <v/>
      </c>
      <c r="C113" s="18" t="str">
        <f aca="false">IF(B113="","",IFERROR(INDEX(NV_TEN,MATCH(B113,NV_MA,0)),"MÃ KHÔNG CÓ"))</f>
        <v/>
      </c>
      <c r="D113" s="18" t="str">
        <f aca="false">IF(B113="","",IFERROR(INDEX(NV_PN,MATCH(B113,NV_MA,0)),""))</f>
        <v/>
      </c>
      <c r="E113" s="18" t="str">
        <f aca="false">IF(B113="","",IFERROR(INDEX(NV_HT,MATCH(B113,NV_MA,0)),""))</f>
        <v/>
      </c>
      <c r="F113" s="18" t="str">
        <f aca="false">IF(B113="","",IFERROR(INDEX(NV_CC,MATCH(B113,NV_MA,0)),""))</f>
        <v/>
      </c>
      <c r="G113" s="29" t="str">
        <f aca="false">IF(B113="","",IFERROR(INDEX(NV_CB,MATCH(B113,NV_MA,0)),""))</f>
        <v/>
      </c>
      <c r="H113" s="29" t="str">
        <f aca="false">IF(B113="","",IFERROR(INDEX(NV_TV,MATCH(B113,NV_MA,0)),""))</f>
        <v/>
      </c>
      <c r="I113" s="29" t="str">
        <f aca="false">IF(B113="","",IFERROR(INDEX(NV_BHXH,MATCH(B113,NV_MA,0)),""))</f>
        <v/>
      </c>
      <c r="J113" s="29" t="str">
        <f aca="false">IF(B113="","",IFERROR(INDEX(NV_DONG,MATCH(B113,NV_MA,0)),""))</f>
        <v/>
      </c>
      <c r="K113" s="29" t="str">
        <f aca="false">IF(B113="","",IFERROR(INDEX(NV_PC,MATCH(B113,NV_MA,0)),""))</f>
        <v/>
      </c>
      <c r="L113" s="18" t="str">
        <f aca="false">IF(B113="","",IFERROR(INDEX(NV_NHOMCC,MATCH(B113,NV_MA,0)),""))</f>
        <v/>
      </c>
      <c r="M113" s="25" t="str">
        <f aca="false">IF(B113="","",IFERROR(INDEX(BCC_CONG,MATCH(B113,BCC_MA,0)),0))</f>
        <v/>
      </c>
      <c r="N113" s="18" t="str">
        <f aca="false">IF(B113="","",IFERROR(INDEX(BCC_PHEP,MATCH(B113,BCC_MA,0)),0))</f>
        <v/>
      </c>
      <c r="O113" s="18" t="str">
        <f aca="false">IF(B113="","",IFERROR(INDEX(BCC_LE,MATCH(B113,BCC_MA,0)),0))</f>
        <v/>
      </c>
      <c r="P113" s="18" t="str">
        <f aca="false">IF(B113="","",IFERROR(INDEX(BCC_LEDL,MATCH(B113,BCC_MA,0)),0))</f>
        <v/>
      </c>
      <c r="Q113" s="18" t="str">
        <f aca="false">IF(B113="","",IFERROR(INDEX(BCC_CD,MATCH(B113,BCC_MA,0)),0))</f>
        <v/>
      </c>
      <c r="R113" s="29" t="str">
        <f aca="false">IF(B113="","",IF(E113="Khoán tháng",G113,IF(E113="Thử việc",IF(N(H113)&gt;0,H113,G113*TL_THUVIEC),G113)/F113*M113))</f>
        <v/>
      </c>
      <c r="S113" s="29" t="str">
        <f aca="false">IF(B113="","",IF(E113="Khoán tháng",0,I113/NGAY_CHIA*N113))</f>
        <v/>
      </c>
      <c r="T113" s="29" t="str">
        <f aca="false">IF(B113="","",IF(E113="Khoán tháng",0,I113/NGAY_CHIA*O113))</f>
        <v/>
      </c>
      <c r="U113" s="29" t="str">
        <f aca="false">IF(B113="","",IF(E113="Khoán tháng",0,G113/F113/GIO_CONG*P113*HS_LE))</f>
        <v/>
      </c>
      <c r="V113" s="29" t="str">
        <f aca="false">IF(B113="","",IF(E113="Khoán tháng",0,I113/NGAY_CHIA*Q113))</f>
        <v/>
      </c>
      <c r="W113" s="29" t="str">
        <f aca="false">IF(B113="","",IF(L113="Chung",IF(M113&gt;=CC_NGUONG,CC_TIEN,0),IF(L113="Cơ điện",IF(M113&gt;CD_N2,CD_T2,IF(M113&gt;CD_N1,CD_T1,0)),0))+SUMIFS(DC_TIEN,DC_MA,$B113,DC_LOAI,"Chuyên cần",DC_AP,"Có"))</f>
        <v/>
      </c>
      <c r="X113" s="29" t="str">
        <f aca="false">IF(B113="","",N(K113))</f>
        <v/>
      </c>
      <c r="Y113" s="29" t="str">
        <f aca="false">IF(B113="","",SUMIFS(DC_TIEN,DC_MA,$B113,DC_LOAI,"Truy lĩnh",DC_AP,"Có")+SUMIFS(DC_TIEN,DC_MA,$B113,DC_LOAI,"Cộng khác",DC_AP,"Có"))</f>
        <v/>
      </c>
      <c r="Z113" s="30" t="str">
        <f aca="false">IF(B113="","",SUM(R113:Y113))</f>
        <v/>
      </c>
      <c r="AA113" s="29" t="str">
        <f aca="false">IF(B113="","",IF(J113="Có",I113*BHXH_NLD,0))</f>
        <v/>
      </c>
      <c r="AB113" s="29" t="str">
        <f aca="false">IF(B113="","",SUMIFS(DC_TIEN,DC_MA,$B113,DC_LOAI,"Tạm ứng",DC_AP,"Có"))</f>
        <v/>
      </c>
      <c r="AC113" s="29" t="str">
        <f aca="false">IF(B113="","",SUMIFS(DC_TIEN,DC_MA,$B113,DC_LOAI,"Trừ khác",DC_AP,"Có"))</f>
        <v/>
      </c>
      <c r="AD113" s="29" t="str">
        <f aca="false">IF(B113="","",SUMIFS(DC_TIEN,DC_MA,$B113,DC_LOAI,"KPI trừ",DC_AP,"Có"))</f>
        <v/>
      </c>
      <c r="AE113" s="29" t="str">
        <f aca="false">IF(B113="","",SUM(AA113:AD113))</f>
        <v/>
      </c>
      <c r="AF113" s="30" t="str">
        <f aca="false">IF(B113="","",ROUNDDOWN(Z113-AE113,-3))</f>
        <v/>
      </c>
      <c r="AG113" s="20"/>
    </row>
    <row r="114" customFormat="false" ht="15" hidden="false" customHeight="false" outlineLevel="0" collapsed="false">
      <c r="A114" s="18" t="str">
        <f aca="false">IF(B114="","",ROW()-5)</f>
        <v/>
      </c>
      <c r="B114" s="28" t="str">
        <f aca="false">IF(BCC!B114="","",BCC!B114)</f>
        <v/>
      </c>
      <c r="C114" s="18" t="str">
        <f aca="false">IF(B114="","",IFERROR(INDEX(NV_TEN,MATCH(B114,NV_MA,0)),"MÃ KHÔNG CÓ"))</f>
        <v/>
      </c>
      <c r="D114" s="18" t="str">
        <f aca="false">IF(B114="","",IFERROR(INDEX(NV_PN,MATCH(B114,NV_MA,0)),""))</f>
        <v/>
      </c>
      <c r="E114" s="18" t="str">
        <f aca="false">IF(B114="","",IFERROR(INDEX(NV_HT,MATCH(B114,NV_MA,0)),""))</f>
        <v/>
      </c>
      <c r="F114" s="18" t="str">
        <f aca="false">IF(B114="","",IFERROR(INDEX(NV_CC,MATCH(B114,NV_MA,0)),""))</f>
        <v/>
      </c>
      <c r="G114" s="29" t="str">
        <f aca="false">IF(B114="","",IFERROR(INDEX(NV_CB,MATCH(B114,NV_MA,0)),""))</f>
        <v/>
      </c>
      <c r="H114" s="29" t="str">
        <f aca="false">IF(B114="","",IFERROR(INDEX(NV_TV,MATCH(B114,NV_MA,0)),""))</f>
        <v/>
      </c>
      <c r="I114" s="29" t="str">
        <f aca="false">IF(B114="","",IFERROR(INDEX(NV_BHXH,MATCH(B114,NV_MA,0)),""))</f>
        <v/>
      </c>
      <c r="J114" s="29" t="str">
        <f aca="false">IF(B114="","",IFERROR(INDEX(NV_DONG,MATCH(B114,NV_MA,0)),""))</f>
        <v/>
      </c>
      <c r="K114" s="29" t="str">
        <f aca="false">IF(B114="","",IFERROR(INDEX(NV_PC,MATCH(B114,NV_MA,0)),""))</f>
        <v/>
      </c>
      <c r="L114" s="18" t="str">
        <f aca="false">IF(B114="","",IFERROR(INDEX(NV_NHOMCC,MATCH(B114,NV_MA,0)),""))</f>
        <v/>
      </c>
      <c r="M114" s="25" t="str">
        <f aca="false">IF(B114="","",IFERROR(INDEX(BCC_CONG,MATCH(B114,BCC_MA,0)),0))</f>
        <v/>
      </c>
      <c r="N114" s="18" t="str">
        <f aca="false">IF(B114="","",IFERROR(INDEX(BCC_PHEP,MATCH(B114,BCC_MA,0)),0))</f>
        <v/>
      </c>
      <c r="O114" s="18" t="str">
        <f aca="false">IF(B114="","",IFERROR(INDEX(BCC_LE,MATCH(B114,BCC_MA,0)),0))</f>
        <v/>
      </c>
      <c r="P114" s="18" t="str">
        <f aca="false">IF(B114="","",IFERROR(INDEX(BCC_LEDL,MATCH(B114,BCC_MA,0)),0))</f>
        <v/>
      </c>
      <c r="Q114" s="18" t="str">
        <f aca="false">IF(B114="","",IFERROR(INDEX(BCC_CD,MATCH(B114,BCC_MA,0)),0))</f>
        <v/>
      </c>
      <c r="R114" s="29" t="str">
        <f aca="false">IF(B114="","",IF(E114="Khoán tháng",G114,IF(E114="Thử việc",IF(N(H114)&gt;0,H114,G114*TL_THUVIEC),G114)/F114*M114))</f>
        <v/>
      </c>
      <c r="S114" s="29" t="str">
        <f aca="false">IF(B114="","",IF(E114="Khoán tháng",0,I114/NGAY_CHIA*N114))</f>
        <v/>
      </c>
      <c r="T114" s="29" t="str">
        <f aca="false">IF(B114="","",IF(E114="Khoán tháng",0,I114/NGAY_CHIA*O114))</f>
        <v/>
      </c>
      <c r="U114" s="29" t="str">
        <f aca="false">IF(B114="","",IF(E114="Khoán tháng",0,G114/F114/GIO_CONG*P114*HS_LE))</f>
        <v/>
      </c>
      <c r="V114" s="29" t="str">
        <f aca="false">IF(B114="","",IF(E114="Khoán tháng",0,I114/NGAY_CHIA*Q114))</f>
        <v/>
      </c>
      <c r="W114" s="29" t="str">
        <f aca="false">IF(B114="","",IF(L114="Chung",IF(M114&gt;=CC_NGUONG,CC_TIEN,0),IF(L114="Cơ điện",IF(M114&gt;CD_N2,CD_T2,IF(M114&gt;CD_N1,CD_T1,0)),0))+SUMIFS(DC_TIEN,DC_MA,$B114,DC_LOAI,"Chuyên cần",DC_AP,"Có"))</f>
        <v/>
      </c>
      <c r="X114" s="29" t="str">
        <f aca="false">IF(B114="","",N(K114))</f>
        <v/>
      </c>
      <c r="Y114" s="29" t="str">
        <f aca="false">IF(B114="","",SUMIFS(DC_TIEN,DC_MA,$B114,DC_LOAI,"Truy lĩnh",DC_AP,"Có")+SUMIFS(DC_TIEN,DC_MA,$B114,DC_LOAI,"Cộng khác",DC_AP,"Có"))</f>
        <v/>
      </c>
      <c r="Z114" s="30" t="str">
        <f aca="false">IF(B114="","",SUM(R114:Y114))</f>
        <v/>
      </c>
      <c r="AA114" s="29" t="str">
        <f aca="false">IF(B114="","",IF(J114="Có",I114*BHXH_NLD,0))</f>
        <v/>
      </c>
      <c r="AB114" s="29" t="str">
        <f aca="false">IF(B114="","",SUMIFS(DC_TIEN,DC_MA,$B114,DC_LOAI,"Tạm ứng",DC_AP,"Có"))</f>
        <v/>
      </c>
      <c r="AC114" s="29" t="str">
        <f aca="false">IF(B114="","",SUMIFS(DC_TIEN,DC_MA,$B114,DC_LOAI,"Trừ khác",DC_AP,"Có"))</f>
        <v/>
      </c>
      <c r="AD114" s="29" t="str">
        <f aca="false">IF(B114="","",SUMIFS(DC_TIEN,DC_MA,$B114,DC_LOAI,"KPI trừ",DC_AP,"Có"))</f>
        <v/>
      </c>
      <c r="AE114" s="29" t="str">
        <f aca="false">IF(B114="","",SUM(AA114:AD114))</f>
        <v/>
      </c>
      <c r="AF114" s="30" t="str">
        <f aca="false">IF(B114="","",ROUNDDOWN(Z114-AE114,-3))</f>
        <v/>
      </c>
      <c r="AG114" s="20"/>
    </row>
    <row r="115" customFormat="false" ht="15" hidden="false" customHeight="false" outlineLevel="0" collapsed="false">
      <c r="A115" s="18" t="str">
        <f aca="false">IF(B115="","",ROW()-5)</f>
        <v/>
      </c>
      <c r="B115" s="28" t="str">
        <f aca="false">IF(BCC!B115="","",BCC!B115)</f>
        <v/>
      </c>
      <c r="C115" s="18" t="str">
        <f aca="false">IF(B115="","",IFERROR(INDEX(NV_TEN,MATCH(B115,NV_MA,0)),"MÃ KHÔNG CÓ"))</f>
        <v/>
      </c>
      <c r="D115" s="18" t="str">
        <f aca="false">IF(B115="","",IFERROR(INDEX(NV_PN,MATCH(B115,NV_MA,0)),""))</f>
        <v/>
      </c>
      <c r="E115" s="18" t="str">
        <f aca="false">IF(B115="","",IFERROR(INDEX(NV_HT,MATCH(B115,NV_MA,0)),""))</f>
        <v/>
      </c>
      <c r="F115" s="18" t="str">
        <f aca="false">IF(B115="","",IFERROR(INDEX(NV_CC,MATCH(B115,NV_MA,0)),""))</f>
        <v/>
      </c>
      <c r="G115" s="29" t="str">
        <f aca="false">IF(B115="","",IFERROR(INDEX(NV_CB,MATCH(B115,NV_MA,0)),""))</f>
        <v/>
      </c>
      <c r="H115" s="29" t="str">
        <f aca="false">IF(B115="","",IFERROR(INDEX(NV_TV,MATCH(B115,NV_MA,0)),""))</f>
        <v/>
      </c>
      <c r="I115" s="29" t="str">
        <f aca="false">IF(B115="","",IFERROR(INDEX(NV_BHXH,MATCH(B115,NV_MA,0)),""))</f>
        <v/>
      </c>
      <c r="J115" s="29" t="str">
        <f aca="false">IF(B115="","",IFERROR(INDEX(NV_DONG,MATCH(B115,NV_MA,0)),""))</f>
        <v/>
      </c>
      <c r="K115" s="29" t="str">
        <f aca="false">IF(B115="","",IFERROR(INDEX(NV_PC,MATCH(B115,NV_MA,0)),""))</f>
        <v/>
      </c>
      <c r="L115" s="18" t="str">
        <f aca="false">IF(B115="","",IFERROR(INDEX(NV_NHOMCC,MATCH(B115,NV_MA,0)),""))</f>
        <v/>
      </c>
      <c r="M115" s="25" t="str">
        <f aca="false">IF(B115="","",IFERROR(INDEX(BCC_CONG,MATCH(B115,BCC_MA,0)),0))</f>
        <v/>
      </c>
      <c r="N115" s="18" t="str">
        <f aca="false">IF(B115="","",IFERROR(INDEX(BCC_PHEP,MATCH(B115,BCC_MA,0)),0))</f>
        <v/>
      </c>
      <c r="O115" s="18" t="str">
        <f aca="false">IF(B115="","",IFERROR(INDEX(BCC_LE,MATCH(B115,BCC_MA,0)),0))</f>
        <v/>
      </c>
      <c r="P115" s="18" t="str">
        <f aca="false">IF(B115="","",IFERROR(INDEX(BCC_LEDL,MATCH(B115,BCC_MA,0)),0))</f>
        <v/>
      </c>
      <c r="Q115" s="18" t="str">
        <f aca="false">IF(B115="","",IFERROR(INDEX(BCC_CD,MATCH(B115,BCC_MA,0)),0))</f>
        <v/>
      </c>
      <c r="R115" s="29" t="str">
        <f aca="false">IF(B115="","",IF(E115="Khoán tháng",G115,IF(E115="Thử việc",IF(N(H115)&gt;0,H115,G115*TL_THUVIEC),G115)/F115*M115))</f>
        <v/>
      </c>
      <c r="S115" s="29" t="str">
        <f aca="false">IF(B115="","",IF(E115="Khoán tháng",0,I115/NGAY_CHIA*N115))</f>
        <v/>
      </c>
      <c r="T115" s="29" t="str">
        <f aca="false">IF(B115="","",IF(E115="Khoán tháng",0,I115/NGAY_CHIA*O115))</f>
        <v/>
      </c>
      <c r="U115" s="29" t="str">
        <f aca="false">IF(B115="","",IF(E115="Khoán tháng",0,G115/F115/GIO_CONG*P115*HS_LE))</f>
        <v/>
      </c>
      <c r="V115" s="29" t="str">
        <f aca="false">IF(B115="","",IF(E115="Khoán tháng",0,I115/NGAY_CHIA*Q115))</f>
        <v/>
      </c>
      <c r="W115" s="29" t="str">
        <f aca="false">IF(B115="","",IF(L115="Chung",IF(M115&gt;=CC_NGUONG,CC_TIEN,0),IF(L115="Cơ điện",IF(M115&gt;CD_N2,CD_T2,IF(M115&gt;CD_N1,CD_T1,0)),0))+SUMIFS(DC_TIEN,DC_MA,$B115,DC_LOAI,"Chuyên cần",DC_AP,"Có"))</f>
        <v/>
      </c>
      <c r="X115" s="29" t="str">
        <f aca="false">IF(B115="","",N(K115))</f>
        <v/>
      </c>
      <c r="Y115" s="29" t="str">
        <f aca="false">IF(B115="","",SUMIFS(DC_TIEN,DC_MA,$B115,DC_LOAI,"Truy lĩnh",DC_AP,"Có")+SUMIFS(DC_TIEN,DC_MA,$B115,DC_LOAI,"Cộng khác",DC_AP,"Có"))</f>
        <v/>
      </c>
      <c r="Z115" s="30" t="str">
        <f aca="false">IF(B115="","",SUM(R115:Y115))</f>
        <v/>
      </c>
      <c r="AA115" s="29" t="str">
        <f aca="false">IF(B115="","",IF(J115="Có",I115*BHXH_NLD,0))</f>
        <v/>
      </c>
      <c r="AB115" s="29" t="str">
        <f aca="false">IF(B115="","",SUMIFS(DC_TIEN,DC_MA,$B115,DC_LOAI,"Tạm ứng",DC_AP,"Có"))</f>
        <v/>
      </c>
      <c r="AC115" s="29" t="str">
        <f aca="false">IF(B115="","",SUMIFS(DC_TIEN,DC_MA,$B115,DC_LOAI,"Trừ khác",DC_AP,"Có"))</f>
        <v/>
      </c>
      <c r="AD115" s="29" t="str">
        <f aca="false">IF(B115="","",SUMIFS(DC_TIEN,DC_MA,$B115,DC_LOAI,"KPI trừ",DC_AP,"Có"))</f>
        <v/>
      </c>
      <c r="AE115" s="29" t="str">
        <f aca="false">IF(B115="","",SUM(AA115:AD115))</f>
        <v/>
      </c>
      <c r="AF115" s="30" t="str">
        <f aca="false">IF(B115="","",ROUNDDOWN(Z115-AE115,-3))</f>
        <v/>
      </c>
      <c r="AG115" s="20"/>
    </row>
    <row r="116" customFormat="false" ht="15" hidden="false" customHeight="false" outlineLevel="0" collapsed="false">
      <c r="A116" s="18" t="str">
        <f aca="false">IF(B116="","",ROW()-5)</f>
        <v/>
      </c>
      <c r="B116" s="28" t="str">
        <f aca="false">IF(BCC!B116="","",BCC!B116)</f>
        <v/>
      </c>
      <c r="C116" s="18" t="str">
        <f aca="false">IF(B116="","",IFERROR(INDEX(NV_TEN,MATCH(B116,NV_MA,0)),"MÃ KHÔNG CÓ"))</f>
        <v/>
      </c>
      <c r="D116" s="18" t="str">
        <f aca="false">IF(B116="","",IFERROR(INDEX(NV_PN,MATCH(B116,NV_MA,0)),""))</f>
        <v/>
      </c>
      <c r="E116" s="18" t="str">
        <f aca="false">IF(B116="","",IFERROR(INDEX(NV_HT,MATCH(B116,NV_MA,0)),""))</f>
        <v/>
      </c>
      <c r="F116" s="18" t="str">
        <f aca="false">IF(B116="","",IFERROR(INDEX(NV_CC,MATCH(B116,NV_MA,0)),""))</f>
        <v/>
      </c>
      <c r="G116" s="29" t="str">
        <f aca="false">IF(B116="","",IFERROR(INDEX(NV_CB,MATCH(B116,NV_MA,0)),""))</f>
        <v/>
      </c>
      <c r="H116" s="29" t="str">
        <f aca="false">IF(B116="","",IFERROR(INDEX(NV_TV,MATCH(B116,NV_MA,0)),""))</f>
        <v/>
      </c>
      <c r="I116" s="29" t="str">
        <f aca="false">IF(B116="","",IFERROR(INDEX(NV_BHXH,MATCH(B116,NV_MA,0)),""))</f>
        <v/>
      </c>
      <c r="J116" s="29" t="str">
        <f aca="false">IF(B116="","",IFERROR(INDEX(NV_DONG,MATCH(B116,NV_MA,0)),""))</f>
        <v/>
      </c>
      <c r="K116" s="29" t="str">
        <f aca="false">IF(B116="","",IFERROR(INDEX(NV_PC,MATCH(B116,NV_MA,0)),""))</f>
        <v/>
      </c>
      <c r="L116" s="18" t="str">
        <f aca="false">IF(B116="","",IFERROR(INDEX(NV_NHOMCC,MATCH(B116,NV_MA,0)),""))</f>
        <v/>
      </c>
      <c r="M116" s="25" t="str">
        <f aca="false">IF(B116="","",IFERROR(INDEX(BCC_CONG,MATCH(B116,BCC_MA,0)),0))</f>
        <v/>
      </c>
      <c r="N116" s="18" t="str">
        <f aca="false">IF(B116="","",IFERROR(INDEX(BCC_PHEP,MATCH(B116,BCC_MA,0)),0))</f>
        <v/>
      </c>
      <c r="O116" s="18" t="str">
        <f aca="false">IF(B116="","",IFERROR(INDEX(BCC_LE,MATCH(B116,BCC_MA,0)),0))</f>
        <v/>
      </c>
      <c r="P116" s="18" t="str">
        <f aca="false">IF(B116="","",IFERROR(INDEX(BCC_LEDL,MATCH(B116,BCC_MA,0)),0))</f>
        <v/>
      </c>
      <c r="Q116" s="18" t="str">
        <f aca="false">IF(B116="","",IFERROR(INDEX(BCC_CD,MATCH(B116,BCC_MA,0)),0))</f>
        <v/>
      </c>
      <c r="R116" s="29" t="str">
        <f aca="false">IF(B116="","",IF(E116="Khoán tháng",G116,IF(E116="Thử việc",IF(N(H116)&gt;0,H116,G116*TL_THUVIEC),G116)/F116*M116))</f>
        <v/>
      </c>
      <c r="S116" s="29" t="str">
        <f aca="false">IF(B116="","",IF(E116="Khoán tháng",0,I116/NGAY_CHIA*N116))</f>
        <v/>
      </c>
      <c r="T116" s="29" t="str">
        <f aca="false">IF(B116="","",IF(E116="Khoán tháng",0,I116/NGAY_CHIA*O116))</f>
        <v/>
      </c>
      <c r="U116" s="29" t="str">
        <f aca="false">IF(B116="","",IF(E116="Khoán tháng",0,G116/F116/GIO_CONG*P116*HS_LE))</f>
        <v/>
      </c>
      <c r="V116" s="29" t="str">
        <f aca="false">IF(B116="","",IF(E116="Khoán tháng",0,I116/NGAY_CHIA*Q116))</f>
        <v/>
      </c>
      <c r="W116" s="29" t="str">
        <f aca="false">IF(B116="","",IF(L116="Chung",IF(M116&gt;=CC_NGUONG,CC_TIEN,0),IF(L116="Cơ điện",IF(M116&gt;CD_N2,CD_T2,IF(M116&gt;CD_N1,CD_T1,0)),0))+SUMIFS(DC_TIEN,DC_MA,$B116,DC_LOAI,"Chuyên cần",DC_AP,"Có"))</f>
        <v/>
      </c>
      <c r="X116" s="29" t="str">
        <f aca="false">IF(B116="","",N(K116))</f>
        <v/>
      </c>
      <c r="Y116" s="29" t="str">
        <f aca="false">IF(B116="","",SUMIFS(DC_TIEN,DC_MA,$B116,DC_LOAI,"Truy lĩnh",DC_AP,"Có")+SUMIFS(DC_TIEN,DC_MA,$B116,DC_LOAI,"Cộng khác",DC_AP,"Có"))</f>
        <v/>
      </c>
      <c r="Z116" s="30" t="str">
        <f aca="false">IF(B116="","",SUM(R116:Y116))</f>
        <v/>
      </c>
      <c r="AA116" s="29" t="str">
        <f aca="false">IF(B116="","",IF(J116="Có",I116*BHXH_NLD,0))</f>
        <v/>
      </c>
      <c r="AB116" s="29" t="str">
        <f aca="false">IF(B116="","",SUMIFS(DC_TIEN,DC_MA,$B116,DC_LOAI,"Tạm ứng",DC_AP,"Có"))</f>
        <v/>
      </c>
      <c r="AC116" s="29" t="str">
        <f aca="false">IF(B116="","",SUMIFS(DC_TIEN,DC_MA,$B116,DC_LOAI,"Trừ khác",DC_AP,"Có"))</f>
        <v/>
      </c>
      <c r="AD116" s="29" t="str">
        <f aca="false">IF(B116="","",SUMIFS(DC_TIEN,DC_MA,$B116,DC_LOAI,"KPI trừ",DC_AP,"Có"))</f>
        <v/>
      </c>
      <c r="AE116" s="29" t="str">
        <f aca="false">IF(B116="","",SUM(AA116:AD116))</f>
        <v/>
      </c>
      <c r="AF116" s="30" t="str">
        <f aca="false">IF(B116="","",ROUNDDOWN(Z116-AE116,-3))</f>
        <v/>
      </c>
      <c r="AG116" s="20"/>
    </row>
    <row r="117" customFormat="false" ht="15" hidden="false" customHeight="false" outlineLevel="0" collapsed="false">
      <c r="A117" s="18" t="str">
        <f aca="false">IF(B117="","",ROW()-5)</f>
        <v/>
      </c>
      <c r="B117" s="28" t="str">
        <f aca="false">IF(BCC!B117="","",BCC!B117)</f>
        <v/>
      </c>
      <c r="C117" s="18" t="str">
        <f aca="false">IF(B117="","",IFERROR(INDEX(NV_TEN,MATCH(B117,NV_MA,0)),"MÃ KHÔNG CÓ"))</f>
        <v/>
      </c>
      <c r="D117" s="18" t="str">
        <f aca="false">IF(B117="","",IFERROR(INDEX(NV_PN,MATCH(B117,NV_MA,0)),""))</f>
        <v/>
      </c>
      <c r="E117" s="18" t="str">
        <f aca="false">IF(B117="","",IFERROR(INDEX(NV_HT,MATCH(B117,NV_MA,0)),""))</f>
        <v/>
      </c>
      <c r="F117" s="18" t="str">
        <f aca="false">IF(B117="","",IFERROR(INDEX(NV_CC,MATCH(B117,NV_MA,0)),""))</f>
        <v/>
      </c>
      <c r="G117" s="29" t="str">
        <f aca="false">IF(B117="","",IFERROR(INDEX(NV_CB,MATCH(B117,NV_MA,0)),""))</f>
        <v/>
      </c>
      <c r="H117" s="29" t="str">
        <f aca="false">IF(B117="","",IFERROR(INDEX(NV_TV,MATCH(B117,NV_MA,0)),""))</f>
        <v/>
      </c>
      <c r="I117" s="29" t="str">
        <f aca="false">IF(B117="","",IFERROR(INDEX(NV_BHXH,MATCH(B117,NV_MA,0)),""))</f>
        <v/>
      </c>
      <c r="J117" s="29" t="str">
        <f aca="false">IF(B117="","",IFERROR(INDEX(NV_DONG,MATCH(B117,NV_MA,0)),""))</f>
        <v/>
      </c>
      <c r="K117" s="29" t="str">
        <f aca="false">IF(B117="","",IFERROR(INDEX(NV_PC,MATCH(B117,NV_MA,0)),""))</f>
        <v/>
      </c>
      <c r="L117" s="18" t="str">
        <f aca="false">IF(B117="","",IFERROR(INDEX(NV_NHOMCC,MATCH(B117,NV_MA,0)),""))</f>
        <v/>
      </c>
      <c r="M117" s="25" t="str">
        <f aca="false">IF(B117="","",IFERROR(INDEX(BCC_CONG,MATCH(B117,BCC_MA,0)),0))</f>
        <v/>
      </c>
      <c r="N117" s="18" t="str">
        <f aca="false">IF(B117="","",IFERROR(INDEX(BCC_PHEP,MATCH(B117,BCC_MA,0)),0))</f>
        <v/>
      </c>
      <c r="O117" s="18" t="str">
        <f aca="false">IF(B117="","",IFERROR(INDEX(BCC_LE,MATCH(B117,BCC_MA,0)),0))</f>
        <v/>
      </c>
      <c r="P117" s="18" t="str">
        <f aca="false">IF(B117="","",IFERROR(INDEX(BCC_LEDL,MATCH(B117,BCC_MA,0)),0))</f>
        <v/>
      </c>
      <c r="Q117" s="18" t="str">
        <f aca="false">IF(B117="","",IFERROR(INDEX(BCC_CD,MATCH(B117,BCC_MA,0)),0))</f>
        <v/>
      </c>
      <c r="R117" s="29" t="str">
        <f aca="false">IF(B117="","",IF(E117="Khoán tháng",G117,IF(E117="Thử việc",IF(N(H117)&gt;0,H117,G117*TL_THUVIEC),G117)/F117*M117))</f>
        <v/>
      </c>
      <c r="S117" s="29" t="str">
        <f aca="false">IF(B117="","",IF(E117="Khoán tháng",0,I117/NGAY_CHIA*N117))</f>
        <v/>
      </c>
      <c r="T117" s="29" t="str">
        <f aca="false">IF(B117="","",IF(E117="Khoán tháng",0,I117/NGAY_CHIA*O117))</f>
        <v/>
      </c>
      <c r="U117" s="29" t="str">
        <f aca="false">IF(B117="","",IF(E117="Khoán tháng",0,G117/F117/GIO_CONG*P117*HS_LE))</f>
        <v/>
      </c>
      <c r="V117" s="29" t="str">
        <f aca="false">IF(B117="","",IF(E117="Khoán tháng",0,I117/NGAY_CHIA*Q117))</f>
        <v/>
      </c>
      <c r="W117" s="29" t="str">
        <f aca="false">IF(B117="","",IF(L117="Chung",IF(M117&gt;=CC_NGUONG,CC_TIEN,0),IF(L117="Cơ điện",IF(M117&gt;CD_N2,CD_T2,IF(M117&gt;CD_N1,CD_T1,0)),0))+SUMIFS(DC_TIEN,DC_MA,$B117,DC_LOAI,"Chuyên cần",DC_AP,"Có"))</f>
        <v/>
      </c>
      <c r="X117" s="29" t="str">
        <f aca="false">IF(B117="","",N(K117))</f>
        <v/>
      </c>
      <c r="Y117" s="29" t="str">
        <f aca="false">IF(B117="","",SUMIFS(DC_TIEN,DC_MA,$B117,DC_LOAI,"Truy lĩnh",DC_AP,"Có")+SUMIFS(DC_TIEN,DC_MA,$B117,DC_LOAI,"Cộng khác",DC_AP,"Có"))</f>
        <v/>
      </c>
      <c r="Z117" s="30" t="str">
        <f aca="false">IF(B117="","",SUM(R117:Y117))</f>
        <v/>
      </c>
      <c r="AA117" s="29" t="str">
        <f aca="false">IF(B117="","",IF(J117="Có",I117*BHXH_NLD,0))</f>
        <v/>
      </c>
      <c r="AB117" s="29" t="str">
        <f aca="false">IF(B117="","",SUMIFS(DC_TIEN,DC_MA,$B117,DC_LOAI,"Tạm ứng",DC_AP,"Có"))</f>
        <v/>
      </c>
      <c r="AC117" s="29" t="str">
        <f aca="false">IF(B117="","",SUMIFS(DC_TIEN,DC_MA,$B117,DC_LOAI,"Trừ khác",DC_AP,"Có"))</f>
        <v/>
      </c>
      <c r="AD117" s="29" t="str">
        <f aca="false">IF(B117="","",SUMIFS(DC_TIEN,DC_MA,$B117,DC_LOAI,"KPI trừ",DC_AP,"Có"))</f>
        <v/>
      </c>
      <c r="AE117" s="29" t="str">
        <f aca="false">IF(B117="","",SUM(AA117:AD117))</f>
        <v/>
      </c>
      <c r="AF117" s="30" t="str">
        <f aca="false">IF(B117="","",ROUNDDOWN(Z117-AE117,-3))</f>
        <v/>
      </c>
      <c r="AG117" s="20"/>
    </row>
    <row r="118" customFormat="false" ht="15" hidden="false" customHeight="false" outlineLevel="0" collapsed="false">
      <c r="A118" s="18" t="str">
        <f aca="false">IF(B118="","",ROW()-5)</f>
        <v/>
      </c>
      <c r="B118" s="28" t="str">
        <f aca="false">IF(BCC!B118="","",BCC!B118)</f>
        <v/>
      </c>
      <c r="C118" s="18" t="str">
        <f aca="false">IF(B118="","",IFERROR(INDEX(NV_TEN,MATCH(B118,NV_MA,0)),"MÃ KHÔNG CÓ"))</f>
        <v/>
      </c>
      <c r="D118" s="18" t="str">
        <f aca="false">IF(B118="","",IFERROR(INDEX(NV_PN,MATCH(B118,NV_MA,0)),""))</f>
        <v/>
      </c>
      <c r="E118" s="18" t="str">
        <f aca="false">IF(B118="","",IFERROR(INDEX(NV_HT,MATCH(B118,NV_MA,0)),""))</f>
        <v/>
      </c>
      <c r="F118" s="18" t="str">
        <f aca="false">IF(B118="","",IFERROR(INDEX(NV_CC,MATCH(B118,NV_MA,0)),""))</f>
        <v/>
      </c>
      <c r="G118" s="29" t="str">
        <f aca="false">IF(B118="","",IFERROR(INDEX(NV_CB,MATCH(B118,NV_MA,0)),""))</f>
        <v/>
      </c>
      <c r="H118" s="29" t="str">
        <f aca="false">IF(B118="","",IFERROR(INDEX(NV_TV,MATCH(B118,NV_MA,0)),""))</f>
        <v/>
      </c>
      <c r="I118" s="29" t="str">
        <f aca="false">IF(B118="","",IFERROR(INDEX(NV_BHXH,MATCH(B118,NV_MA,0)),""))</f>
        <v/>
      </c>
      <c r="J118" s="29" t="str">
        <f aca="false">IF(B118="","",IFERROR(INDEX(NV_DONG,MATCH(B118,NV_MA,0)),""))</f>
        <v/>
      </c>
      <c r="K118" s="29" t="str">
        <f aca="false">IF(B118="","",IFERROR(INDEX(NV_PC,MATCH(B118,NV_MA,0)),""))</f>
        <v/>
      </c>
      <c r="L118" s="18" t="str">
        <f aca="false">IF(B118="","",IFERROR(INDEX(NV_NHOMCC,MATCH(B118,NV_MA,0)),""))</f>
        <v/>
      </c>
      <c r="M118" s="25" t="str">
        <f aca="false">IF(B118="","",IFERROR(INDEX(BCC_CONG,MATCH(B118,BCC_MA,0)),0))</f>
        <v/>
      </c>
      <c r="N118" s="18" t="str">
        <f aca="false">IF(B118="","",IFERROR(INDEX(BCC_PHEP,MATCH(B118,BCC_MA,0)),0))</f>
        <v/>
      </c>
      <c r="O118" s="18" t="str">
        <f aca="false">IF(B118="","",IFERROR(INDEX(BCC_LE,MATCH(B118,BCC_MA,0)),0))</f>
        <v/>
      </c>
      <c r="P118" s="18" t="str">
        <f aca="false">IF(B118="","",IFERROR(INDEX(BCC_LEDL,MATCH(B118,BCC_MA,0)),0))</f>
        <v/>
      </c>
      <c r="Q118" s="18" t="str">
        <f aca="false">IF(B118="","",IFERROR(INDEX(BCC_CD,MATCH(B118,BCC_MA,0)),0))</f>
        <v/>
      </c>
      <c r="R118" s="29" t="str">
        <f aca="false">IF(B118="","",IF(E118="Khoán tháng",G118,IF(E118="Thử việc",IF(N(H118)&gt;0,H118,G118*TL_THUVIEC),G118)/F118*M118))</f>
        <v/>
      </c>
      <c r="S118" s="29" t="str">
        <f aca="false">IF(B118="","",IF(E118="Khoán tháng",0,I118/NGAY_CHIA*N118))</f>
        <v/>
      </c>
      <c r="T118" s="29" t="str">
        <f aca="false">IF(B118="","",IF(E118="Khoán tháng",0,I118/NGAY_CHIA*O118))</f>
        <v/>
      </c>
      <c r="U118" s="29" t="str">
        <f aca="false">IF(B118="","",IF(E118="Khoán tháng",0,G118/F118/GIO_CONG*P118*HS_LE))</f>
        <v/>
      </c>
      <c r="V118" s="29" t="str">
        <f aca="false">IF(B118="","",IF(E118="Khoán tháng",0,I118/NGAY_CHIA*Q118))</f>
        <v/>
      </c>
      <c r="W118" s="29" t="str">
        <f aca="false">IF(B118="","",IF(L118="Chung",IF(M118&gt;=CC_NGUONG,CC_TIEN,0),IF(L118="Cơ điện",IF(M118&gt;CD_N2,CD_T2,IF(M118&gt;CD_N1,CD_T1,0)),0))+SUMIFS(DC_TIEN,DC_MA,$B118,DC_LOAI,"Chuyên cần",DC_AP,"Có"))</f>
        <v/>
      </c>
      <c r="X118" s="29" t="str">
        <f aca="false">IF(B118="","",N(K118))</f>
        <v/>
      </c>
      <c r="Y118" s="29" t="str">
        <f aca="false">IF(B118="","",SUMIFS(DC_TIEN,DC_MA,$B118,DC_LOAI,"Truy lĩnh",DC_AP,"Có")+SUMIFS(DC_TIEN,DC_MA,$B118,DC_LOAI,"Cộng khác",DC_AP,"Có"))</f>
        <v/>
      </c>
      <c r="Z118" s="30" t="str">
        <f aca="false">IF(B118="","",SUM(R118:Y118))</f>
        <v/>
      </c>
      <c r="AA118" s="29" t="str">
        <f aca="false">IF(B118="","",IF(J118="Có",I118*BHXH_NLD,0))</f>
        <v/>
      </c>
      <c r="AB118" s="29" t="str">
        <f aca="false">IF(B118="","",SUMIFS(DC_TIEN,DC_MA,$B118,DC_LOAI,"Tạm ứng",DC_AP,"Có"))</f>
        <v/>
      </c>
      <c r="AC118" s="29" t="str">
        <f aca="false">IF(B118="","",SUMIFS(DC_TIEN,DC_MA,$B118,DC_LOAI,"Trừ khác",DC_AP,"Có"))</f>
        <v/>
      </c>
      <c r="AD118" s="29" t="str">
        <f aca="false">IF(B118="","",SUMIFS(DC_TIEN,DC_MA,$B118,DC_LOAI,"KPI trừ",DC_AP,"Có"))</f>
        <v/>
      </c>
      <c r="AE118" s="29" t="str">
        <f aca="false">IF(B118="","",SUM(AA118:AD118))</f>
        <v/>
      </c>
      <c r="AF118" s="30" t="str">
        <f aca="false">IF(B118="","",ROUNDDOWN(Z118-AE118,-3))</f>
        <v/>
      </c>
      <c r="AG118" s="20"/>
    </row>
    <row r="119" customFormat="false" ht="15" hidden="false" customHeight="false" outlineLevel="0" collapsed="false">
      <c r="A119" s="18" t="str">
        <f aca="false">IF(B119="","",ROW()-5)</f>
        <v/>
      </c>
      <c r="B119" s="28" t="str">
        <f aca="false">IF(BCC!B119="","",BCC!B119)</f>
        <v/>
      </c>
      <c r="C119" s="18" t="str">
        <f aca="false">IF(B119="","",IFERROR(INDEX(NV_TEN,MATCH(B119,NV_MA,0)),"MÃ KHÔNG CÓ"))</f>
        <v/>
      </c>
      <c r="D119" s="18" t="str">
        <f aca="false">IF(B119="","",IFERROR(INDEX(NV_PN,MATCH(B119,NV_MA,0)),""))</f>
        <v/>
      </c>
      <c r="E119" s="18" t="str">
        <f aca="false">IF(B119="","",IFERROR(INDEX(NV_HT,MATCH(B119,NV_MA,0)),""))</f>
        <v/>
      </c>
      <c r="F119" s="18" t="str">
        <f aca="false">IF(B119="","",IFERROR(INDEX(NV_CC,MATCH(B119,NV_MA,0)),""))</f>
        <v/>
      </c>
      <c r="G119" s="29" t="str">
        <f aca="false">IF(B119="","",IFERROR(INDEX(NV_CB,MATCH(B119,NV_MA,0)),""))</f>
        <v/>
      </c>
      <c r="H119" s="29" t="str">
        <f aca="false">IF(B119="","",IFERROR(INDEX(NV_TV,MATCH(B119,NV_MA,0)),""))</f>
        <v/>
      </c>
      <c r="I119" s="29" t="str">
        <f aca="false">IF(B119="","",IFERROR(INDEX(NV_BHXH,MATCH(B119,NV_MA,0)),""))</f>
        <v/>
      </c>
      <c r="J119" s="29" t="str">
        <f aca="false">IF(B119="","",IFERROR(INDEX(NV_DONG,MATCH(B119,NV_MA,0)),""))</f>
        <v/>
      </c>
      <c r="K119" s="29" t="str">
        <f aca="false">IF(B119="","",IFERROR(INDEX(NV_PC,MATCH(B119,NV_MA,0)),""))</f>
        <v/>
      </c>
      <c r="L119" s="18" t="str">
        <f aca="false">IF(B119="","",IFERROR(INDEX(NV_NHOMCC,MATCH(B119,NV_MA,0)),""))</f>
        <v/>
      </c>
      <c r="M119" s="25" t="str">
        <f aca="false">IF(B119="","",IFERROR(INDEX(BCC_CONG,MATCH(B119,BCC_MA,0)),0))</f>
        <v/>
      </c>
      <c r="N119" s="18" t="str">
        <f aca="false">IF(B119="","",IFERROR(INDEX(BCC_PHEP,MATCH(B119,BCC_MA,0)),0))</f>
        <v/>
      </c>
      <c r="O119" s="18" t="str">
        <f aca="false">IF(B119="","",IFERROR(INDEX(BCC_LE,MATCH(B119,BCC_MA,0)),0))</f>
        <v/>
      </c>
      <c r="P119" s="18" t="str">
        <f aca="false">IF(B119="","",IFERROR(INDEX(BCC_LEDL,MATCH(B119,BCC_MA,0)),0))</f>
        <v/>
      </c>
      <c r="Q119" s="18" t="str">
        <f aca="false">IF(B119="","",IFERROR(INDEX(BCC_CD,MATCH(B119,BCC_MA,0)),0))</f>
        <v/>
      </c>
      <c r="R119" s="29" t="str">
        <f aca="false">IF(B119="","",IF(E119="Khoán tháng",G119,IF(E119="Thử việc",IF(N(H119)&gt;0,H119,G119*TL_THUVIEC),G119)/F119*M119))</f>
        <v/>
      </c>
      <c r="S119" s="29" t="str">
        <f aca="false">IF(B119="","",IF(E119="Khoán tháng",0,I119/NGAY_CHIA*N119))</f>
        <v/>
      </c>
      <c r="T119" s="29" t="str">
        <f aca="false">IF(B119="","",IF(E119="Khoán tháng",0,I119/NGAY_CHIA*O119))</f>
        <v/>
      </c>
      <c r="U119" s="29" t="str">
        <f aca="false">IF(B119="","",IF(E119="Khoán tháng",0,G119/F119/GIO_CONG*P119*HS_LE))</f>
        <v/>
      </c>
      <c r="V119" s="29" t="str">
        <f aca="false">IF(B119="","",IF(E119="Khoán tháng",0,I119/NGAY_CHIA*Q119))</f>
        <v/>
      </c>
      <c r="W119" s="29" t="str">
        <f aca="false">IF(B119="","",IF(L119="Chung",IF(M119&gt;=CC_NGUONG,CC_TIEN,0),IF(L119="Cơ điện",IF(M119&gt;CD_N2,CD_T2,IF(M119&gt;CD_N1,CD_T1,0)),0))+SUMIFS(DC_TIEN,DC_MA,$B119,DC_LOAI,"Chuyên cần",DC_AP,"Có"))</f>
        <v/>
      </c>
      <c r="X119" s="29" t="str">
        <f aca="false">IF(B119="","",N(K119))</f>
        <v/>
      </c>
      <c r="Y119" s="29" t="str">
        <f aca="false">IF(B119="","",SUMIFS(DC_TIEN,DC_MA,$B119,DC_LOAI,"Truy lĩnh",DC_AP,"Có")+SUMIFS(DC_TIEN,DC_MA,$B119,DC_LOAI,"Cộng khác",DC_AP,"Có"))</f>
        <v/>
      </c>
      <c r="Z119" s="30" t="str">
        <f aca="false">IF(B119="","",SUM(R119:Y119))</f>
        <v/>
      </c>
      <c r="AA119" s="29" t="str">
        <f aca="false">IF(B119="","",IF(J119="Có",I119*BHXH_NLD,0))</f>
        <v/>
      </c>
      <c r="AB119" s="29" t="str">
        <f aca="false">IF(B119="","",SUMIFS(DC_TIEN,DC_MA,$B119,DC_LOAI,"Tạm ứng",DC_AP,"Có"))</f>
        <v/>
      </c>
      <c r="AC119" s="29" t="str">
        <f aca="false">IF(B119="","",SUMIFS(DC_TIEN,DC_MA,$B119,DC_LOAI,"Trừ khác",DC_AP,"Có"))</f>
        <v/>
      </c>
      <c r="AD119" s="29" t="str">
        <f aca="false">IF(B119="","",SUMIFS(DC_TIEN,DC_MA,$B119,DC_LOAI,"KPI trừ",DC_AP,"Có"))</f>
        <v/>
      </c>
      <c r="AE119" s="29" t="str">
        <f aca="false">IF(B119="","",SUM(AA119:AD119))</f>
        <v/>
      </c>
      <c r="AF119" s="30" t="str">
        <f aca="false">IF(B119="","",ROUNDDOWN(Z119-AE119,-3))</f>
        <v/>
      </c>
      <c r="AG119" s="20"/>
    </row>
    <row r="120" customFormat="false" ht="15" hidden="false" customHeight="false" outlineLevel="0" collapsed="false">
      <c r="A120" s="18" t="str">
        <f aca="false">IF(B120="","",ROW()-5)</f>
        <v/>
      </c>
      <c r="B120" s="28" t="str">
        <f aca="false">IF(BCC!B120="","",BCC!B120)</f>
        <v/>
      </c>
      <c r="C120" s="18" t="str">
        <f aca="false">IF(B120="","",IFERROR(INDEX(NV_TEN,MATCH(B120,NV_MA,0)),"MÃ KHÔNG CÓ"))</f>
        <v/>
      </c>
      <c r="D120" s="18" t="str">
        <f aca="false">IF(B120="","",IFERROR(INDEX(NV_PN,MATCH(B120,NV_MA,0)),""))</f>
        <v/>
      </c>
      <c r="E120" s="18" t="str">
        <f aca="false">IF(B120="","",IFERROR(INDEX(NV_HT,MATCH(B120,NV_MA,0)),""))</f>
        <v/>
      </c>
      <c r="F120" s="18" t="str">
        <f aca="false">IF(B120="","",IFERROR(INDEX(NV_CC,MATCH(B120,NV_MA,0)),""))</f>
        <v/>
      </c>
      <c r="G120" s="29" t="str">
        <f aca="false">IF(B120="","",IFERROR(INDEX(NV_CB,MATCH(B120,NV_MA,0)),""))</f>
        <v/>
      </c>
      <c r="H120" s="29" t="str">
        <f aca="false">IF(B120="","",IFERROR(INDEX(NV_TV,MATCH(B120,NV_MA,0)),""))</f>
        <v/>
      </c>
      <c r="I120" s="29" t="str">
        <f aca="false">IF(B120="","",IFERROR(INDEX(NV_BHXH,MATCH(B120,NV_MA,0)),""))</f>
        <v/>
      </c>
      <c r="J120" s="29" t="str">
        <f aca="false">IF(B120="","",IFERROR(INDEX(NV_DONG,MATCH(B120,NV_MA,0)),""))</f>
        <v/>
      </c>
      <c r="K120" s="29" t="str">
        <f aca="false">IF(B120="","",IFERROR(INDEX(NV_PC,MATCH(B120,NV_MA,0)),""))</f>
        <v/>
      </c>
      <c r="L120" s="18" t="str">
        <f aca="false">IF(B120="","",IFERROR(INDEX(NV_NHOMCC,MATCH(B120,NV_MA,0)),""))</f>
        <v/>
      </c>
      <c r="M120" s="25" t="str">
        <f aca="false">IF(B120="","",IFERROR(INDEX(BCC_CONG,MATCH(B120,BCC_MA,0)),0))</f>
        <v/>
      </c>
      <c r="N120" s="18" t="str">
        <f aca="false">IF(B120="","",IFERROR(INDEX(BCC_PHEP,MATCH(B120,BCC_MA,0)),0))</f>
        <v/>
      </c>
      <c r="O120" s="18" t="str">
        <f aca="false">IF(B120="","",IFERROR(INDEX(BCC_LE,MATCH(B120,BCC_MA,0)),0))</f>
        <v/>
      </c>
      <c r="P120" s="18" t="str">
        <f aca="false">IF(B120="","",IFERROR(INDEX(BCC_LEDL,MATCH(B120,BCC_MA,0)),0))</f>
        <v/>
      </c>
      <c r="Q120" s="18" t="str">
        <f aca="false">IF(B120="","",IFERROR(INDEX(BCC_CD,MATCH(B120,BCC_MA,0)),0))</f>
        <v/>
      </c>
      <c r="R120" s="29" t="str">
        <f aca="false">IF(B120="","",IF(E120="Khoán tháng",G120,IF(E120="Thử việc",IF(N(H120)&gt;0,H120,G120*TL_THUVIEC),G120)/F120*M120))</f>
        <v/>
      </c>
      <c r="S120" s="29" t="str">
        <f aca="false">IF(B120="","",IF(E120="Khoán tháng",0,I120/NGAY_CHIA*N120))</f>
        <v/>
      </c>
      <c r="T120" s="29" t="str">
        <f aca="false">IF(B120="","",IF(E120="Khoán tháng",0,I120/NGAY_CHIA*O120))</f>
        <v/>
      </c>
      <c r="U120" s="29" t="str">
        <f aca="false">IF(B120="","",IF(E120="Khoán tháng",0,G120/F120/GIO_CONG*P120*HS_LE))</f>
        <v/>
      </c>
      <c r="V120" s="29" t="str">
        <f aca="false">IF(B120="","",IF(E120="Khoán tháng",0,I120/NGAY_CHIA*Q120))</f>
        <v/>
      </c>
      <c r="W120" s="29" t="str">
        <f aca="false">IF(B120="","",IF(L120="Chung",IF(M120&gt;=CC_NGUONG,CC_TIEN,0),IF(L120="Cơ điện",IF(M120&gt;CD_N2,CD_T2,IF(M120&gt;CD_N1,CD_T1,0)),0))+SUMIFS(DC_TIEN,DC_MA,$B120,DC_LOAI,"Chuyên cần",DC_AP,"Có"))</f>
        <v/>
      </c>
      <c r="X120" s="29" t="str">
        <f aca="false">IF(B120="","",N(K120))</f>
        <v/>
      </c>
      <c r="Y120" s="29" t="str">
        <f aca="false">IF(B120="","",SUMIFS(DC_TIEN,DC_MA,$B120,DC_LOAI,"Truy lĩnh",DC_AP,"Có")+SUMIFS(DC_TIEN,DC_MA,$B120,DC_LOAI,"Cộng khác",DC_AP,"Có"))</f>
        <v/>
      </c>
      <c r="Z120" s="30" t="str">
        <f aca="false">IF(B120="","",SUM(R120:Y120))</f>
        <v/>
      </c>
      <c r="AA120" s="29" t="str">
        <f aca="false">IF(B120="","",IF(J120="Có",I120*BHXH_NLD,0))</f>
        <v/>
      </c>
      <c r="AB120" s="29" t="str">
        <f aca="false">IF(B120="","",SUMIFS(DC_TIEN,DC_MA,$B120,DC_LOAI,"Tạm ứng",DC_AP,"Có"))</f>
        <v/>
      </c>
      <c r="AC120" s="29" t="str">
        <f aca="false">IF(B120="","",SUMIFS(DC_TIEN,DC_MA,$B120,DC_LOAI,"Trừ khác",DC_AP,"Có"))</f>
        <v/>
      </c>
      <c r="AD120" s="29" t="str">
        <f aca="false">IF(B120="","",SUMIFS(DC_TIEN,DC_MA,$B120,DC_LOAI,"KPI trừ",DC_AP,"Có"))</f>
        <v/>
      </c>
      <c r="AE120" s="29" t="str">
        <f aca="false">IF(B120="","",SUM(AA120:AD120))</f>
        <v/>
      </c>
      <c r="AF120" s="30" t="str">
        <f aca="false">IF(B120="","",ROUNDDOWN(Z120-AE120,-3))</f>
        <v/>
      </c>
      <c r="AG120" s="20"/>
    </row>
    <row r="122" customFormat="false" ht="15" hidden="false" customHeight="false" outlineLevel="0" collapsed="false">
      <c r="C122" s="3" t="s">
        <v>358</v>
      </c>
      <c r="M122" s="27" t="n">
        <f aca="false">SUM(M6:M120)</f>
        <v>506</v>
      </c>
      <c r="N122" s="27" t="n">
        <f aca="false">SUM(N6:N120)</f>
        <v>12</v>
      </c>
      <c r="O122" s="27" t="n">
        <f aca="false">SUM(O6:O120)</f>
        <v>1</v>
      </c>
      <c r="P122" s="27" t="n">
        <f aca="false">SUM(P6:P120)</f>
        <v>4</v>
      </c>
      <c r="Q122" s="27" t="n">
        <f aca="false">SUM(Q6:Q120)</f>
        <v>0.5</v>
      </c>
      <c r="R122" s="31" t="n">
        <f aca="false">SUM(R6:R120)</f>
        <v>195333397.435897</v>
      </c>
      <c r="S122" s="31" t="n">
        <f aca="false">SUM(S6:S120)</f>
        <v>1867615.38461538</v>
      </c>
      <c r="T122" s="31" t="n">
        <f aca="false">SUM(T6:T120)</f>
        <v>0</v>
      </c>
      <c r="U122" s="31" t="n">
        <f aca="false">SUM(U6:U120)</f>
        <v>259615.384615385</v>
      </c>
      <c r="V122" s="31" t="n">
        <f aca="false">SUM(V6:V120)</f>
        <v>0</v>
      </c>
      <c r="W122" s="31" t="n">
        <f aca="false">SUM(W6:W120)</f>
        <v>1200000</v>
      </c>
      <c r="X122" s="31" t="n">
        <f aca="false">SUM(X6:X120)</f>
        <v>11020000</v>
      </c>
      <c r="Y122" s="31" t="n">
        <f aca="false">SUM(Y6:Y120)</f>
        <v>0</v>
      </c>
      <c r="Z122" s="31" t="n">
        <f aca="false">SUM(Z6:Z120)</f>
        <v>209680628.205128</v>
      </c>
      <c r="AA122" s="31" t="n">
        <f aca="false">SUM(AA6:AA120)</f>
        <v>7092330</v>
      </c>
      <c r="AB122" s="31" t="n">
        <f aca="false">SUM(AB6:AB120)</f>
        <v>3000000</v>
      </c>
      <c r="AC122" s="31" t="n">
        <f aca="false">SUM(AC6:AC120)</f>
        <v>1500000</v>
      </c>
      <c r="AD122" s="31" t="n">
        <f aca="false">SUM(AD6:AD120)</f>
        <v>0</v>
      </c>
      <c r="AE122" s="31" t="n">
        <f aca="false">SUM(AE6:AE120)</f>
        <v>11592330</v>
      </c>
      <c r="AF122" s="31" t="n">
        <f aca="false">SUM(AF6:AF120)</f>
        <v>198081000</v>
      </c>
    </row>
    <row r="123" customFormat="false" ht="15" hidden="false" customHeight="false" outlineLevel="0" collapsed="false">
      <c r="C123" s="3" t="s">
        <v>359</v>
      </c>
    </row>
    <row r="124" customFormat="false" ht="15" hidden="false" customHeight="false" outlineLevel="0" collapsed="false">
      <c r="C124" s="0" t="s">
        <v>243</v>
      </c>
      <c r="AF124" s="31" t="n">
        <f aca="false">SUMIFS(AF6:AF120,D6:D120,"HAPD")</f>
        <v>5702000</v>
      </c>
    </row>
    <row r="125" customFormat="false" ht="15" hidden="false" customHeight="false" outlineLevel="0" collapsed="false">
      <c r="C125" s="0" t="s">
        <v>228</v>
      </c>
      <c r="AF125" s="31" t="n">
        <f aca="false">SUMIFS(AF6:AF120,D6:D120,"HAQT")</f>
        <v>28238000</v>
      </c>
    </row>
    <row r="126" customFormat="false" ht="15" hidden="false" customHeight="false" outlineLevel="0" collapsed="false">
      <c r="C126" s="0" t="s">
        <v>172</v>
      </c>
      <c r="AF126" s="31" t="n">
        <f aca="false">SUMIFS(AF6:AF120,D6:D120,"APQT")</f>
        <v>164141000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8" min="6" style="0" width="12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4" min="13" style="0" width="13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39.75" hidden="false" customHeight="true" outlineLevel="0" collapsed="false">
      <c r="A4" s="15" t="s">
        <v>154</v>
      </c>
      <c r="B4" s="15" t="s">
        <v>155</v>
      </c>
      <c r="C4" s="15" t="s">
        <v>156</v>
      </c>
      <c r="D4" s="15" t="s">
        <v>157</v>
      </c>
      <c r="E4" s="15" t="s">
        <v>362</v>
      </c>
      <c r="F4" s="15" t="s">
        <v>363</v>
      </c>
      <c r="G4" s="15" t="s">
        <v>364</v>
      </c>
      <c r="H4" s="15" t="s">
        <v>365</v>
      </c>
      <c r="I4" s="15" t="s">
        <v>366</v>
      </c>
      <c r="J4" s="15" t="s">
        <v>367</v>
      </c>
      <c r="K4" s="15" t="s">
        <v>368</v>
      </c>
      <c r="L4" s="15" t="s">
        <v>369</v>
      </c>
      <c r="M4" s="15" t="s">
        <v>370</v>
      </c>
      <c r="N4" s="15" t="s">
        <v>358</v>
      </c>
    </row>
    <row r="5" customFormat="false" ht="15" hidden="false" customHeight="false" outlineLevel="0" collapsed="false">
      <c r="A5" s="18" t="n">
        <f aca="false">IF(B5="","",ROW()-4)</f>
        <v>1</v>
      </c>
      <c r="B5" s="28" t="str">
        <f aca="false">IF(LUONG!B6="","",IF(LUONG!J6="Có",LUONG!B6,""))</f>
        <v>046180000983</v>
      </c>
      <c r="C5" s="18" t="str">
        <f aca="false">IF(B5="","",LUONG!C6)</f>
        <v>Hồ Thị Ngọc Á</v>
      </c>
      <c r="D5" s="18" t="str">
        <f aca="false">IF(B5="","",LUONG!D6)</f>
        <v>APQT</v>
      </c>
      <c r="E5" s="29" t="n">
        <f aca="false">IF(B5="","",LUONG!I6)</f>
        <v>6928000</v>
      </c>
      <c r="F5" s="29" t="n">
        <f aca="false">IF($B5="","",ROUNDUP($E5*0.175,0))</f>
        <v>1212400</v>
      </c>
      <c r="G5" s="29" t="n">
        <f aca="false">IF($B5="","",ROUNDUP($E5*0.03,0))</f>
        <v>207840</v>
      </c>
      <c r="H5" s="29" t="n">
        <f aca="false">IF($B5="","",ROUNDUP($E5*0.01,0))</f>
        <v>69280</v>
      </c>
      <c r="I5" s="29" t="n">
        <f aca="false">IF(B5="","",SUM(F5:H5))</f>
        <v>1489520</v>
      </c>
      <c r="J5" s="29" t="n">
        <f aca="false">IF($B5="","",ROUNDUP($E5*0.08,0))</f>
        <v>554240</v>
      </c>
      <c r="K5" s="29" t="n">
        <f aca="false">IF($B5="","",ROUNDUP($E5*0.015,0))</f>
        <v>103920</v>
      </c>
      <c r="L5" s="29" t="n">
        <f aca="false">IF($B5="","",ROUNDUP($E5*0.01,0))</f>
        <v>69280</v>
      </c>
      <c r="M5" s="29" t="n">
        <f aca="false">IF(B5="","",SUM(J5:L5))</f>
        <v>727440</v>
      </c>
      <c r="N5" s="29" t="n">
        <f aca="false">IF(B5="","",I5+M5)</f>
        <v>2216960</v>
      </c>
    </row>
    <row r="6" customFormat="false" ht="15" hidden="false" customHeight="false" outlineLevel="0" collapsed="false">
      <c r="A6" s="18" t="n">
        <f aca="false">IF(B6="","",ROW()-4)</f>
        <v>2</v>
      </c>
      <c r="B6" s="28" t="str">
        <f aca="false">IF(LUONG!B7="","",IF(LUONG!J7="Có",LUONG!B7,""))</f>
        <v>045086000771</v>
      </c>
      <c r="C6" s="18" t="str">
        <f aca="false">IF(B6="","",LUONG!C7)</f>
        <v>Nguyễn Nhật Tân</v>
      </c>
      <c r="D6" s="18" t="str">
        <f aca="false">IF(B6="","",LUONG!D7)</f>
        <v>APQT</v>
      </c>
      <c r="E6" s="29" t="n">
        <f aca="false">IF(B6="","",LUONG!I7)</f>
        <v>6928000</v>
      </c>
      <c r="F6" s="29" t="n">
        <f aca="false">IF($B6="","",ROUNDUP($E6*0.175,0))</f>
        <v>1212400</v>
      </c>
      <c r="G6" s="29" t="n">
        <f aca="false">IF($B6="","",ROUNDUP($E6*0.03,0))</f>
        <v>207840</v>
      </c>
      <c r="H6" s="29" t="n">
        <f aca="false">IF($B6="","",ROUNDUP($E6*0.01,0))</f>
        <v>69280</v>
      </c>
      <c r="I6" s="29" t="n">
        <f aca="false">IF(B6="","",SUM(F6:H6))</f>
        <v>1489520</v>
      </c>
      <c r="J6" s="29" t="n">
        <f aca="false">IF($B6="","",ROUNDUP($E6*0.08,0))</f>
        <v>554240</v>
      </c>
      <c r="K6" s="29" t="n">
        <f aca="false">IF($B6="","",ROUNDUP($E6*0.015,0))</f>
        <v>103920</v>
      </c>
      <c r="L6" s="29" t="n">
        <f aca="false">IF($B6="","",ROUNDUP($E6*0.01,0))</f>
        <v>69280</v>
      </c>
      <c r="M6" s="29" t="n">
        <f aca="false">IF(B6="","",SUM(J6:L6))</f>
        <v>727440</v>
      </c>
      <c r="N6" s="29" t="n">
        <f aca="false">IF(B6="","",I6+M6)</f>
        <v>2216960</v>
      </c>
    </row>
    <row r="7" customFormat="false" ht="15" hidden="false" customHeight="false" outlineLevel="0" collapsed="false">
      <c r="A7" s="18" t="n">
        <f aca="false">IF(B7="","",ROW()-4)</f>
        <v>3</v>
      </c>
      <c r="B7" s="28" t="str">
        <f aca="false">IF(LUONG!B8="","",IF(LUONG!J8="Có",LUONG!B8,""))</f>
        <v>046077009424</v>
      </c>
      <c r="C7" s="18" t="str">
        <f aca="false">IF(B7="","",LUONG!C8)</f>
        <v>Đặng Quang Chung</v>
      </c>
      <c r="D7" s="18" t="str">
        <f aca="false">IF(B7="","",LUONG!D8)</f>
        <v>APQT</v>
      </c>
      <c r="E7" s="29" t="n">
        <f aca="false">IF(B7="","",LUONG!I8)</f>
        <v>6928000</v>
      </c>
      <c r="F7" s="29" t="n">
        <f aca="false">IF($B7="","",ROUNDUP($E7*0.175,0))</f>
        <v>1212400</v>
      </c>
      <c r="G7" s="29" t="n">
        <f aca="false">IF($B7="","",ROUNDUP($E7*0.03,0))</f>
        <v>207840</v>
      </c>
      <c r="H7" s="29" t="n">
        <f aca="false">IF($B7="","",ROUNDUP($E7*0.01,0))</f>
        <v>69280</v>
      </c>
      <c r="I7" s="29" t="n">
        <f aca="false">IF(B7="","",SUM(F7:H7))</f>
        <v>1489520</v>
      </c>
      <c r="J7" s="29" t="n">
        <f aca="false">IF($B7="","",ROUNDUP($E7*0.08,0))</f>
        <v>554240</v>
      </c>
      <c r="K7" s="29" t="n">
        <f aca="false">IF($B7="","",ROUNDUP($E7*0.015,0))</f>
        <v>103920</v>
      </c>
      <c r="L7" s="29" t="n">
        <f aca="false">IF($B7="","",ROUNDUP($E7*0.01,0))</f>
        <v>69280</v>
      </c>
      <c r="M7" s="29" t="n">
        <f aca="false">IF(B7="","",SUM(J7:L7))</f>
        <v>727440</v>
      </c>
      <c r="N7" s="29" t="n">
        <f aca="false">IF(B7="","",I7+M7)</f>
        <v>2216960</v>
      </c>
    </row>
    <row r="8" customFormat="false" ht="15" hidden="false" customHeight="false" outlineLevel="0" collapsed="false">
      <c r="A8" s="18" t="n">
        <f aca="false">IF(B8="","",ROW()-4)</f>
        <v>4</v>
      </c>
      <c r="B8" s="28" t="str">
        <f aca="false">IF(LUONG!B9="","",IF(LUONG!J9="Có",LUONG!B9,""))</f>
        <v>046086012110</v>
      </c>
      <c r="C8" s="18" t="str">
        <f aca="false">IF(B8="","",LUONG!C9)</f>
        <v>Nguyễn Hào</v>
      </c>
      <c r="D8" s="18" t="str">
        <f aca="false">IF(B8="","",LUONG!D9)</f>
        <v>APQT</v>
      </c>
      <c r="E8" s="29" t="n">
        <f aca="false">IF(B8="","",LUONG!I9)</f>
        <v>4375000</v>
      </c>
      <c r="F8" s="29" t="n">
        <f aca="false">IF($B8="","",ROUNDUP($E8*0.175,0))</f>
        <v>765625</v>
      </c>
      <c r="G8" s="29" t="n">
        <f aca="false">IF($B8="","",ROUNDUP($E8*0.03,0))</f>
        <v>131250</v>
      </c>
      <c r="H8" s="29" t="n">
        <f aca="false">IF($B8="","",ROUNDUP($E8*0.01,0))</f>
        <v>43750</v>
      </c>
      <c r="I8" s="29" t="n">
        <f aca="false">IF(B8="","",SUM(F8:H8))</f>
        <v>940625</v>
      </c>
      <c r="J8" s="29" t="n">
        <f aca="false">IF($B8="","",ROUNDUP($E8*0.08,0))</f>
        <v>350000</v>
      </c>
      <c r="K8" s="29" t="n">
        <f aca="false">IF($B8="","",ROUNDUP($E8*0.015,0))</f>
        <v>65625</v>
      </c>
      <c r="L8" s="29" t="n">
        <f aca="false">IF($B8="","",ROUNDUP($E8*0.01,0))</f>
        <v>43750</v>
      </c>
      <c r="M8" s="29" t="n">
        <f aca="false">IF(B8="","",SUM(J8:L8))</f>
        <v>459375</v>
      </c>
      <c r="N8" s="29" t="n">
        <f aca="false">IF(B8="","",I8+M8)</f>
        <v>1400000</v>
      </c>
    </row>
    <row r="9" customFormat="false" ht="15" hidden="false" customHeight="false" outlineLevel="0" collapsed="false">
      <c r="A9" s="18" t="n">
        <f aca="false">IF(B9="","",ROW()-4)</f>
        <v>5</v>
      </c>
      <c r="B9" s="28" t="str">
        <f aca="false">IF(LUONG!B10="","",IF(LUONG!J10="Có",LUONG!B10,""))</f>
        <v>046485004744</v>
      </c>
      <c r="C9" s="18" t="str">
        <f aca="false">IF(B9="","",LUONG!C10)</f>
        <v>Nguyễn Mạnh Thắng</v>
      </c>
      <c r="D9" s="18" t="str">
        <f aca="false">IF(B9="","",LUONG!D10)</f>
        <v>APQT</v>
      </c>
      <c r="E9" s="29" t="n">
        <f aca="false">IF(B9="","",LUONG!I10)</f>
        <v>4163000</v>
      </c>
      <c r="F9" s="29" t="n">
        <f aca="false">IF($B9="","",ROUNDUP($E9*0.175,0))</f>
        <v>728525</v>
      </c>
      <c r="G9" s="29" t="n">
        <f aca="false">IF($B9="","",ROUNDUP($E9*0.03,0))</f>
        <v>124890</v>
      </c>
      <c r="H9" s="29" t="n">
        <f aca="false">IF($B9="","",ROUNDUP($E9*0.01,0))</f>
        <v>41630</v>
      </c>
      <c r="I9" s="29" t="n">
        <f aca="false">IF(B9="","",SUM(F9:H9))</f>
        <v>895045</v>
      </c>
      <c r="J9" s="29" t="n">
        <f aca="false">IF($B9="","",ROUNDUP($E9*0.08,0))</f>
        <v>333040</v>
      </c>
      <c r="K9" s="29" t="n">
        <f aca="false">IF($B9="","",ROUNDUP($E9*0.015,0))</f>
        <v>62445</v>
      </c>
      <c r="L9" s="29" t="n">
        <f aca="false">IF($B9="","",ROUNDUP($E9*0.01,0))</f>
        <v>41630</v>
      </c>
      <c r="M9" s="29" t="n">
        <f aca="false">IF(B9="","",SUM(J9:L9))</f>
        <v>437115</v>
      </c>
      <c r="N9" s="29" t="n">
        <f aca="false">IF(B9="","",I9+M9)</f>
        <v>1332160</v>
      </c>
    </row>
    <row r="10" customFormat="false" ht="15" hidden="false" customHeight="false" outlineLevel="0" collapsed="false">
      <c r="A10" s="18" t="n">
        <f aca="false">IF(B10="","",ROW()-4)</f>
        <v>6</v>
      </c>
      <c r="B10" s="28" t="str">
        <f aca="false">IF(LUONG!B11="","",IF(LUONG!J11="Có",LUONG!B11,""))</f>
        <v>046092012558</v>
      </c>
      <c r="C10" s="18" t="str">
        <f aca="false">IF(B10="","",LUONG!C11)</f>
        <v>Nguyễn Quang Quốc</v>
      </c>
      <c r="D10" s="18" t="str">
        <f aca="false">IF(B10="","",LUONG!D11)</f>
        <v>APQT</v>
      </c>
      <c r="E10" s="29" t="n">
        <f aca="false">IF(B10="","",LUONG!I11)</f>
        <v>4163000</v>
      </c>
      <c r="F10" s="29" t="n">
        <f aca="false">IF($B10="","",ROUNDUP($E10*0.175,0))</f>
        <v>728525</v>
      </c>
      <c r="G10" s="29" t="n">
        <f aca="false">IF($B10="","",ROUNDUP($E10*0.03,0))</f>
        <v>124890</v>
      </c>
      <c r="H10" s="29" t="n">
        <f aca="false">IF($B10="","",ROUNDUP($E10*0.01,0))</f>
        <v>41630</v>
      </c>
      <c r="I10" s="29" t="n">
        <f aca="false">IF(B10="","",SUM(F10:H10))</f>
        <v>895045</v>
      </c>
      <c r="J10" s="29" t="n">
        <f aca="false">IF($B10="","",ROUNDUP($E10*0.08,0))</f>
        <v>333040</v>
      </c>
      <c r="K10" s="29" t="n">
        <f aca="false">IF($B10="","",ROUNDUP($E10*0.015,0))</f>
        <v>62445</v>
      </c>
      <c r="L10" s="29" t="n">
        <f aca="false">IF($B10="","",ROUNDUP($E10*0.01,0))</f>
        <v>41630</v>
      </c>
      <c r="M10" s="29" t="n">
        <f aca="false">IF(B10="","",SUM(J10:L10))</f>
        <v>437115</v>
      </c>
      <c r="N10" s="29" t="n">
        <f aca="false">IF(B10="","",I10+M10)</f>
        <v>1332160</v>
      </c>
    </row>
    <row r="11" customFormat="false" ht="15" hidden="false" customHeight="false" outlineLevel="0" collapsed="false">
      <c r="A11" s="18" t="n">
        <f aca="false">IF(B11="","",ROW()-4)</f>
        <v>7</v>
      </c>
      <c r="B11" s="28" t="str">
        <f aca="false">IF(LUONG!B12="","",IF(LUONG!J12="Có",LUONG!B12,""))</f>
        <v>046066004079</v>
      </c>
      <c r="C11" s="18" t="str">
        <f aca="false">IF(B11="","",LUONG!C12)</f>
        <v>Trần Đình Chiến</v>
      </c>
      <c r="D11" s="18" t="str">
        <f aca="false">IF(B11="","",LUONG!D12)</f>
        <v>APQT</v>
      </c>
      <c r="E11" s="29" t="n">
        <f aca="false">IF(B11="","",LUONG!I12)</f>
        <v>4163000</v>
      </c>
      <c r="F11" s="29" t="n">
        <f aca="false">IF($B11="","",ROUNDUP($E11*0.175,0))</f>
        <v>728525</v>
      </c>
      <c r="G11" s="29" t="n">
        <f aca="false">IF($B11="","",ROUNDUP($E11*0.03,0))</f>
        <v>124890</v>
      </c>
      <c r="H11" s="29" t="n">
        <f aca="false">IF($B11="","",ROUNDUP($E11*0.01,0))</f>
        <v>41630</v>
      </c>
      <c r="I11" s="29" t="n">
        <f aca="false">IF(B11="","",SUM(F11:H11))</f>
        <v>895045</v>
      </c>
      <c r="J11" s="29" t="n">
        <f aca="false">IF($B11="","",ROUNDUP($E11*0.08,0))</f>
        <v>333040</v>
      </c>
      <c r="K11" s="29" t="n">
        <f aca="false">IF($B11="","",ROUNDUP($E11*0.015,0))</f>
        <v>62445</v>
      </c>
      <c r="L11" s="29" t="n">
        <f aca="false">IF($B11="","",ROUNDUP($E11*0.01,0))</f>
        <v>41630</v>
      </c>
      <c r="M11" s="29" t="n">
        <f aca="false">IF(B11="","",SUM(J11:L11))</f>
        <v>437115</v>
      </c>
      <c r="N11" s="29" t="n">
        <f aca="false">IF(B11="","",I11+M11)</f>
        <v>1332160</v>
      </c>
    </row>
    <row r="12" customFormat="false" ht="15" hidden="false" customHeight="false" outlineLevel="0" collapsed="false">
      <c r="A12" s="18" t="n">
        <f aca="false">IF(B12="","",ROW()-4)</f>
        <v>8</v>
      </c>
      <c r="B12" s="28" t="str">
        <f aca="false">IF(LUONG!B13="","",IF(LUONG!J13="Có",LUONG!B13,""))</f>
        <v>046078005974</v>
      </c>
      <c r="C12" s="18" t="str">
        <f aca="false">IF(B12="","",LUONG!C13)</f>
        <v>Phạm Bá Vinh</v>
      </c>
      <c r="D12" s="18" t="str">
        <f aca="false">IF(B12="","",LUONG!D13)</f>
        <v>APQT</v>
      </c>
      <c r="E12" s="29" t="n">
        <f aca="false">IF(B12="","",LUONG!I13)</f>
        <v>4163000</v>
      </c>
      <c r="F12" s="29" t="n">
        <f aca="false">IF($B12="","",ROUNDUP($E12*0.175,0))</f>
        <v>728525</v>
      </c>
      <c r="G12" s="29" t="n">
        <f aca="false">IF($B12="","",ROUNDUP($E12*0.03,0))</f>
        <v>124890</v>
      </c>
      <c r="H12" s="29" t="n">
        <f aca="false">IF($B12="","",ROUNDUP($E12*0.01,0))</f>
        <v>41630</v>
      </c>
      <c r="I12" s="29" t="n">
        <f aca="false">IF(B12="","",SUM(F12:H12))</f>
        <v>895045</v>
      </c>
      <c r="J12" s="29" t="n">
        <f aca="false">IF($B12="","",ROUNDUP($E12*0.08,0))</f>
        <v>333040</v>
      </c>
      <c r="K12" s="29" t="n">
        <f aca="false">IF($B12="","",ROUNDUP($E12*0.015,0))</f>
        <v>62445</v>
      </c>
      <c r="L12" s="29" t="n">
        <f aca="false">IF($B12="","",ROUNDUP($E12*0.01,0))</f>
        <v>41630</v>
      </c>
      <c r="M12" s="29" t="n">
        <f aca="false">IF(B12="","",SUM(J12:L12))</f>
        <v>437115</v>
      </c>
      <c r="N12" s="29" t="n">
        <f aca="false">IF(B12="","",I12+M12)</f>
        <v>1332160</v>
      </c>
    </row>
    <row r="13" customFormat="false" ht="15" hidden="false" customHeight="false" outlineLevel="0" collapsed="false">
      <c r="A13" s="18" t="n">
        <f aca="false">IF(B13="","",ROW()-4)</f>
        <v>9</v>
      </c>
      <c r="B13" s="28" t="str">
        <f aca="false">IF(LUONG!B14="","",IF(LUONG!J14="Có",LUONG!B14,""))</f>
        <v>046080010214</v>
      </c>
      <c r="C13" s="18" t="str">
        <f aca="false">IF(B13="","",LUONG!C14)</f>
        <v>Nguyễn Văn Cường</v>
      </c>
      <c r="D13" s="18" t="str">
        <f aca="false">IF(B13="","",LUONG!D14)</f>
        <v>APQT</v>
      </c>
      <c r="E13" s="29" t="n">
        <f aca="false">IF(B13="","",LUONG!I14)</f>
        <v>4163000</v>
      </c>
      <c r="F13" s="29" t="n">
        <f aca="false">IF($B13="","",ROUNDUP($E13*0.175,0))</f>
        <v>728525</v>
      </c>
      <c r="G13" s="29" t="n">
        <f aca="false">IF($B13="","",ROUNDUP($E13*0.03,0))</f>
        <v>124890</v>
      </c>
      <c r="H13" s="29" t="n">
        <f aca="false">IF($B13="","",ROUNDUP($E13*0.01,0))</f>
        <v>41630</v>
      </c>
      <c r="I13" s="29" t="n">
        <f aca="false">IF(B13="","",SUM(F13:H13))</f>
        <v>895045</v>
      </c>
      <c r="J13" s="29" t="n">
        <f aca="false">IF($B13="","",ROUNDUP($E13*0.08,0))</f>
        <v>333040</v>
      </c>
      <c r="K13" s="29" t="n">
        <f aca="false">IF($B13="","",ROUNDUP($E13*0.015,0))</f>
        <v>62445</v>
      </c>
      <c r="L13" s="29" t="n">
        <f aca="false">IF($B13="","",ROUNDUP($E13*0.01,0))</f>
        <v>41630</v>
      </c>
      <c r="M13" s="29" t="n">
        <f aca="false">IF(B13="","",SUM(J13:L13))</f>
        <v>437115</v>
      </c>
      <c r="N13" s="29" t="n">
        <f aca="false">IF(B13="","",I13+M13)</f>
        <v>1332160</v>
      </c>
    </row>
    <row r="14" customFormat="false" ht="15" hidden="false" customHeight="false" outlineLevel="0" collapsed="false">
      <c r="A14" s="18" t="n">
        <f aca="false">IF(B14="","",ROW()-4)</f>
        <v>10</v>
      </c>
      <c r="B14" s="28" t="str">
        <f aca="false">IF(LUONG!B15="","",IF(LUONG!J15="Có",LUONG!B15,""))</f>
        <v>046097006456</v>
      </c>
      <c r="C14" s="18" t="str">
        <f aca="false">IF(B14="","",LUONG!C15)</f>
        <v>Mai Bá Trung</v>
      </c>
      <c r="D14" s="18" t="str">
        <f aca="false">IF(B14="","",LUONG!D15)</f>
        <v>APQT</v>
      </c>
      <c r="E14" s="29" t="n">
        <f aca="false">IF(B14="","",LUONG!I15)</f>
        <v>4163000</v>
      </c>
      <c r="F14" s="29" t="n">
        <f aca="false">IF($B14="","",ROUNDUP($E14*0.175,0))</f>
        <v>728525</v>
      </c>
      <c r="G14" s="29" t="n">
        <f aca="false">IF($B14="","",ROUNDUP($E14*0.03,0))</f>
        <v>124890</v>
      </c>
      <c r="H14" s="29" t="n">
        <f aca="false">IF($B14="","",ROUNDUP($E14*0.01,0))</f>
        <v>41630</v>
      </c>
      <c r="I14" s="29" t="n">
        <f aca="false">IF(B14="","",SUM(F14:H14))</f>
        <v>895045</v>
      </c>
      <c r="J14" s="29" t="n">
        <f aca="false">IF($B14="","",ROUNDUP($E14*0.08,0))</f>
        <v>333040</v>
      </c>
      <c r="K14" s="29" t="n">
        <f aca="false">IF($B14="","",ROUNDUP($E14*0.015,0))</f>
        <v>62445</v>
      </c>
      <c r="L14" s="29" t="n">
        <f aca="false">IF($B14="","",ROUNDUP($E14*0.01,0))</f>
        <v>41630</v>
      </c>
      <c r="M14" s="29" t="n">
        <f aca="false">IF(B14="","",SUM(J14:L14))</f>
        <v>437115</v>
      </c>
      <c r="N14" s="29" t="n">
        <f aca="false">IF(B14="","",I14+M14)</f>
        <v>1332160</v>
      </c>
    </row>
    <row r="15" customFormat="false" ht="15" hidden="false" customHeight="false" outlineLevel="0" collapsed="false">
      <c r="A15" s="18" t="n">
        <f aca="false">IF(B15="","",ROW()-4)</f>
        <v>11</v>
      </c>
      <c r="B15" s="28" t="str">
        <f aca="false">IF(LUONG!B16="","",IF(LUONG!J16="Có",LUONG!B16,""))</f>
        <v>046078006770</v>
      </c>
      <c r="C15" s="18" t="str">
        <f aca="false">IF(B15="","",LUONG!C16)</f>
        <v>Cao Phước Tiến</v>
      </c>
      <c r="D15" s="18" t="str">
        <f aca="false">IF(B15="","",LUONG!D16)</f>
        <v>APQT</v>
      </c>
      <c r="E15" s="29" t="n">
        <f aca="false">IF(B15="","",LUONG!I16)</f>
        <v>4163000</v>
      </c>
      <c r="F15" s="29" t="n">
        <f aca="false">IF($B15="","",ROUNDUP($E15*0.175,0))</f>
        <v>728525</v>
      </c>
      <c r="G15" s="29" t="n">
        <f aca="false">IF($B15="","",ROUNDUP($E15*0.03,0))</f>
        <v>124890</v>
      </c>
      <c r="H15" s="29" t="n">
        <f aca="false">IF($B15="","",ROUNDUP($E15*0.01,0))</f>
        <v>41630</v>
      </c>
      <c r="I15" s="29" t="n">
        <f aca="false">IF(B15="","",SUM(F15:H15))</f>
        <v>895045</v>
      </c>
      <c r="J15" s="29" t="n">
        <f aca="false">IF($B15="","",ROUNDUP($E15*0.08,0))</f>
        <v>333040</v>
      </c>
      <c r="K15" s="29" t="n">
        <f aca="false">IF($B15="","",ROUNDUP($E15*0.015,0))</f>
        <v>62445</v>
      </c>
      <c r="L15" s="29" t="n">
        <f aca="false">IF($B15="","",ROUNDUP($E15*0.01,0))</f>
        <v>41630</v>
      </c>
      <c r="M15" s="29" t="n">
        <f aca="false">IF(B15="","",SUM(J15:L15))</f>
        <v>437115</v>
      </c>
      <c r="N15" s="29" t="n">
        <f aca="false">IF(B15="","",I15+M15)</f>
        <v>1332160</v>
      </c>
    </row>
    <row r="16" customFormat="false" ht="15" hidden="false" customHeight="false" outlineLevel="0" collapsed="false">
      <c r="A16" s="18" t="n">
        <f aca="false">IF(B16="","",ROW()-4)</f>
        <v>12</v>
      </c>
      <c r="B16" s="28" t="str">
        <f aca="false">IF(LUONG!B17="","",IF(LUONG!J17="Có",LUONG!B17,""))</f>
        <v>046090009551</v>
      </c>
      <c r="C16" s="18" t="str">
        <f aca="false">IF(B16="","",LUONG!C17)</f>
        <v>Nguyễn Ngọc Thanh</v>
      </c>
      <c r="D16" s="18" t="str">
        <f aca="false">IF(B16="","",LUONG!D17)</f>
        <v>APQT</v>
      </c>
      <c r="E16" s="29" t="n">
        <f aca="false">IF(B16="","",LUONG!I17)</f>
        <v>4163000</v>
      </c>
      <c r="F16" s="29" t="n">
        <f aca="false">IF($B16="","",ROUNDUP($E16*0.175,0))</f>
        <v>728525</v>
      </c>
      <c r="G16" s="29" t="n">
        <f aca="false">IF($B16="","",ROUNDUP($E16*0.03,0))</f>
        <v>124890</v>
      </c>
      <c r="H16" s="29" t="n">
        <f aca="false">IF($B16="","",ROUNDUP($E16*0.01,0))</f>
        <v>41630</v>
      </c>
      <c r="I16" s="29" t="n">
        <f aca="false">IF(B16="","",SUM(F16:H16))</f>
        <v>895045</v>
      </c>
      <c r="J16" s="29" t="n">
        <f aca="false">IF($B16="","",ROUNDUP($E16*0.08,0))</f>
        <v>333040</v>
      </c>
      <c r="K16" s="29" t="n">
        <f aca="false">IF($B16="","",ROUNDUP($E16*0.015,0))</f>
        <v>62445</v>
      </c>
      <c r="L16" s="29" t="n">
        <f aca="false">IF($B16="","",ROUNDUP($E16*0.01,0))</f>
        <v>41630</v>
      </c>
      <c r="M16" s="29" t="n">
        <f aca="false">IF(B16="","",SUM(J16:L16))</f>
        <v>437115</v>
      </c>
      <c r="N16" s="29" t="n">
        <f aca="false">IF(B16="","",I16+M16)</f>
        <v>1332160</v>
      </c>
    </row>
    <row r="17" customFormat="false" ht="15" hidden="false" customHeight="false" outlineLevel="0" collapsed="false">
      <c r="A17" s="18" t="n">
        <f aca="false">IF(B17="","",ROW()-4)</f>
        <v>13</v>
      </c>
      <c r="B17" s="28" t="str">
        <f aca="false">IF(LUONG!B18="","",IF(LUONG!J18="Có",LUONG!B18,""))</f>
        <v>046208001119</v>
      </c>
      <c r="C17" s="18" t="str">
        <f aca="false">IF(B17="","",LUONG!C18)</f>
        <v>Dương Vinh Quang</v>
      </c>
      <c r="D17" s="18" t="str">
        <f aca="false">IF(B17="","",LUONG!D18)</f>
        <v>APQT</v>
      </c>
      <c r="E17" s="29" t="n">
        <f aca="false">IF(B17="","",LUONG!I18)</f>
        <v>4163000</v>
      </c>
      <c r="F17" s="29" t="n">
        <f aca="false">IF($B17="","",ROUNDUP($E17*0.175,0))</f>
        <v>728525</v>
      </c>
      <c r="G17" s="29" t="n">
        <f aca="false">IF($B17="","",ROUNDUP($E17*0.03,0))</f>
        <v>124890</v>
      </c>
      <c r="H17" s="29" t="n">
        <f aca="false">IF($B17="","",ROUNDUP($E17*0.01,0))</f>
        <v>41630</v>
      </c>
      <c r="I17" s="29" t="n">
        <f aca="false">IF(B17="","",SUM(F17:H17))</f>
        <v>895045</v>
      </c>
      <c r="J17" s="29" t="n">
        <f aca="false">IF($B17="","",ROUNDUP($E17*0.08,0))</f>
        <v>333040</v>
      </c>
      <c r="K17" s="29" t="n">
        <f aca="false">IF($B17="","",ROUNDUP($E17*0.015,0))</f>
        <v>62445</v>
      </c>
      <c r="L17" s="29" t="n">
        <f aca="false">IF($B17="","",ROUNDUP($E17*0.01,0))</f>
        <v>41630</v>
      </c>
      <c r="M17" s="29" t="n">
        <f aca="false">IF(B17="","",SUM(J17:L17))</f>
        <v>437115</v>
      </c>
      <c r="N17" s="29" t="n">
        <f aca="false">IF(B17="","",I17+M17)</f>
        <v>1332160</v>
      </c>
    </row>
    <row r="18" customFormat="false" ht="15" hidden="false" customHeight="false" outlineLevel="0" collapsed="false">
      <c r="A18" s="18" t="n">
        <f aca="false">IF(B18="","",ROW()-4)</f>
        <v>14</v>
      </c>
      <c r="B18" s="28" t="str">
        <f aca="false">IF(LUONG!B19="","",IF(LUONG!J19="Có",LUONG!B19,""))</f>
        <v>045086003213</v>
      </c>
      <c r="C18" s="18" t="str">
        <f aca="false">IF(B18="","",LUONG!C19)</f>
        <v>Hoàng Xuân Quang</v>
      </c>
      <c r="D18" s="18" t="str">
        <f aca="false">IF(B18="","",LUONG!D19)</f>
        <v>HAQT</v>
      </c>
      <c r="E18" s="29" t="n">
        <f aca="false">IF(B18="","",LUONG!I19)</f>
        <v>4920000</v>
      </c>
      <c r="F18" s="29" t="n">
        <f aca="false">IF($B18="","",ROUNDUP($E18*0.175,0))</f>
        <v>861000</v>
      </c>
      <c r="G18" s="29" t="n">
        <f aca="false">IF($B18="","",ROUNDUP($E18*0.03,0))</f>
        <v>147600</v>
      </c>
      <c r="H18" s="29" t="n">
        <f aca="false">IF($B18="","",ROUNDUP($E18*0.01,0))</f>
        <v>49200</v>
      </c>
      <c r="I18" s="29" t="n">
        <f aca="false">IF(B18="","",SUM(F18:H18))</f>
        <v>1057800</v>
      </c>
      <c r="J18" s="29" t="n">
        <f aca="false">IF($B18="","",ROUNDUP($E18*0.08,0))</f>
        <v>393600</v>
      </c>
      <c r="K18" s="29" t="n">
        <f aca="false">IF($B18="","",ROUNDUP($E18*0.015,0))</f>
        <v>73800</v>
      </c>
      <c r="L18" s="29" t="n">
        <f aca="false">IF($B18="","",ROUNDUP($E18*0.01,0))</f>
        <v>49200</v>
      </c>
      <c r="M18" s="29" t="n">
        <f aca="false">IF(B18="","",SUM(J18:L18))</f>
        <v>516600</v>
      </c>
      <c r="N18" s="29" t="n">
        <f aca="false">IF(B18="","",I18+M18)</f>
        <v>1574400</v>
      </c>
    </row>
    <row r="19" customFormat="false" ht="15" hidden="false" customHeight="false" outlineLevel="0" collapsed="false">
      <c r="A19" s="18" t="str">
        <f aca="false">IF(B19="","",ROW()-4)</f>
        <v/>
      </c>
      <c r="B19" s="28" t="str">
        <f aca="false">IF(LUONG!B20="","",IF(LUONG!J20="Có",LUONG!B20,""))</f>
        <v/>
      </c>
      <c r="C19" s="18" t="str">
        <f aca="false">IF(B19="","",LUONG!C20)</f>
        <v/>
      </c>
      <c r="D19" s="18" t="str">
        <f aca="false">IF(B19="","",LUONG!D20)</f>
        <v/>
      </c>
      <c r="E19" s="29" t="str">
        <f aca="false">IF(B19="","",LUONG!I20)</f>
        <v/>
      </c>
      <c r="F19" s="29" t="str">
        <f aca="false">IF($B19="","",ROUNDUP($E19*0.175,0))</f>
        <v/>
      </c>
      <c r="G19" s="29" t="str">
        <f aca="false">IF($B19="","",ROUNDUP($E19*0.03,0))</f>
        <v/>
      </c>
      <c r="H19" s="29" t="str">
        <f aca="false">IF($B19="","",ROUNDUP($E19*0.01,0))</f>
        <v/>
      </c>
      <c r="I19" s="29" t="str">
        <f aca="false">IF(B19="","",SUM(F19:H19))</f>
        <v/>
      </c>
      <c r="J19" s="29" t="str">
        <f aca="false">IF($B19="","",ROUNDUP($E19*0.08,0))</f>
        <v/>
      </c>
      <c r="K19" s="29" t="str">
        <f aca="false">IF($B19="","",ROUNDUP($E19*0.015,0))</f>
        <v/>
      </c>
      <c r="L19" s="29" t="str">
        <f aca="false">IF($B19="","",ROUNDUP($E19*0.01,0))</f>
        <v/>
      </c>
      <c r="M19" s="29" t="str">
        <f aca="false">IF(B19="","",SUM(J19:L19))</f>
        <v/>
      </c>
      <c r="N19" s="29" t="str">
        <f aca="false">IF(B19="","",I19+M19)</f>
        <v/>
      </c>
    </row>
    <row r="20" customFormat="false" ht="15" hidden="false" customHeight="false" outlineLevel="0" collapsed="false">
      <c r="A20" s="18" t="str">
        <f aca="false">IF(B20="","",ROW()-4)</f>
        <v/>
      </c>
      <c r="B20" s="28" t="str">
        <f aca="false">IF(LUONG!B21="","",IF(LUONG!J21="Có",LUONG!B21,""))</f>
        <v/>
      </c>
      <c r="C20" s="18" t="str">
        <f aca="false">IF(B20="","",LUONG!C21)</f>
        <v/>
      </c>
      <c r="D20" s="18" t="str">
        <f aca="false">IF(B20="","",LUONG!D21)</f>
        <v/>
      </c>
      <c r="E20" s="29" t="str">
        <f aca="false">IF(B20="","",LUONG!I21)</f>
        <v/>
      </c>
      <c r="F20" s="29" t="str">
        <f aca="false">IF($B20="","",ROUNDUP($E20*0.175,0))</f>
        <v/>
      </c>
      <c r="G20" s="29" t="str">
        <f aca="false">IF($B20="","",ROUNDUP($E20*0.03,0))</f>
        <v/>
      </c>
      <c r="H20" s="29" t="str">
        <f aca="false">IF($B20="","",ROUNDUP($E20*0.01,0))</f>
        <v/>
      </c>
      <c r="I20" s="29" t="str">
        <f aca="false">IF(B20="","",SUM(F20:H20))</f>
        <v/>
      </c>
      <c r="J20" s="29" t="str">
        <f aca="false">IF($B20="","",ROUNDUP($E20*0.08,0))</f>
        <v/>
      </c>
      <c r="K20" s="29" t="str">
        <f aca="false">IF($B20="","",ROUNDUP($E20*0.015,0))</f>
        <v/>
      </c>
      <c r="L20" s="29" t="str">
        <f aca="false">IF($B20="","",ROUNDUP($E20*0.01,0))</f>
        <v/>
      </c>
      <c r="M20" s="29" t="str">
        <f aca="false">IF(B20="","",SUM(J20:L20))</f>
        <v/>
      </c>
      <c r="N20" s="29" t="str">
        <f aca="false">IF(B20="","",I20+M20)</f>
        <v/>
      </c>
    </row>
    <row r="21" customFormat="false" ht="15" hidden="false" customHeight="false" outlineLevel="0" collapsed="false">
      <c r="A21" s="18" t="str">
        <f aca="false">IF(B21="","",ROW()-4)</f>
        <v/>
      </c>
      <c r="B21" s="28" t="str">
        <f aca="false">IF(LUONG!B22="","",IF(LUONG!J22="Có",LUONG!B22,""))</f>
        <v/>
      </c>
      <c r="C21" s="18" t="str">
        <f aca="false">IF(B21="","",LUONG!C22)</f>
        <v/>
      </c>
      <c r="D21" s="18" t="str">
        <f aca="false">IF(B21="","",LUONG!D22)</f>
        <v/>
      </c>
      <c r="E21" s="29" t="str">
        <f aca="false">IF(B21="","",LUONG!I22)</f>
        <v/>
      </c>
      <c r="F21" s="29" t="str">
        <f aca="false">IF($B21="","",ROUNDUP($E21*0.175,0))</f>
        <v/>
      </c>
      <c r="G21" s="29" t="str">
        <f aca="false">IF($B21="","",ROUNDUP($E21*0.03,0))</f>
        <v/>
      </c>
      <c r="H21" s="29" t="str">
        <f aca="false">IF($B21="","",ROUNDUP($E21*0.01,0))</f>
        <v/>
      </c>
      <c r="I21" s="29" t="str">
        <f aca="false">IF(B21="","",SUM(F21:H21))</f>
        <v/>
      </c>
      <c r="J21" s="29" t="str">
        <f aca="false">IF($B21="","",ROUNDUP($E21*0.08,0))</f>
        <v/>
      </c>
      <c r="K21" s="29" t="str">
        <f aca="false">IF($B21="","",ROUNDUP($E21*0.015,0))</f>
        <v/>
      </c>
      <c r="L21" s="29" t="str">
        <f aca="false">IF($B21="","",ROUNDUP($E21*0.01,0))</f>
        <v/>
      </c>
      <c r="M21" s="29" t="str">
        <f aca="false">IF(B21="","",SUM(J21:L21))</f>
        <v/>
      </c>
      <c r="N21" s="29" t="str">
        <f aca="false">IF(B21="","",I21+M21)</f>
        <v/>
      </c>
    </row>
    <row r="22" customFormat="false" ht="15" hidden="false" customHeight="false" outlineLevel="0" collapsed="false">
      <c r="A22" s="18" t="str">
        <f aca="false">IF(B22="","",ROW()-4)</f>
        <v/>
      </c>
      <c r="B22" s="28" t="str">
        <f aca="false">IF(LUONG!B23="","",IF(LUONG!J23="Có",LUONG!B23,""))</f>
        <v/>
      </c>
      <c r="C22" s="18" t="str">
        <f aca="false">IF(B22="","",LUONG!C23)</f>
        <v/>
      </c>
      <c r="D22" s="18" t="str">
        <f aca="false">IF(B22="","",LUONG!D23)</f>
        <v/>
      </c>
      <c r="E22" s="29" t="str">
        <f aca="false">IF(B22="","",LUONG!I23)</f>
        <v/>
      </c>
      <c r="F22" s="29" t="str">
        <f aca="false">IF($B22="","",ROUNDUP($E22*0.175,0))</f>
        <v/>
      </c>
      <c r="G22" s="29" t="str">
        <f aca="false">IF($B22="","",ROUNDUP($E22*0.03,0))</f>
        <v/>
      </c>
      <c r="H22" s="29" t="str">
        <f aca="false">IF($B22="","",ROUNDUP($E22*0.01,0))</f>
        <v/>
      </c>
      <c r="I22" s="29" t="str">
        <f aca="false">IF(B22="","",SUM(F22:H22))</f>
        <v/>
      </c>
      <c r="J22" s="29" t="str">
        <f aca="false">IF($B22="","",ROUNDUP($E22*0.08,0))</f>
        <v/>
      </c>
      <c r="K22" s="29" t="str">
        <f aca="false">IF($B22="","",ROUNDUP($E22*0.015,0))</f>
        <v/>
      </c>
      <c r="L22" s="29" t="str">
        <f aca="false">IF($B22="","",ROUNDUP($E22*0.01,0))</f>
        <v/>
      </c>
      <c r="M22" s="29" t="str">
        <f aca="false">IF(B22="","",SUM(J22:L22))</f>
        <v/>
      </c>
      <c r="N22" s="29" t="str">
        <f aca="false">IF(B22="","",I22+M22)</f>
        <v/>
      </c>
    </row>
    <row r="23" customFormat="false" ht="15" hidden="false" customHeight="false" outlineLevel="0" collapsed="false">
      <c r="A23" s="18" t="str">
        <f aca="false">IF(B23="","",ROW()-4)</f>
        <v/>
      </c>
      <c r="B23" s="28" t="str">
        <f aca="false">IF(LUONG!B24="","",IF(LUONG!J24="Có",LUONG!B24,""))</f>
        <v/>
      </c>
      <c r="C23" s="18" t="str">
        <f aca="false">IF(B23="","",LUONG!C24)</f>
        <v/>
      </c>
      <c r="D23" s="18" t="str">
        <f aca="false">IF(B23="","",LUONG!D24)</f>
        <v/>
      </c>
      <c r="E23" s="29" t="str">
        <f aca="false">IF(B23="","",LUONG!I24)</f>
        <v/>
      </c>
      <c r="F23" s="29" t="str">
        <f aca="false">IF($B23="","",ROUNDUP($E23*0.175,0))</f>
        <v/>
      </c>
      <c r="G23" s="29" t="str">
        <f aca="false">IF($B23="","",ROUNDUP($E23*0.03,0))</f>
        <v/>
      </c>
      <c r="H23" s="29" t="str">
        <f aca="false">IF($B23="","",ROUNDUP($E23*0.01,0))</f>
        <v/>
      </c>
      <c r="I23" s="29" t="str">
        <f aca="false">IF(B23="","",SUM(F23:H23))</f>
        <v/>
      </c>
      <c r="J23" s="29" t="str">
        <f aca="false">IF($B23="","",ROUNDUP($E23*0.08,0))</f>
        <v/>
      </c>
      <c r="K23" s="29" t="str">
        <f aca="false">IF($B23="","",ROUNDUP($E23*0.015,0))</f>
        <v/>
      </c>
      <c r="L23" s="29" t="str">
        <f aca="false">IF($B23="","",ROUNDUP($E23*0.01,0))</f>
        <v/>
      </c>
      <c r="M23" s="29" t="str">
        <f aca="false">IF(B23="","",SUM(J23:L23))</f>
        <v/>
      </c>
      <c r="N23" s="29" t="str">
        <f aca="false">IF(B23="","",I23+M23)</f>
        <v/>
      </c>
    </row>
    <row r="24" customFormat="false" ht="15" hidden="false" customHeight="false" outlineLevel="0" collapsed="false">
      <c r="A24" s="18" t="str">
        <f aca="false">IF(B24="","",ROW()-4)</f>
        <v/>
      </c>
      <c r="B24" s="28" t="str">
        <f aca="false">IF(LUONG!B25="","",IF(LUONG!J25="Có",LUONG!B25,""))</f>
        <v/>
      </c>
      <c r="C24" s="18" t="str">
        <f aca="false">IF(B24="","",LUONG!C25)</f>
        <v/>
      </c>
      <c r="D24" s="18" t="str">
        <f aca="false">IF(B24="","",LUONG!D25)</f>
        <v/>
      </c>
      <c r="E24" s="29" t="str">
        <f aca="false">IF(B24="","",LUONG!I25)</f>
        <v/>
      </c>
      <c r="F24" s="29" t="str">
        <f aca="false">IF($B24="","",ROUNDUP($E24*0.175,0))</f>
        <v/>
      </c>
      <c r="G24" s="29" t="str">
        <f aca="false">IF($B24="","",ROUNDUP($E24*0.03,0))</f>
        <v/>
      </c>
      <c r="H24" s="29" t="str">
        <f aca="false">IF($B24="","",ROUNDUP($E24*0.01,0))</f>
        <v/>
      </c>
      <c r="I24" s="29" t="str">
        <f aca="false">IF(B24="","",SUM(F24:H24))</f>
        <v/>
      </c>
      <c r="J24" s="29" t="str">
        <f aca="false">IF($B24="","",ROUNDUP($E24*0.08,0))</f>
        <v/>
      </c>
      <c r="K24" s="29" t="str">
        <f aca="false">IF($B24="","",ROUNDUP($E24*0.015,0))</f>
        <v/>
      </c>
      <c r="L24" s="29" t="str">
        <f aca="false">IF($B24="","",ROUNDUP($E24*0.01,0))</f>
        <v/>
      </c>
      <c r="M24" s="29" t="str">
        <f aca="false">IF(B24="","",SUM(J24:L24))</f>
        <v/>
      </c>
      <c r="N24" s="29" t="str">
        <f aca="false">IF(B24="","",I24+M24)</f>
        <v/>
      </c>
    </row>
    <row r="25" customFormat="false" ht="15" hidden="false" customHeight="false" outlineLevel="0" collapsed="false">
      <c r="A25" s="18" t="str">
        <f aca="false">IF(B25="","",ROW()-4)</f>
        <v/>
      </c>
      <c r="B25" s="28" t="str">
        <f aca="false">IF(LUONG!B26="","",IF(LUONG!J26="Có",LUONG!B26,""))</f>
        <v/>
      </c>
      <c r="C25" s="18" t="str">
        <f aca="false">IF(B25="","",LUONG!C26)</f>
        <v/>
      </c>
      <c r="D25" s="18" t="str">
        <f aca="false">IF(B25="","",LUONG!D26)</f>
        <v/>
      </c>
      <c r="E25" s="29" t="str">
        <f aca="false">IF(B25="","",LUONG!I26)</f>
        <v/>
      </c>
      <c r="F25" s="29" t="str">
        <f aca="false">IF($B25="","",ROUNDUP($E25*0.175,0))</f>
        <v/>
      </c>
      <c r="G25" s="29" t="str">
        <f aca="false">IF($B25="","",ROUNDUP($E25*0.03,0))</f>
        <v/>
      </c>
      <c r="H25" s="29" t="str">
        <f aca="false">IF($B25="","",ROUNDUP($E25*0.01,0))</f>
        <v/>
      </c>
      <c r="I25" s="29" t="str">
        <f aca="false">IF(B25="","",SUM(F25:H25))</f>
        <v/>
      </c>
      <c r="J25" s="29" t="str">
        <f aca="false">IF($B25="","",ROUNDUP($E25*0.08,0))</f>
        <v/>
      </c>
      <c r="K25" s="29" t="str">
        <f aca="false">IF($B25="","",ROUNDUP($E25*0.015,0))</f>
        <v/>
      </c>
      <c r="L25" s="29" t="str">
        <f aca="false">IF($B25="","",ROUNDUP($E25*0.01,0))</f>
        <v/>
      </c>
      <c r="M25" s="29" t="str">
        <f aca="false">IF(B25="","",SUM(J25:L25))</f>
        <v/>
      </c>
      <c r="N25" s="29" t="str">
        <f aca="false">IF(B25="","",I25+M25)</f>
        <v/>
      </c>
    </row>
    <row r="26" customFormat="false" ht="15" hidden="false" customHeight="false" outlineLevel="0" collapsed="false">
      <c r="A26" s="18" t="str">
        <f aca="false">IF(B26="","",ROW()-4)</f>
        <v/>
      </c>
      <c r="B26" s="28" t="str">
        <f aca="false">IF(LUONG!B27="","",IF(LUONG!J27="Có",LUONG!B27,""))</f>
        <v/>
      </c>
      <c r="C26" s="18" t="str">
        <f aca="false">IF(B26="","",LUONG!C27)</f>
        <v/>
      </c>
      <c r="D26" s="18" t="str">
        <f aca="false">IF(B26="","",LUONG!D27)</f>
        <v/>
      </c>
      <c r="E26" s="29" t="str">
        <f aca="false">IF(B26="","",LUONG!I27)</f>
        <v/>
      </c>
      <c r="F26" s="29" t="str">
        <f aca="false">IF($B26="","",ROUNDUP($E26*0.175,0))</f>
        <v/>
      </c>
      <c r="G26" s="29" t="str">
        <f aca="false">IF($B26="","",ROUNDUP($E26*0.03,0))</f>
        <v/>
      </c>
      <c r="H26" s="29" t="str">
        <f aca="false">IF($B26="","",ROUNDUP($E26*0.01,0))</f>
        <v/>
      </c>
      <c r="I26" s="29" t="str">
        <f aca="false">IF(B26="","",SUM(F26:H26))</f>
        <v/>
      </c>
      <c r="J26" s="29" t="str">
        <f aca="false">IF($B26="","",ROUNDUP($E26*0.08,0))</f>
        <v/>
      </c>
      <c r="K26" s="29" t="str">
        <f aca="false">IF($B26="","",ROUNDUP($E26*0.015,0))</f>
        <v/>
      </c>
      <c r="L26" s="29" t="str">
        <f aca="false">IF($B26="","",ROUNDUP($E26*0.01,0))</f>
        <v/>
      </c>
      <c r="M26" s="29" t="str">
        <f aca="false">IF(B26="","",SUM(J26:L26))</f>
        <v/>
      </c>
      <c r="N26" s="29" t="str">
        <f aca="false">IF(B26="","",I26+M26)</f>
        <v/>
      </c>
    </row>
    <row r="27" customFormat="false" ht="15" hidden="false" customHeight="false" outlineLevel="0" collapsed="false">
      <c r="A27" s="18" t="str">
        <f aca="false">IF(B27="","",ROW()-4)</f>
        <v/>
      </c>
      <c r="B27" s="28" t="str">
        <f aca="false">IF(LUONG!B28="","",IF(LUONG!J28="Có",LUONG!B28,""))</f>
        <v/>
      </c>
      <c r="C27" s="18" t="str">
        <f aca="false">IF(B27="","",LUONG!C28)</f>
        <v/>
      </c>
      <c r="D27" s="18" t="str">
        <f aca="false">IF(B27="","",LUONG!D28)</f>
        <v/>
      </c>
      <c r="E27" s="29" t="str">
        <f aca="false">IF(B27="","",LUONG!I28)</f>
        <v/>
      </c>
      <c r="F27" s="29" t="str">
        <f aca="false">IF($B27="","",ROUNDUP($E27*0.175,0))</f>
        <v/>
      </c>
      <c r="G27" s="29" t="str">
        <f aca="false">IF($B27="","",ROUNDUP($E27*0.03,0))</f>
        <v/>
      </c>
      <c r="H27" s="29" t="str">
        <f aca="false">IF($B27="","",ROUNDUP($E27*0.01,0))</f>
        <v/>
      </c>
      <c r="I27" s="29" t="str">
        <f aca="false">IF(B27="","",SUM(F27:H27))</f>
        <v/>
      </c>
      <c r="J27" s="29" t="str">
        <f aca="false">IF($B27="","",ROUNDUP($E27*0.08,0))</f>
        <v/>
      </c>
      <c r="K27" s="29" t="str">
        <f aca="false">IF($B27="","",ROUNDUP($E27*0.015,0))</f>
        <v/>
      </c>
      <c r="L27" s="29" t="str">
        <f aca="false">IF($B27="","",ROUNDUP($E27*0.01,0))</f>
        <v/>
      </c>
      <c r="M27" s="29" t="str">
        <f aca="false">IF(B27="","",SUM(J27:L27))</f>
        <v/>
      </c>
      <c r="N27" s="29" t="str">
        <f aca="false">IF(B27="","",I27+M27)</f>
        <v/>
      </c>
    </row>
    <row r="28" customFormat="false" ht="15" hidden="false" customHeight="false" outlineLevel="0" collapsed="false">
      <c r="A28" s="18" t="str">
        <f aca="false">IF(B28="","",ROW()-4)</f>
        <v/>
      </c>
      <c r="B28" s="28" t="str">
        <f aca="false">IF(LUONG!B29="","",IF(LUONG!J29="Có",LUONG!B29,""))</f>
        <v/>
      </c>
      <c r="C28" s="18" t="str">
        <f aca="false">IF(B28="","",LUONG!C29)</f>
        <v/>
      </c>
      <c r="D28" s="18" t="str">
        <f aca="false">IF(B28="","",LUONG!D29)</f>
        <v/>
      </c>
      <c r="E28" s="29" t="str">
        <f aca="false">IF(B28="","",LUONG!I29)</f>
        <v/>
      </c>
      <c r="F28" s="29" t="str">
        <f aca="false">IF($B28="","",ROUNDUP($E28*0.175,0))</f>
        <v/>
      </c>
      <c r="G28" s="29" t="str">
        <f aca="false">IF($B28="","",ROUNDUP($E28*0.03,0))</f>
        <v/>
      </c>
      <c r="H28" s="29" t="str">
        <f aca="false">IF($B28="","",ROUNDUP($E28*0.01,0))</f>
        <v/>
      </c>
      <c r="I28" s="29" t="str">
        <f aca="false">IF(B28="","",SUM(F28:H28))</f>
        <v/>
      </c>
      <c r="J28" s="29" t="str">
        <f aca="false">IF($B28="","",ROUNDUP($E28*0.08,0))</f>
        <v/>
      </c>
      <c r="K28" s="29" t="str">
        <f aca="false">IF($B28="","",ROUNDUP($E28*0.015,0))</f>
        <v/>
      </c>
      <c r="L28" s="29" t="str">
        <f aca="false">IF($B28="","",ROUNDUP($E28*0.01,0))</f>
        <v/>
      </c>
      <c r="M28" s="29" t="str">
        <f aca="false">IF(B28="","",SUM(J28:L28))</f>
        <v/>
      </c>
      <c r="N28" s="29" t="str">
        <f aca="false">IF(B28="","",I28+M28)</f>
        <v/>
      </c>
    </row>
    <row r="29" customFormat="false" ht="15" hidden="false" customHeight="false" outlineLevel="0" collapsed="false">
      <c r="A29" s="18" t="str">
        <f aca="false">IF(B29="","",ROW()-4)</f>
        <v/>
      </c>
      <c r="B29" s="28" t="str">
        <f aca="false">IF(LUONG!B30="","",IF(LUONG!J30="Có",LUONG!B30,""))</f>
        <v/>
      </c>
      <c r="C29" s="18" t="str">
        <f aca="false">IF(B29="","",LUONG!C30)</f>
        <v/>
      </c>
      <c r="D29" s="18" t="str">
        <f aca="false">IF(B29="","",LUONG!D30)</f>
        <v/>
      </c>
      <c r="E29" s="29" t="str">
        <f aca="false">IF(B29="","",LUONG!I30)</f>
        <v/>
      </c>
      <c r="F29" s="29" t="str">
        <f aca="false">IF($B29="","",ROUNDUP($E29*0.175,0))</f>
        <v/>
      </c>
      <c r="G29" s="29" t="str">
        <f aca="false">IF($B29="","",ROUNDUP($E29*0.03,0))</f>
        <v/>
      </c>
      <c r="H29" s="29" t="str">
        <f aca="false">IF($B29="","",ROUNDUP($E29*0.01,0))</f>
        <v/>
      </c>
      <c r="I29" s="29" t="str">
        <f aca="false">IF(B29="","",SUM(F29:H29))</f>
        <v/>
      </c>
      <c r="J29" s="29" t="str">
        <f aca="false">IF($B29="","",ROUNDUP($E29*0.08,0))</f>
        <v/>
      </c>
      <c r="K29" s="29" t="str">
        <f aca="false">IF($B29="","",ROUNDUP($E29*0.015,0))</f>
        <v/>
      </c>
      <c r="L29" s="29" t="str">
        <f aca="false">IF($B29="","",ROUNDUP($E29*0.01,0))</f>
        <v/>
      </c>
      <c r="M29" s="29" t="str">
        <f aca="false">IF(B29="","",SUM(J29:L29))</f>
        <v/>
      </c>
      <c r="N29" s="29" t="str">
        <f aca="false">IF(B29="","",I29+M29)</f>
        <v/>
      </c>
    </row>
    <row r="30" customFormat="false" ht="15" hidden="false" customHeight="false" outlineLevel="0" collapsed="false">
      <c r="A30" s="18" t="str">
        <f aca="false">IF(B30="","",ROW()-4)</f>
        <v/>
      </c>
      <c r="B30" s="28" t="str">
        <f aca="false">IF(LUONG!B31="","",IF(LUONG!J31="Có",LUONG!B31,""))</f>
        <v/>
      </c>
      <c r="C30" s="18" t="str">
        <f aca="false">IF(B30="","",LUONG!C31)</f>
        <v/>
      </c>
      <c r="D30" s="18" t="str">
        <f aca="false">IF(B30="","",LUONG!D31)</f>
        <v/>
      </c>
      <c r="E30" s="29" t="str">
        <f aca="false">IF(B30="","",LUONG!I31)</f>
        <v/>
      </c>
      <c r="F30" s="29" t="str">
        <f aca="false">IF($B30="","",ROUNDUP($E30*0.175,0))</f>
        <v/>
      </c>
      <c r="G30" s="29" t="str">
        <f aca="false">IF($B30="","",ROUNDUP($E30*0.03,0))</f>
        <v/>
      </c>
      <c r="H30" s="29" t="str">
        <f aca="false">IF($B30="","",ROUNDUP($E30*0.01,0))</f>
        <v/>
      </c>
      <c r="I30" s="29" t="str">
        <f aca="false">IF(B30="","",SUM(F30:H30))</f>
        <v/>
      </c>
      <c r="J30" s="29" t="str">
        <f aca="false">IF($B30="","",ROUNDUP($E30*0.08,0))</f>
        <v/>
      </c>
      <c r="K30" s="29" t="str">
        <f aca="false">IF($B30="","",ROUNDUP($E30*0.015,0))</f>
        <v/>
      </c>
      <c r="L30" s="29" t="str">
        <f aca="false">IF($B30="","",ROUNDUP($E30*0.01,0))</f>
        <v/>
      </c>
      <c r="M30" s="29" t="str">
        <f aca="false">IF(B30="","",SUM(J30:L30))</f>
        <v/>
      </c>
      <c r="N30" s="29" t="str">
        <f aca="false">IF(B30="","",I30+M30)</f>
        <v/>
      </c>
    </row>
    <row r="31" customFormat="false" ht="15" hidden="false" customHeight="false" outlineLevel="0" collapsed="false">
      <c r="A31" s="18" t="str">
        <f aca="false">IF(B31="","",ROW()-4)</f>
        <v/>
      </c>
      <c r="B31" s="28" t="str">
        <f aca="false">IF(LUONG!B32="","",IF(LUONG!J32="Có",LUONG!B32,""))</f>
        <v/>
      </c>
      <c r="C31" s="18" t="str">
        <f aca="false">IF(B31="","",LUONG!C32)</f>
        <v/>
      </c>
      <c r="D31" s="18" t="str">
        <f aca="false">IF(B31="","",LUONG!D32)</f>
        <v/>
      </c>
      <c r="E31" s="29" t="str">
        <f aca="false">IF(B31="","",LUONG!I32)</f>
        <v/>
      </c>
      <c r="F31" s="29" t="str">
        <f aca="false">IF($B31="","",ROUNDUP($E31*0.175,0))</f>
        <v/>
      </c>
      <c r="G31" s="29" t="str">
        <f aca="false">IF($B31="","",ROUNDUP($E31*0.03,0))</f>
        <v/>
      </c>
      <c r="H31" s="29" t="str">
        <f aca="false">IF($B31="","",ROUNDUP($E31*0.01,0))</f>
        <v/>
      </c>
      <c r="I31" s="29" t="str">
        <f aca="false">IF(B31="","",SUM(F31:H31))</f>
        <v/>
      </c>
      <c r="J31" s="29" t="str">
        <f aca="false">IF($B31="","",ROUNDUP($E31*0.08,0))</f>
        <v/>
      </c>
      <c r="K31" s="29" t="str">
        <f aca="false">IF($B31="","",ROUNDUP($E31*0.015,0))</f>
        <v/>
      </c>
      <c r="L31" s="29" t="str">
        <f aca="false">IF($B31="","",ROUNDUP($E31*0.01,0))</f>
        <v/>
      </c>
      <c r="M31" s="29" t="str">
        <f aca="false">IF(B31="","",SUM(J31:L31))</f>
        <v/>
      </c>
      <c r="N31" s="29" t="str">
        <f aca="false">IF(B31="","",I31+M31)</f>
        <v/>
      </c>
    </row>
    <row r="32" customFormat="false" ht="15" hidden="false" customHeight="false" outlineLevel="0" collapsed="false">
      <c r="A32" s="18" t="str">
        <f aca="false">IF(B32="","",ROW()-4)</f>
        <v/>
      </c>
      <c r="B32" s="28" t="str">
        <f aca="false">IF(LUONG!B33="","",IF(LUONG!J33="Có",LUONG!B33,""))</f>
        <v/>
      </c>
      <c r="C32" s="18" t="str">
        <f aca="false">IF(B32="","",LUONG!C33)</f>
        <v/>
      </c>
      <c r="D32" s="18" t="str">
        <f aca="false">IF(B32="","",LUONG!D33)</f>
        <v/>
      </c>
      <c r="E32" s="29" t="str">
        <f aca="false">IF(B32="","",LUONG!I33)</f>
        <v/>
      </c>
      <c r="F32" s="29" t="str">
        <f aca="false">IF($B32="","",ROUNDUP($E32*0.175,0))</f>
        <v/>
      </c>
      <c r="G32" s="29" t="str">
        <f aca="false">IF($B32="","",ROUNDUP($E32*0.03,0))</f>
        <v/>
      </c>
      <c r="H32" s="29" t="str">
        <f aca="false">IF($B32="","",ROUNDUP($E32*0.01,0))</f>
        <v/>
      </c>
      <c r="I32" s="29" t="str">
        <f aca="false">IF(B32="","",SUM(F32:H32))</f>
        <v/>
      </c>
      <c r="J32" s="29" t="str">
        <f aca="false">IF($B32="","",ROUNDUP($E32*0.08,0))</f>
        <v/>
      </c>
      <c r="K32" s="29" t="str">
        <f aca="false">IF($B32="","",ROUNDUP($E32*0.015,0))</f>
        <v/>
      </c>
      <c r="L32" s="29" t="str">
        <f aca="false">IF($B32="","",ROUNDUP($E32*0.01,0))</f>
        <v/>
      </c>
      <c r="M32" s="29" t="str">
        <f aca="false">IF(B32="","",SUM(J32:L32))</f>
        <v/>
      </c>
      <c r="N32" s="29" t="str">
        <f aca="false">IF(B32="","",I32+M32)</f>
        <v/>
      </c>
    </row>
    <row r="33" customFormat="false" ht="15" hidden="false" customHeight="false" outlineLevel="0" collapsed="false">
      <c r="A33" s="18" t="str">
        <f aca="false">IF(B33="","",ROW()-4)</f>
        <v/>
      </c>
      <c r="B33" s="28" t="str">
        <f aca="false">IF(LUONG!B34="","",IF(LUONG!J34="Có",LUONG!B34,""))</f>
        <v/>
      </c>
      <c r="C33" s="18" t="str">
        <f aca="false">IF(B33="","",LUONG!C34)</f>
        <v/>
      </c>
      <c r="D33" s="18" t="str">
        <f aca="false">IF(B33="","",LUONG!D34)</f>
        <v/>
      </c>
      <c r="E33" s="29" t="str">
        <f aca="false">IF(B33="","",LUONG!I34)</f>
        <v/>
      </c>
      <c r="F33" s="29" t="str">
        <f aca="false">IF($B33="","",ROUNDUP($E33*0.175,0))</f>
        <v/>
      </c>
      <c r="G33" s="29" t="str">
        <f aca="false">IF($B33="","",ROUNDUP($E33*0.03,0))</f>
        <v/>
      </c>
      <c r="H33" s="29" t="str">
        <f aca="false">IF($B33="","",ROUNDUP($E33*0.01,0))</f>
        <v/>
      </c>
      <c r="I33" s="29" t="str">
        <f aca="false">IF(B33="","",SUM(F33:H33))</f>
        <v/>
      </c>
      <c r="J33" s="29" t="str">
        <f aca="false">IF($B33="","",ROUNDUP($E33*0.08,0))</f>
        <v/>
      </c>
      <c r="K33" s="29" t="str">
        <f aca="false">IF($B33="","",ROUNDUP($E33*0.015,0))</f>
        <v/>
      </c>
      <c r="L33" s="29" t="str">
        <f aca="false">IF($B33="","",ROUNDUP($E33*0.01,0))</f>
        <v/>
      </c>
      <c r="M33" s="29" t="str">
        <f aca="false">IF(B33="","",SUM(J33:L33))</f>
        <v/>
      </c>
      <c r="N33" s="29" t="str">
        <f aca="false">IF(B33="","",I33+M33)</f>
        <v/>
      </c>
    </row>
    <row r="34" customFormat="false" ht="15" hidden="false" customHeight="false" outlineLevel="0" collapsed="false">
      <c r="A34" s="18" t="str">
        <f aca="false">IF(B34="","",ROW()-4)</f>
        <v/>
      </c>
      <c r="B34" s="28" t="str">
        <f aca="false">IF(LUONG!B35="","",IF(LUONG!J35="Có",LUONG!B35,""))</f>
        <v/>
      </c>
      <c r="C34" s="18" t="str">
        <f aca="false">IF(B34="","",LUONG!C35)</f>
        <v/>
      </c>
      <c r="D34" s="18" t="str">
        <f aca="false">IF(B34="","",LUONG!D35)</f>
        <v/>
      </c>
      <c r="E34" s="29" t="str">
        <f aca="false">IF(B34="","",LUONG!I35)</f>
        <v/>
      </c>
      <c r="F34" s="29" t="str">
        <f aca="false">IF($B34="","",ROUNDUP($E34*0.175,0))</f>
        <v/>
      </c>
      <c r="G34" s="29" t="str">
        <f aca="false">IF($B34="","",ROUNDUP($E34*0.03,0))</f>
        <v/>
      </c>
      <c r="H34" s="29" t="str">
        <f aca="false">IF($B34="","",ROUNDUP($E34*0.01,0))</f>
        <v/>
      </c>
      <c r="I34" s="29" t="str">
        <f aca="false">IF(B34="","",SUM(F34:H34))</f>
        <v/>
      </c>
      <c r="J34" s="29" t="str">
        <f aca="false">IF($B34="","",ROUNDUP($E34*0.08,0))</f>
        <v/>
      </c>
      <c r="K34" s="29" t="str">
        <f aca="false">IF($B34="","",ROUNDUP($E34*0.015,0))</f>
        <v/>
      </c>
      <c r="L34" s="29" t="str">
        <f aca="false">IF($B34="","",ROUNDUP($E34*0.01,0))</f>
        <v/>
      </c>
      <c r="M34" s="29" t="str">
        <f aca="false">IF(B34="","",SUM(J34:L34))</f>
        <v/>
      </c>
      <c r="N34" s="29" t="str">
        <f aca="false">IF(B34="","",I34+M34)</f>
        <v/>
      </c>
    </row>
    <row r="35" customFormat="false" ht="15" hidden="false" customHeight="false" outlineLevel="0" collapsed="false">
      <c r="A35" s="18" t="str">
        <f aca="false">IF(B35="","",ROW()-4)</f>
        <v/>
      </c>
      <c r="B35" s="28" t="str">
        <f aca="false">IF(LUONG!B36="","",IF(LUONG!J36="Có",LUONG!B36,""))</f>
        <v/>
      </c>
      <c r="C35" s="18" t="str">
        <f aca="false">IF(B35="","",LUONG!C36)</f>
        <v/>
      </c>
      <c r="D35" s="18" t="str">
        <f aca="false">IF(B35="","",LUONG!D36)</f>
        <v/>
      </c>
      <c r="E35" s="29" t="str">
        <f aca="false">IF(B35="","",LUONG!I36)</f>
        <v/>
      </c>
      <c r="F35" s="29" t="str">
        <f aca="false">IF($B35="","",ROUNDUP($E35*0.175,0))</f>
        <v/>
      </c>
      <c r="G35" s="29" t="str">
        <f aca="false">IF($B35="","",ROUNDUP($E35*0.03,0))</f>
        <v/>
      </c>
      <c r="H35" s="29" t="str">
        <f aca="false">IF($B35="","",ROUNDUP($E35*0.01,0))</f>
        <v/>
      </c>
      <c r="I35" s="29" t="str">
        <f aca="false">IF(B35="","",SUM(F35:H35))</f>
        <v/>
      </c>
      <c r="J35" s="29" t="str">
        <f aca="false">IF($B35="","",ROUNDUP($E35*0.08,0))</f>
        <v/>
      </c>
      <c r="K35" s="29" t="str">
        <f aca="false">IF($B35="","",ROUNDUP($E35*0.015,0))</f>
        <v/>
      </c>
      <c r="L35" s="29" t="str">
        <f aca="false">IF($B35="","",ROUNDUP($E35*0.01,0))</f>
        <v/>
      </c>
      <c r="M35" s="29" t="str">
        <f aca="false">IF(B35="","",SUM(J35:L35))</f>
        <v/>
      </c>
      <c r="N35" s="29" t="str">
        <f aca="false">IF(B35="","",I35+M35)</f>
        <v/>
      </c>
    </row>
    <row r="36" customFormat="false" ht="15" hidden="false" customHeight="false" outlineLevel="0" collapsed="false">
      <c r="A36" s="18" t="str">
        <f aca="false">IF(B36="","",ROW()-4)</f>
        <v/>
      </c>
      <c r="B36" s="28" t="str">
        <f aca="false">IF(LUONG!B37="","",IF(LUONG!J37="Có",LUONG!B37,""))</f>
        <v/>
      </c>
      <c r="C36" s="18" t="str">
        <f aca="false">IF(B36="","",LUONG!C37)</f>
        <v/>
      </c>
      <c r="D36" s="18" t="str">
        <f aca="false">IF(B36="","",LUONG!D37)</f>
        <v/>
      </c>
      <c r="E36" s="29" t="str">
        <f aca="false">IF(B36="","",LUONG!I37)</f>
        <v/>
      </c>
      <c r="F36" s="29" t="str">
        <f aca="false">IF($B36="","",ROUNDUP($E36*0.175,0))</f>
        <v/>
      </c>
      <c r="G36" s="29" t="str">
        <f aca="false">IF($B36="","",ROUNDUP($E36*0.03,0))</f>
        <v/>
      </c>
      <c r="H36" s="29" t="str">
        <f aca="false">IF($B36="","",ROUNDUP($E36*0.01,0))</f>
        <v/>
      </c>
      <c r="I36" s="29" t="str">
        <f aca="false">IF(B36="","",SUM(F36:H36))</f>
        <v/>
      </c>
      <c r="J36" s="29" t="str">
        <f aca="false">IF($B36="","",ROUNDUP($E36*0.08,0))</f>
        <v/>
      </c>
      <c r="K36" s="29" t="str">
        <f aca="false">IF($B36="","",ROUNDUP($E36*0.015,0))</f>
        <v/>
      </c>
      <c r="L36" s="29" t="str">
        <f aca="false">IF($B36="","",ROUNDUP($E36*0.01,0))</f>
        <v/>
      </c>
      <c r="M36" s="29" t="str">
        <f aca="false">IF(B36="","",SUM(J36:L36))</f>
        <v/>
      </c>
      <c r="N36" s="29" t="str">
        <f aca="false">IF(B36="","",I36+M36)</f>
        <v/>
      </c>
    </row>
    <row r="37" customFormat="false" ht="15" hidden="false" customHeight="false" outlineLevel="0" collapsed="false">
      <c r="A37" s="18" t="str">
        <f aca="false">IF(B37="","",ROW()-4)</f>
        <v/>
      </c>
      <c r="B37" s="28" t="str">
        <f aca="false">IF(LUONG!B38="","",IF(LUONG!J38="Có",LUONG!B38,""))</f>
        <v/>
      </c>
      <c r="C37" s="18" t="str">
        <f aca="false">IF(B37="","",LUONG!C38)</f>
        <v/>
      </c>
      <c r="D37" s="18" t="str">
        <f aca="false">IF(B37="","",LUONG!D38)</f>
        <v/>
      </c>
      <c r="E37" s="29" t="str">
        <f aca="false">IF(B37="","",LUONG!I38)</f>
        <v/>
      </c>
      <c r="F37" s="29" t="str">
        <f aca="false">IF($B37="","",ROUNDUP($E37*0.175,0))</f>
        <v/>
      </c>
      <c r="G37" s="29" t="str">
        <f aca="false">IF($B37="","",ROUNDUP($E37*0.03,0))</f>
        <v/>
      </c>
      <c r="H37" s="29" t="str">
        <f aca="false">IF($B37="","",ROUNDUP($E37*0.01,0))</f>
        <v/>
      </c>
      <c r="I37" s="29" t="str">
        <f aca="false">IF(B37="","",SUM(F37:H37))</f>
        <v/>
      </c>
      <c r="J37" s="29" t="str">
        <f aca="false">IF($B37="","",ROUNDUP($E37*0.08,0))</f>
        <v/>
      </c>
      <c r="K37" s="29" t="str">
        <f aca="false">IF($B37="","",ROUNDUP($E37*0.015,0))</f>
        <v/>
      </c>
      <c r="L37" s="29" t="str">
        <f aca="false">IF($B37="","",ROUNDUP($E37*0.01,0))</f>
        <v/>
      </c>
      <c r="M37" s="29" t="str">
        <f aca="false">IF(B37="","",SUM(J37:L37))</f>
        <v/>
      </c>
      <c r="N37" s="29" t="str">
        <f aca="false">IF(B37="","",I37+M37)</f>
        <v/>
      </c>
    </row>
    <row r="38" customFormat="false" ht="15" hidden="false" customHeight="false" outlineLevel="0" collapsed="false">
      <c r="A38" s="18" t="str">
        <f aca="false">IF(B38="","",ROW()-4)</f>
        <v/>
      </c>
      <c r="B38" s="28" t="str">
        <f aca="false">IF(LUONG!B39="","",IF(LUONG!J39="Có",LUONG!B39,""))</f>
        <v/>
      </c>
      <c r="C38" s="18" t="str">
        <f aca="false">IF(B38="","",LUONG!C39)</f>
        <v/>
      </c>
      <c r="D38" s="18" t="str">
        <f aca="false">IF(B38="","",LUONG!D39)</f>
        <v/>
      </c>
      <c r="E38" s="29" t="str">
        <f aca="false">IF(B38="","",LUONG!I39)</f>
        <v/>
      </c>
      <c r="F38" s="29" t="str">
        <f aca="false">IF($B38="","",ROUNDUP($E38*0.175,0))</f>
        <v/>
      </c>
      <c r="G38" s="29" t="str">
        <f aca="false">IF($B38="","",ROUNDUP($E38*0.03,0))</f>
        <v/>
      </c>
      <c r="H38" s="29" t="str">
        <f aca="false">IF($B38="","",ROUNDUP($E38*0.01,0))</f>
        <v/>
      </c>
      <c r="I38" s="29" t="str">
        <f aca="false">IF(B38="","",SUM(F38:H38))</f>
        <v/>
      </c>
      <c r="J38" s="29" t="str">
        <f aca="false">IF($B38="","",ROUNDUP($E38*0.08,0))</f>
        <v/>
      </c>
      <c r="K38" s="29" t="str">
        <f aca="false">IF($B38="","",ROUNDUP($E38*0.015,0))</f>
        <v/>
      </c>
      <c r="L38" s="29" t="str">
        <f aca="false">IF($B38="","",ROUNDUP($E38*0.01,0))</f>
        <v/>
      </c>
      <c r="M38" s="29" t="str">
        <f aca="false">IF(B38="","",SUM(J38:L38))</f>
        <v/>
      </c>
      <c r="N38" s="29" t="str">
        <f aca="false">IF(B38="","",I38+M38)</f>
        <v/>
      </c>
    </row>
    <row r="39" customFormat="false" ht="15" hidden="false" customHeight="false" outlineLevel="0" collapsed="false">
      <c r="A39" s="18" t="str">
        <f aca="false">IF(B39="","",ROW()-4)</f>
        <v/>
      </c>
      <c r="B39" s="28" t="str">
        <f aca="false">IF(LUONG!B40="","",IF(LUONG!J40="Có",LUONG!B40,""))</f>
        <v/>
      </c>
      <c r="C39" s="18" t="str">
        <f aca="false">IF(B39="","",LUONG!C40)</f>
        <v/>
      </c>
      <c r="D39" s="18" t="str">
        <f aca="false">IF(B39="","",LUONG!D40)</f>
        <v/>
      </c>
      <c r="E39" s="29" t="str">
        <f aca="false">IF(B39="","",LUONG!I40)</f>
        <v/>
      </c>
      <c r="F39" s="29" t="str">
        <f aca="false">IF($B39="","",ROUNDUP($E39*0.175,0))</f>
        <v/>
      </c>
      <c r="G39" s="29" t="str">
        <f aca="false">IF($B39="","",ROUNDUP($E39*0.03,0))</f>
        <v/>
      </c>
      <c r="H39" s="29" t="str">
        <f aca="false">IF($B39="","",ROUNDUP($E39*0.01,0))</f>
        <v/>
      </c>
      <c r="I39" s="29" t="str">
        <f aca="false">IF(B39="","",SUM(F39:H39))</f>
        <v/>
      </c>
      <c r="J39" s="29" t="str">
        <f aca="false">IF($B39="","",ROUNDUP($E39*0.08,0))</f>
        <v/>
      </c>
      <c r="K39" s="29" t="str">
        <f aca="false">IF($B39="","",ROUNDUP($E39*0.015,0))</f>
        <v/>
      </c>
      <c r="L39" s="29" t="str">
        <f aca="false">IF($B39="","",ROUNDUP($E39*0.01,0))</f>
        <v/>
      </c>
      <c r="M39" s="29" t="str">
        <f aca="false">IF(B39="","",SUM(J39:L39))</f>
        <v/>
      </c>
      <c r="N39" s="29" t="str">
        <f aca="false">IF(B39="","",I39+M39)</f>
        <v/>
      </c>
    </row>
    <row r="40" customFormat="false" ht="15" hidden="false" customHeight="false" outlineLevel="0" collapsed="false">
      <c r="A40" s="18" t="str">
        <f aca="false">IF(B40="","",ROW()-4)</f>
        <v/>
      </c>
      <c r="B40" s="28" t="str">
        <f aca="false">IF(LUONG!B41="","",IF(LUONG!J41="Có",LUONG!B41,""))</f>
        <v/>
      </c>
      <c r="C40" s="18" t="str">
        <f aca="false">IF(B40="","",LUONG!C41)</f>
        <v/>
      </c>
      <c r="D40" s="18" t="str">
        <f aca="false">IF(B40="","",LUONG!D41)</f>
        <v/>
      </c>
      <c r="E40" s="29" t="str">
        <f aca="false">IF(B40="","",LUONG!I41)</f>
        <v/>
      </c>
      <c r="F40" s="29" t="str">
        <f aca="false">IF($B40="","",ROUNDUP($E40*0.175,0))</f>
        <v/>
      </c>
      <c r="G40" s="29" t="str">
        <f aca="false">IF($B40="","",ROUNDUP($E40*0.03,0))</f>
        <v/>
      </c>
      <c r="H40" s="29" t="str">
        <f aca="false">IF($B40="","",ROUNDUP($E40*0.01,0))</f>
        <v/>
      </c>
      <c r="I40" s="29" t="str">
        <f aca="false">IF(B40="","",SUM(F40:H40))</f>
        <v/>
      </c>
      <c r="J40" s="29" t="str">
        <f aca="false">IF($B40="","",ROUNDUP($E40*0.08,0))</f>
        <v/>
      </c>
      <c r="K40" s="29" t="str">
        <f aca="false">IF($B40="","",ROUNDUP($E40*0.015,0))</f>
        <v/>
      </c>
      <c r="L40" s="29" t="str">
        <f aca="false">IF($B40="","",ROUNDUP($E40*0.01,0))</f>
        <v/>
      </c>
      <c r="M40" s="29" t="str">
        <f aca="false">IF(B40="","",SUM(J40:L40))</f>
        <v/>
      </c>
      <c r="N40" s="29" t="str">
        <f aca="false">IF(B40="","",I40+M40)</f>
        <v/>
      </c>
    </row>
    <row r="41" customFormat="false" ht="15" hidden="false" customHeight="false" outlineLevel="0" collapsed="false">
      <c r="A41" s="18" t="str">
        <f aca="false">IF(B41="","",ROW()-4)</f>
        <v/>
      </c>
      <c r="B41" s="28" t="str">
        <f aca="false">IF(LUONG!B42="","",IF(LUONG!J42="Có",LUONG!B42,""))</f>
        <v/>
      </c>
      <c r="C41" s="18" t="str">
        <f aca="false">IF(B41="","",LUONG!C42)</f>
        <v/>
      </c>
      <c r="D41" s="18" t="str">
        <f aca="false">IF(B41="","",LUONG!D42)</f>
        <v/>
      </c>
      <c r="E41" s="29" t="str">
        <f aca="false">IF(B41="","",LUONG!I42)</f>
        <v/>
      </c>
      <c r="F41" s="29" t="str">
        <f aca="false">IF($B41="","",ROUNDUP($E41*0.175,0))</f>
        <v/>
      </c>
      <c r="G41" s="29" t="str">
        <f aca="false">IF($B41="","",ROUNDUP($E41*0.03,0))</f>
        <v/>
      </c>
      <c r="H41" s="29" t="str">
        <f aca="false">IF($B41="","",ROUNDUP($E41*0.01,0))</f>
        <v/>
      </c>
      <c r="I41" s="29" t="str">
        <f aca="false">IF(B41="","",SUM(F41:H41))</f>
        <v/>
      </c>
      <c r="J41" s="29" t="str">
        <f aca="false">IF($B41="","",ROUNDUP($E41*0.08,0))</f>
        <v/>
      </c>
      <c r="K41" s="29" t="str">
        <f aca="false">IF($B41="","",ROUNDUP($E41*0.015,0))</f>
        <v/>
      </c>
      <c r="L41" s="29" t="str">
        <f aca="false">IF($B41="","",ROUNDUP($E41*0.01,0))</f>
        <v/>
      </c>
      <c r="M41" s="29" t="str">
        <f aca="false">IF(B41="","",SUM(J41:L41))</f>
        <v/>
      </c>
      <c r="N41" s="29" t="str">
        <f aca="false">IF(B41="","",I41+M41)</f>
        <v/>
      </c>
    </row>
    <row r="42" customFormat="false" ht="15" hidden="false" customHeight="false" outlineLevel="0" collapsed="false">
      <c r="A42" s="18" t="str">
        <f aca="false">IF(B42="","",ROW()-4)</f>
        <v/>
      </c>
      <c r="B42" s="28" t="str">
        <f aca="false">IF(LUONG!B43="","",IF(LUONG!J43="Có",LUONG!B43,""))</f>
        <v/>
      </c>
      <c r="C42" s="18" t="str">
        <f aca="false">IF(B42="","",LUONG!C43)</f>
        <v/>
      </c>
      <c r="D42" s="18" t="str">
        <f aca="false">IF(B42="","",LUONG!D43)</f>
        <v/>
      </c>
      <c r="E42" s="29" t="str">
        <f aca="false">IF(B42="","",LUONG!I43)</f>
        <v/>
      </c>
      <c r="F42" s="29" t="str">
        <f aca="false">IF($B42="","",ROUNDUP($E42*0.175,0))</f>
        <v/>
      </c>
      <c r="G42" s="29" t="str">
        <f aca="false">IF($B42="","",ROUNDUP($E42*0.03,0))</f>
        <v/>
      </c>
      <c r="H42" s="29" t="str">
        <f aca="false">IF($B42="","",ROUNDUP($E42*0.01,0))</f>
        <v/>
      </c>
      <c r="I42" s="29" t="str">
        <f aca="false">IF(B42="","",SUM(F42:H42))</f>
        <v/>
      </c>
      <c r="J42" s="29" t="str">
        <f aca="false">IF($B42="","",ROUNDUP($E42*0.08,0))</f>
        <v/>
      </c>
      <c r="K42" s="29" t="str">
        <f aca="false">IF($B42="","",ROUNDUP($E42*0.015,0))</f>
        <v/>
      </c>
      <c r="L42" s="29" t="str">
        <f aca="false">IF($B42="","",ROUNDUP($E42*0.01,0))</f>
        <v/>
      </c>
      <c r="M42" s="29" t="str">
        <f aca="false">IF(B42="","",SUM(J42:L42))</f>
        <v/>
      </c>
      <c r="N42" s="29" t="str">
        <f aca="false">IF(B42="","",I42+M42)</f>
        <v/>
      </c>
    </row>
    <row r="43" customFormat="false" ht="15" hidden="false" customHeight="false" outlineLevel="0" collapsed="false">
      <c r="A43" s="18" t="str">
        <f aca="false">IF(B43="","",ROW()-4)</f>
        <v/>
      </c>
      <c r="B43" s="28" t="str">
        <f aca="false">IF(LUONG!B44="","",IF(LUONG!J44="Có",LUONG!B44,""))</f>
        <v/>
      </c>
      <c r="C43" s="18" t="str">
        <f aca="false">IF(B43="","",LUONG!C44)</f>
        <v/>
      </c>
      <c r="D43" s="18" t="str">
        <f aca="false">IF(B43="","",LUONG!D44)</f>
        <v/>
      </c>
      <c r="E43" s="29" t="str">
        <f aca="false">IF(B43="","",LUONG!I44)</f>
        <v/>
      </c>
      <c r="F43" s="29" t="str">
        <f aca="false">IF($B43="","",ROUNDUP($E43*0.175,0))</f>
        <v/>
      </c>
      <c r="G43" s="29" t="str">
        <f aca="false">IF($B43="","",ROUNDUP($E43*0.03,0))</f>
        <v/>
      </c>
      <c r="H43" s="29" t="str">
        <f aca="false">IF($B43="","",ROUNDUP($E43*0.01,0))</f>
        <v/>
      </c>
      <c r="I43" s="29" t="str">
        <f aca="false">IF(B43="","",SUM(F43:H43))</f>
        <v/>
      </c>
      <c r="J43" s="29" t="str">
        <f aca="false">IF($B43="","",ROUNDUP($E43*0.08,0))</f>
        <v/>
      </c>
      <c r="K43" s="29" t="str">
        <f aca="false">IF($B43="","",ROUNDUP($E43*0.015,0))</f>
        <v/>
      </c>
      <c r="L43" s="29" t="str">
        <f aca="false">IF($B43="","",ROUNDUP($E43*0.01,0))</f>
        <v/>
      </c>
      <c r="M43" s="29" t="str">
        <f aca="false">IF(B43="","",SUM(J43:L43))</f>
        <v/>
      </c>
      <c r="N43" s="29" t="str">
        <f aca="false">IF(B43="","",I43+M43)</f>
        <v/>
      </c>
    </row>
    <row r="44" customFormat="false" ht="15" hidden="false" customHeight="false" outlineLevel="0" collapsed="false">
      <c r="A44" s="18" t="str">
        <f aca="false">IF(B44="","",ROW()-4)</f>
        <v/>
      </c>
      <c r="B44" s="28" t="str">
        <f aca="false">IF(LUONG!B45="","",IF(LUONG!J45="Có",LUONG!B45,""))</f>
        <v/>
      </c>
      <c r="C44" s="18" t="str">
        <f aca="false">IF(B44="","",LUONG!C45)</f>
        <v/>
      </c>
      <c r="D44" s="18" t="str">
        <f aca="false">IF(B44="","",LUONG!D45)</f>
        <v/>
      </c>
      <c r="E44" s="29" t="str">
        <f aca="false">IF(B44="","",LUONG!I45)</f>
        <v/>
      </c>
      <c r="F44" s="29" t="str">
        <f aca="false">IF($B44="","",ROUNDUP($E44*0.175,0))</f>
        <v/>
      </c>
      <c r="G44" s="29" t="str">
        <f aca="false">IF($B44="","",ROUNDUP($E44*0.03,0))</f>
        <v/>
      </c>
      <c r="H44" s="29" t="str">
        <f aca="false">IF($B44="","",ROUNDUP($E44*0.01,0))</f>
        <v/>
      </c>
      <c r="I44" s="29" t="str">
        <f aca="false">IF(B44="","",SUM(F44:H44))</f>
        <v/>
      </c>
      <c r="J44" s="29" t="str">
        <f aca="false">IF($B44="","",ROUNDUP($E44*0.08,0))</f>
        <v/>
      </c>
      <c r="K44" s="29" t="str">
        <f aca="false">IF($B44="","",ROUNDUP($E44*0.015,0))</f>
        <v/>
      </c>
      <c r="L44" s="29" t="str">
        <f aca="false">IF($B44="","",ROUNDUP($E44*0.01,0))</f>
        <v/>
      </c>
      <c r="M44" s="29" t="str">
        <f aca="false">IF(B44="","",SUM(J44:L44))</f>
        <v/>
      </c>
      <c r="N44" s="29" t="str">
        <f aca="false">IF(B44="","",I44+M44)</f>
        <v/>
      </c>
    </row>
    <row r="45" customFormat="false" ht="15" hidden="false" customHeight="false" outlineLevel="0" collapsed="false">
      <c r="A45" s="18" t="str">
        <f aca="false">IF(B45="","",ROW()-4)</f>
        <v/>
      </c>
      <c r="B45" s="28" t="str">
        <f aca="false">IF(LUONG!B46="","",IF(LUONG!J46="Có",LUONG!B46,""))</f>
        <v/>
      </c>
      <c r="C45" s="18" t="str">
        <f aca="false">IF(B45="","",LUONG!C46)</f>
        <v/>
      </c>
      <c r="D45" s="18" t="str">
        <f aca="false">IF(B45="","",LUONG!D46)</f>
        <v/>
      </c>
      <c r="E45" s="29" t="str">
        <f aca="false">IF(B45="","",LUONG!I46)</f>
        <v/>
      </c>
      <c r="F45" s="29" t="str">
        <f aca="false">IF($B45="","",ROUNDUP($E45*0.175,0))</f>
        <v/>
      </c>
      <c r="G45" s="29" t="str">
        <f aca="false">IF($B45="","",ROUNDUP($E45*0.03,0))</f>
        <v/>
      </c>
      <c r="H45" s="29" t="str">
        <f aca="false">IF($B45="","",ROUNDUP($E45*0.01,0))</f>
        <v/>
      </c>
      <c r="I45" s="29" t="str">
        <f aca="false">IF(B45="","",SUM(F45:H45))</f>
        <v/>
      </c>
      <c r="J45" s="29" t="str">
        <f aca="false">IF($B45="","",ROUNDUP($E45*0.08,0))</f>
        <v/>
      </c>
      <c r="K45" s="29" t="str">
        <f aca="false">IF($B45="","",ROUNDUP($E45*0.015,0))</f>
        <v/>
      </c>
      <c r="L45" s="29" t="str">
        <f aca="false">IF($B45="","",ROUNDUP($E45*0.01,0))</f>
        <v/>
      </c>
      <c r="M45" s="29" t="str">
        <f aca="false">IF(B45="","",SUM(J45:L45))</f>
        <v/>
      </c>
      <c r="N45" s="29" t="str">
        <f aca="false">IF(B45="","",I45+M45)</f>
        <v/>
      </c>
    </row>
    <row r="46" customFormat="false" ht="15" hidden="false" customHeight="false" outlineLevel="0" collapsed="false">
      <c r="A46" s="18" t="str">
        <f aca="false">IF(B46="","",ROW()-4)</f>
        <v/>
      </c>
      <c r="B46" s="28" t="str">
        <f aca="false">IF(LUONG!B47="","",IF(LUONG!J47="Có",LUONG!B47,""))</f>
        <v/>
      </c>
      <c r="C46" s="18" t="str">
        <f aca="false">IF(B46="","",LUONG!C47)</f>
        <v/>
      </c>
      <c r="D46" s="18" t="str">
        <f aca="false">IF(B46="","",LUONG!D47)</f>
        <v/>
      </c>
      <c r="E46" s="29" t="str">
        <f aca="false">IF(B46="","",LUONG!I47)</f>
        <v/>
      </c>
      <c r="F46" s="29" t="str">
        <f aca="false">IF($B46="","",ROUNDUP($E46*0.175,0))</f>
        <v/>
      </c>
      <c r="G46" s="29" t="str">
        <f aca="false">IF($B46="","",ROUNDUP($E46*0.03,0))</f>
        <v/>
      </c>
      <c r="H46" s="29" t="str">
        <f aca="false">IF($B46="","",ROUNDUP($E46*0.01,0))</f>
        <v/>
      </c>
      <c r="I46" s="29" t="str">
        <f aca="false">IF(B46="","",SUM(F46:H46))</f>
        <v/>
      </c>
      <c r="J46" s="29" t="str">
        <f aca="false">IF($B46="","",ROUNDUP($E46*0.08,0))</f>
        <v/>
      </c>
      <c r="K46" s="29" t="str">
        <f aca="false">IF($B46="","",ROUNDUP($E46*0.015,0))</f>
        <v/>
      </c>
      <c r="L46" s="29" t="str">
        <f aca="false">IF($B46="","",ROUNDUP($E46*0.01,0))</f>
        <v/>
      </c>
      <c r="M46" s="29" t="str">
        <f aca="false">IF(B46="","",SUM(J46:L46))</f>
        <v/>
      </c>
      <c r="N46" s="29" t="str">
        <f aca="false">IF(B46="","",I46+M46)</f>
        <v/>
      </c>
    </row>
    <row r="47" customFormat="false" ht="15" hidden="false" customHeight="false" outlineLevel="0" collapsed="false">
      <c r="A47" s="18" t="str">
        <f aca="false">IF(B47="","",ROW()-4)</f>
        <v/>
      </c>
      <c r="B47" s="28" t="str">
        <f aca="false">IF(LUONG!B48="","",IF(LUONG!J48="Có",LUONG!B48,""))</f>
        <v/>
      </c>
      <c r="C47" s="18" t="str">
        <f aca="false">IF(B47="","",LUONG!C48)</f>
        <v/>
      </c>
      <c r="D47" s="18" t="str">
        <f aca="false">IF(B47="","",LUONG!D48)</f>
        <v/>
      </c>
      <c r="E47" s="29" t="str">
        <f aca="false">IF(B47="","",LUONG!I48)</f>
        <v/>
      </c>
      <c r="F47" s="29" t="str">
        <f aca="false">IF($B47="","",ROUNDUP($E47*0.175,0))</f>
        <v/>
      </c>
      <c r="G47" s="29" t="str">
        <f aca="false">IF($B47="","",ROUNDUP($E47*0.03,0))</f>
        <v/>
      </c>
      <c r="H47" s="29" t="str">
        <f aca="false">IF($B47="","",ROUNDUP($E47*0.01,0))</f>
        <v/>
      </c>
      <c r="I47" s="29" t="str">
        <f aca="false">IF(B47="","",SUM(F47:H47))</f>
        <v/>
      </c>
      <c r="J47" s="29" t="str">
        <f aca="false">IF($B47="","",ROUNDUP($E47*0.08,0))</f>
        <v/>
      </c>
      <c r="K47" s="29" t="str">
        <f aca="false">IF($B47="","",ROUNDUP($E47*0.015,0))</f>
        <v/>
      </c>
      <c r="L47" s="29" t="str">
        <f aca="false">IF($B47="","",ROUNDUP($E47*0.01,0))</f>
        <v/>
      </c>
      <c r="M47" s="29" t="str">
        <f aca="false">IF(B47="","",SUM(J47:L47))</f>
        <v/>
      </c>
      <c r="N47" s="29" t="str">
        <f aca="false">IF(B47="","",I47+M47)</f>
        <v/>
      </c>
    </row>
    <row r="48" customFormat="false" ht="15" hidden="false" customHeight="false" outlineLevel="0" collapsed="false">
      <c r="A48" s="18" t="str">
        <f aca="false">IF(B48="","",ROW()-4)</f>
        <v/>
      </c>
      <c r="B48" s="28" t="str">
        <f aca="false">IF(LUONG!B49="","",IF(LUONG!J49="Có",LUONG!B49,""))</f>
        <v/>
      </c>
      <c r="C48" s="18" t="str">
        <f aca="false">IF(B48="","",LUONG!C49)</f>
        <v/>
      </c>
      <c r="D48" s="18" t="str">
        <f aca="false">IF(B48="","",LUONG!D49)</f>
        <v/>
      </c>
      <c r="E48" s="29" t="str">
        <f aca="false">IF(B48="","",LUONG!I49)</f>
        <v/>
      </c>
      <c r="F48" s="29" t="str">
        <f aca="false">IF($B48="","",ROUNDUP($E48*0.175,0))</f>
        <v/>
      </c>
      <c r="G48" s="29" t="str">
        <f aca="false">IF($B48="","",ROUNDUP($E48*0.03,0))</f>
        <v/>
      </c>
      <c r="H48" s="29" t="str">
        <f aca="false">IF($B48="","",ROUNDUP($E48*0.01,0))</f>
        <v/>
      </c>
      <c r="I48" s="29" t="str">
        <f aca="false">IF(B48="","",SUM(F48:H48))</f>
        <v/>
      </c>
      <c r="J48" s="29" t="str">
        <f aca="false">IF($B48="","",ROUNDUP($E48*0.08,0))</f>
        <v/>
      </c>
      <c r="K48" s="29" t="str">
        <f aca="false">IF($B48="","",ROUNDUP($E48*0.015,0))</f>
        <v/>
      </c>
      <c r="L48" s="29" t="str">
        <f aca="false">IF($B48="","",ROUNDUP($E48*0.01,0))</f>
        <v/>
      </c>
      <c r="M48" s="29" t="str">
        <f aca="false">IF(B48="","",SUM(J48:L48))</f>
        <v/>
      </c>
      <c r="N48" s="29" t="str">
        <f aca="false">IF(B48="","",I48+M48)</f>
        <v/>
      </c>
    </row>
    <row r="49" customFormat="false" ht="15" hidden="false" customHeight="false" outlineLevel="0" collapsed="false">
      <c r="A49" s="18" t="str">
        <f aca="false">IF(B49="","",ROW()-4)</f>
        <v/>
      </c>
      <c r="B49" s="28" t="str">
        <f aca="false">IF(LUONG!B50="","",IF(LUONG!J50="Có",LUONG!B50,""))</f>
        <v/>
      </c>
      <c r="C49" s="18" t="str">
        <f aca="false">IF(B49="","",LUONG!C50)</f>
        <v/>
      </c>
      <c r="D49" s="18" t="str">
        <f aca="false">IF(B49="","",LUONG!D50)</f>
        <v/>
      </c>
      <c r="E49" s="29" t="str">
        <f aca="false">IF(B49="","",LUONG!I50)</f>
        <v/>
      </c>
      <c r="F49" s="29" t="str">
        <f aca="false">IF($B49="","",ROUNDUP($E49*0.175,0))</f>
        <v/>
      </c>
      <c r="G49" s="29" t="str">
        <f aca="false">IF($B49="","",ROUNDUP($E49*0.03,0))</f>
        <v/>
      </c>
      <c r="H49" s="29" t="str">
        <f aca="false">IF($B49="","",ROUNDUP($E49*0.01,0))</f>
        <v/>
      </c>
      <c r="I49" s="29" t="str">
        <f aca="false">IF(B49="","",SUM(F49:H49))</f>
        <v/>
      </c>
      <c r="J49" s="29" t="str">
        <f aca="false">IF($B49="","",ROUNDUP($E49*0.08,0))</f>
        <v/>
      </c>
      <c r="K49" s="29" t="str">
        <f aca="false">IF($B49="","",ROUNDUP($E49*0.015,0))</f>
        <v/>
      </c>
      <c r="L49" s="29" t="str">
        <f aca="false">IF($B49="","",ROUNDUP($E49*0.01,0))</f>
        <v/>
      </c>
      <c r="M49" s="29" t="str">
        <f aca="false">IF(B49="","",SUM(J49:L49))</f>
        <v/>
      </c>
      <c r="N49" s="29" t="str">
        <f aca="false">IF(B49="","",I49+M49)</f>
        <v/>
      </c>
    </row>
    <row r="50" customFormat="false" ht="15" hidden="false" customHeight="false" outlineLevel="0" collapsed="false">
      <c r="A50" s="18" t="str">
        <f aca="false">IF(B50="","",ROW()-4)</f>
        <v/>
      </c>
      <c r="B50" s="28" t="str">
        <f aca="false">IF(LUONG!B51="","",IF(LUONG!J51="Có",LUONG!B51,""))</f>
        <v/>
      </c>
      <c r="C50" s="18" t="str">
        <f aca="false">IF(B50="","",LUONG!C51)</f>
        <v/>
      </c>
      <c r="D50" s="18" t="str">
        <f aca="false">IF(B50="","",LUONG!D51)</f>
        <v/>
      </c>
      <c r="E50" s="29" t="str">
        <f aca="false">IF(B50="","",LUONG!I51)</f>
        <v/>
      </c>
      <c r="F50" s="29" t="str">
        <f aca="false">IF($B50="","",ROUNDUP($E50*0.175,0))</f>
        <v/>
      </c>
      <c r="G50" s="29" t="str">
        <f aca="false">IF($B50="","",ROUNDUP($E50*0.03,0))</f>
        <v/>
      </c>
      <c r="H50" s="29" t="str">
        <f aca="false">IF($B50="","",ROUNDUP($E50*0.01,0))</f>
        <v/>
      </c>
      <c r="I50" s="29" t="str">
        <f aca="false">IF(B50="","",SUM(F50:H50))</f>
        <v/>
      </c>
      <c r="J50" s="29" t="str">
        <f aca="false">IF($B50="","",ROUNDUP($E50*0.08,0))</f>
        <v/>
      </c>
      <c r="K50" s="29" t="str">
        <f aca="false">IF($B50="","",ROUNDUP($E50*0.015,0))</f>
        <v/>
      </c>
      <c r="L50" s="29" t="str">
        <f aca="false">IF($B50="","",ROUNDUP($E50*0.01,0))</f>
        <v/>
      </c>
      <c r="M50" s="29" t="str">
        <f aca="false">IF(B50="","",SUM(J50:L50))</f>
        <v/>
      </c>
      <c r="N50" s="29" t="str">
        <f aca="false">IF(B50="","",I50+M50)</f>
        <v/>
      </c>
    </row>
    <row r="51" customFormat="false" ht="15" hidden="false" customHeight="false" outlineLevel="0" collapsed="false">
      <c r="A51" s="18" t="str">
        <f aca="false">IF(B51="","",ROW()-4)</f>
        <v/>
      </c>
      <c r="B51" s="28" t="str">
        <f aca="false">IF(LUONG!B52="","",IF(LUONG!J52="Có",LUONG!B52,""))</f>
        <v/>
      </c>
      <c r="C51" s="18" t="str">
        <f aca="false">IF(B51="","",LUONG!C52)</f>
        <v/>
      </c>
      <c r="D51" s="18" t="str">
        <f aca="false">IF(B51="","",LUONG!D52)</f>
        <v/>
      </c>
      <c r="E51" s="29" t="str">
        <f aca="false">IF(B51="","",LUONG!I52)</f>
        <v/>
      </c>
      <c r="F51" s="29" t="str">
        <f aca="false">IF($B51="","",ROUNDUP($E51*0.175,0))</f>
        <v/>
      </c>
      <c r="G51" s="29" t="str">
        <f aca="false">IF($B51="","",ROUNDUP($E51*0.03,0))</f>
        <v/>
      </c>
      <c r="H51" s="29" t="str">
        <f aca="false">IF($B51="","",ROUNDUP($E51*0.01,0))</f>
        <v/>
      </c>
      <c r="I51" s="29" t="str">
        <f aca="false">IF(B51="","",SUM(F51:H51))</f>
        <v/>
      </c>
      <c r="J51" s="29" t="str">
        <f aca="false">IF($B51="","",ROUNDUP($E51*0.08,0))</f>
        <v/>
      </c>
      <c r="K51" s="29" t="str">
        <f aca="false">IF($B51="","",ROUNDUP($E51*0.015,0))</f>
        <v/>
      </c>
      <c r="L51" s="29" t="str">
        <f aca="false">IF($B51="","",ROUNDUP($E51*0.01,0))</f>
        <v/>
      </c>
      <c r="M51" s="29" t="str">
        <f aca="false">IF(B51="","",SUM(J51:L51))</f>
        <v/>
      </c>
      <c r="N51" s="29" t="str">
        <f aca="false">IF(B51="","",I51+M51)</f>
        <v/>
      </c>
    </row>
    <row r="52" customFormat="false" ht="15" hidden="false" customHeight="false" outlineLevel="0" collapsed="false">
      <c r="A52" s="18" t="str">
        <f aca="false">IF(B52="","",ROW()-4)</f>
        <v/>
      </c>
      <c r="B52" s="28" t="str">
        <f aca="false">IF(LUONG!B53="","",IF(LUONG!J53="Có",LUONG!B53,""))</f>
        <v/>
      </c>
      <c r="C52" s="18" t="str">
        <f aca="false">IF(B52="","",LUONG!C53)</f>
        <v/>
      </c>
      <c r="D52" s="18" t="str">
        <f aca="false">IF(B52="","",LUONG!D53)</f>
        <v/>
      </c>
      <c r="E52" s="29" t="str">
        <f aca="false">IF(B52="","",LUONG!I53)</f>
        <v/>
      </c>
      <c r="F52" s="29" t="str">
        <f aca="false">IF($B52="","",ROUNDUP($E52*0.175,0))</f>
        <v/>
      </c>
      <c r="G52" s="29" t="str">
        <f aca="false">IF($B52="","",ROUNDUP($E52*0.03,0))</f>
        <v/>
      </c>
      <c r="H52" s="29" t="str">
        <f aca="false">IF($B52="","",ROUNDUP($E52*0.01,0))</f>
        <v/>
      </c>
      <c r="I52" s="29" t="str">
        <f aca="false">IF(B52="","",SUM(F52:H52))</f>
        <v/>
      </c>
      <c r="J52" s="29" t="str">
        <f aca="false">IF($B52="","",ROUNDUP($E52*0.08,0))</f>
        <v/>
      </c>
      <c r="K52" s="29" t="str">
        <f aca="false">IF($B52="","",ROUNDUP($E52*0.015,0))</f>
        <v/>
      </c>
      <c r="L52" s="29" t="str">
        <f aca="false">IF($B52="","",ROUNDUP($E52*0.01,0))</f>
        <v/>
      </c>
      <c r="M52" s="29" t="str">
        <f aca="false">IF(B52="","",SUM(J52:L52))</f>
        <v/>
      </c>
      <c r="N52" s="29" t="str">
        <f aca="false">IF(B52="","",I52+M52)</f>
        <v/>
      </c>
    </row>
    <row r="53" customFormat="false" ht="15" hidden="false" customHeight="false" outlineLevel="0" collapsed="false">
      <c r="A53" s="18" t="str">
        <f aca="false">IF(B53="","",ROW()-4)</f>
        <v/>
      </c>
      <c r="B53" s="28" t="str">
        <f aca="false">IF(LUONG!B54="","",IF(LUONG!J54="Có",LUONG!B54,""))</f>
        <v/>
      </c>
      <c r="C53" s="18" t="str">
        <f aca="false">IF(B53="","",LUONG!C54)</f>
        <v/>
      </c>
      <c r="D53" s="18" t="str">
        <f aca="false">IF(B53="","",LUONG!D54)</f>
        <v/>
      </c>
      <c r="E53" s="29" t="str">
        <f aca="false">IF(B53="","",LUONG!I54)</f>
        <v/>
      </c>
      <c r="F53" s="29" t="str">
        <f aca="false">IF($B53="","",ROUNDUP($E53*0.175,0))</f>
        <v/>
      </c>
      <c r="G53" s="29" t="str">
        <f aca="false">IF($B53="","",ROUNDUP($E53*0.03,0))</f>
        <v/>
      </c>
      <c r="H53" s="29" t="str">
        <f aca="false">IF($B53="","",ROUNDUP($E53*0.01,0))</f>
        <v/>
      </c>
      <c r="I53" s="29" t="str">
        <f aca="false">IF(B53="","",SUM(F53:H53))</f>
        <v/>
      </c>
      <c r="J53" s="29" t="str">
        <f aca="false">IF($B53="","",ROUNDUP($E53*0.08,0))</f>
        <v/>
      </c>
      <c r="K53" s="29" t="str">
        <f aca="false">IF($B53="","",ROUNDUP($E53*0.015,0))</f>
        <v/>
      </c>
      <c r="L53" s="29" t="str">
        <f aca="false">IF($B53="","",ROUNDUP($E53*0.01,0))</f>
        <v/>
      </c>
      <c r="M53" s="29" t="str">
        <f aca="false">IF(B53="","",SUM(J53:L53))</f>
        <v/>
      </c>
      <c r="N53" s="29" t="str">
        <f aca="false">IF(B53="","",I53+M53)</f>
        <v/>
      </c>
    </row>
    <row r="54" customFormat="false" ht="15" hidden="false" customHeight="false" outlineLevel="0" collapsed="false">
      <c r="A54" s="18" t="str">
        <f aca="false">IF(B54="","",ROW()-4)</f>
        <v/>
      </c>
      <c r="B54" s="28" t="str">
        <f aca="false">IF(LUONG!B55="","",IF(LUONG!J55="Có",LUONG!B55,""))</f>
        <v/>
      </c>
      <c r="C54" s="18" t="str">
        <f aca="false">IF(B54="","",LUONG!C55)</f>
        <v/>
      </c>
      <c r="D54" s="18" t="str">
        <f aca="false">IF(B54="","",LUONG!D55)</f>
        <v/>
      </c>
      <c r="E54" s="29" t="str">
        <f aca="false">IF(B54="","",LUONG!I55)</f>
        <v/>
      </c>
      <c r="F54" s="29" t="str">
        <f aca="false">IF($B54="","",ROUNDUP($E54*0.175,0))</f>
        <v/>
      </c>
      <c r="G54" s="29" t="str">
        <f aca="false">IF($B54="","",ROUNDUP($E54*0.03,0))</f>
        <v/>
      </c>
      <c r="H54" s="29" t="str">
        <f aca="false">IF($B54="","",ROUNDUP($E54*0.01,0))</f>
        <v/>
      </c>
      <c r="I54" s="29" t="str">
        <f aca="false">IF(B54="","",SUM(F54:H54))</f>
        <v/>
      </c>
      <c r="J54" s="29" t="str">
        <f aca="false">IF($B54="","",ROUNDUP($E54*0.08,0))</f>
        <v/>
      </c>
      <c r="K54" s="29" t="str">
        <f aca="false">IF($B54="","",ROUNDUP($E54*0.015,0))</f>
        <v/>
      </c>
      <c r="L54" s="29" t="str">
        <f aca="false">IF($B54="","",ROUNDUP($E54*0.01,0))</f>
        <v/>
      </c>
      <c r="M54" s="29" t="str">
        <f aca="false">IF(B54="","",SUM(J54:L54))</f>
        <v/>
      </c>
      <c r="N54" s="29" t="str">
        <f aca="false">IF(B54="","",I54+M54)</f>
        <v/>
      </c>
    </row>
    <row r="55" customFormat="false" ht="15" hidden="false" customHeight="false" outlineLevel="0" collapsed="false">
      <c r="A55" s="18" t="str">
        <f aca="false">IF(B55="","",ROW()-4)</f>
        <v/>
      </c>
      <c r="B55" s="28" t="str">
        <f aca="false">IF(LUONG!B56="","",IF(LUONG!J56="Có",LUONG!B56,""))</f>
        <v/>
      </c>
      <c r="C55" s="18" t="str">
        <f aca="false">IF(B55="","",LUONG!C56)</f>
        <v/>
      </c>
      <c r="D55" s="18" t="str">
        <f aca="false">IF(B55="","",LUONG!D56)</f>
        <v/>
      </c>
      <c r="E55" s="29" t="str">
        <f aca="false">IF(B55="","",LUONG!I56)</f>
        <v/>
      </c>
      <c r="F55" s="29" t="str">
        <f aca="false">IF($B55="","",ROUNDUP($E55*0.175,0))</f>
        <v/>
      </c>
      <c r="G55" s="29" t="str">
        <f aca="false">IF($B55="","",ROUNDUP($E55*0.03,0))</f>
        <v/>
      </c>
      <c r="H55" s="29" t="str">
        <f aca="false">IF($B55="","",ROUNDUP($E55*0.01,0))</f>
        <v/>
      </c>
      <c r="I55" s="29" t="str">
        <f aca="false">IF(B55="","",SUM(F55:H55))</f>
        <v/>
      </c>
      <c r="J55" s="29" t="str">
        <f aca="false">IF($B55="","",ROUNDUP($E55*0.08,0))</f>
        <v/>
      </c>
      <c r="K55" s="29" t="str">
        <f aca="false">IF($B55="","",ROUNDUP($E55*0.015,0))</f>
        <v/>
      </c>
      <c r="L55" s="29" t="str">
        <f aca="false">IF($B55="","",ROUNDUP($E55*0.01,0))</f>
        <v/>
      </c>
      <c r="M55" s="29" t="str">
        <f aca="false">IF(B55="","",SUM(J55:L55))</f>
        <v/>
      </c>
      <c r="N55" s="29" t="str">
        <f aca="false">IF(B55="","",I55+M55)</f>
        <v/>
      </c>
    </row>
    <row r="56" customFormat="false" ht="15" hidden="false" customHeight="false" outlineLevel="0" collapsed="false">
      <c r="A56" s="18" t="str">
        <f aca="false">IF(B56="","",ROW()-4)</f>
        <v/>
      </c>
      <c r="B56" s="28" t="str">
        <f aca="false">IF(LUONG!B57="","",IF(LUONG!J57="Có",LUONG!B57,""))</f>
        <v/>
      </c>
      <c r="C56" s="18" t="str">
        <f aca="false">IF(B56="","",LUONG!C57)</f>
        <v/>
      </c>
      <c r="D56" s="18" t="str">
        <f aca="false">IF(B56="","",LUONG!D57)</f>
        <v/>
      </c>
      <c r="E56" s="29" t="str">
        <f aca="false">IF(B56="","",LUONG!I57)</f>
        <v/>
      </c>
      <c r="F56" s="29" t="str">
        <f aca="false">IF($B56="","",ROUNDUP($E56*0.175,0))</f>
        <v/>
      </c>
      <c r="G56" s="29" t="str">
        <f aca="false">IF($B56="","",ROUNDUP($E56*0.03,0))</f>
        <v/>
      </c>
      <c r="H56" s="29" t="str">
        <f aca="false">IF($B56="","",ROUNDUP($E56*0.01,0))</f>
        <v/>
      </c>
      <c r="I56" s="29" t="str">
        <f aca="false">IF(B56="","",SUM(F56:H56))</f>
        <v/>
      </c>
      <c r="J56" s="29" t="str">
        <f aca="false">IF($B56="","",ROUNDUP($E56*0.08,0))</f>
        <v/>
      </c>
      <c r="K56" s="29" t="str">
        <f aca="false">IF($B56="","",ROUNDUP($E56*0.015,0))</f>
        <v/>
      </c>
      <c r="L56" s="29" t="str">
        <f aca="false">IF($B56="","",ROUNDUP($E56*0.01,0))</f>
        <v/>
      </c>
      <c r="M56" s="29" t="str">
        <f aca="false">IF(B56="","",SUM(J56:L56))</f>
        <v/>
      </c>
      <c r="N56" s="29" t="str">
        <f aca="false">IF(B56="","",I56+M56)</f>
        <v/>
      </c>
    </row>
    <row r="57" customFormat="false" ht="15" hidden="false" customHeight="false" outlineLevel="0" collapsed="false">
      <c r="A57" s="18" t="str">
        <f aca="false">IF(B57="","",ROW()-4)</f>
        <v/>
      </c>
      <c r="B57" s="28" t="str">
        <f aca="false">IF(LUONG!B58="","",IF(LUONG!J58="Có",LUONG!B58,""))</f>
        <v/>
      </c>
      <c r="C57" s="18" t="str">
        <f aca="false">IF(B57="","",LUONG!C58)</f>
        <v/>
      </c>
      <c r="D57" s="18" t="str">
        <f aca="false">IF(B57="","",LUONG!D58)</f>
        <v/>
      </c>
      <c r="E57" s="29" t="str">
        <f aca="false">IF(B57="","",LUONG!I58)</f>
        <v/>
      </c>
      <c r="F57" s="29" t="str">
        <f aca="false">IF($B57="","",ROUNDUP($E57*0.175,0))</f>
        <v/>
      </c>
      <c r="G57" s="29" t="str">
        <f aca="false">IF($B57="","",ROUNDUP($E57*0.03,0))</f>
        <v/>
      </c>
      <c r="H57" s="29" t="str">
        <f aca="false">IF($B57="","",ROUNDUP($E57*0.01,0))</f>
        <v/>
      </c>
      <c r="I57" s="29" t="str">
        <f aca="false">IF(B57="","",SUM(F57:H57))</f>
        <v/>
      </c>
      <c r="J57" s="29" t="str">
        <f aca="false">IF($B57="","",ROUNDUP($E57*0.08,0))</f>
        <v/>
      </c>
      <c r="K57" s="29" t="str">
        <f aca="false">IF($B57="","",ROUNDUP($E57*0.015,0))</f>
        <v/>
      </c>
      <c r="L57" s="29" t="str">
        <f aca="false">IF($B57="","",ROUNDUP($E57*0.01,0))</f>
        <v/>
      </c>
      <c r="M57" s="29" t="str">
        <f aca="false">IF(B57="","",SUM(J57:L57))</f>
        <v/>
      </c>
      <c r="N57" s="29" t="str">
        <f aca="false">IF(B57="","",I57+M57)</f>
        <v/>
      </c>
    </row>
    <row r="58" customFormat="false" ht="15" hidden="false" customHeight="false" outlineLevel="0" collapsed="false">
      <c r="A58" s="18" t="str">
        <f aca="false">IF(B58="","",ROW()-4)</f>
        <v/>
      </c>
      <c r="B58" s="28" t="str">
        <f aca="false">IF(LUONG!B59="","",IF(LUONG!J59="Có",LUONG!B59,""))</f>
        <v/>
      </c>
      <c r="C58" s="18" t="str">
        <f aca="false">IF(B58="","",LUONG!C59)</f>
        <v/>
      </c>
      <c r="D58" s="18" t="str">
        <f aca="false">IF(B58="","",LUONG!D59)</f>
        <v/>
      </c>
      <c r="E58" s="29" t="str">
        <f aca="false">IF(B58="","",LUONG!I59)</f>
        <v/>
      </c>
      <c r="F58" s="29" t="str">
        <f aca="false">IF($B58="","",ROUNDUP($E58*0.175,0))</f>
        <v/>
      </c>
      <c r="G58" s="29" t="str">
        <f aca="false">IF($B58="","",ROUNDUP($E58*0.03,0))</f>
        <v/>
      </c>
      <c r="H58" s="29" t="str">
        <f aca="false">IF($B58="","",ROUNDUP($E58*0.01,0))</f>
        <v/>
      </c>
      <c r="I58" s="29" t="str">
        <f aca="false">IF(B58="","",SUM(F58:H58))</f>
        <v/>
      </c>
      <c r="J58" s="29" t="str">
        <f aca="false">IF($B58="","",ROUNDUP($E58*0.08,0))</f>
        <v/>
      </c>
      <c r="K58" s="29" t="str">
        <f aca="false">IF($B58="","",ROUNDUP($E58*0.015,0))</f>
        <v/>
      </c>
      <c r="L58" s="29" t="str">
        <f aca="false">IF($B58="","",ROUNDUP($E58*0.01,0))</f>
        <v/>
      </c>
      <c r="M58" s="29" t="str">
        <f aca="false">IF(B58="","",SUM(J58:L58))</f>
        <v/>
      </c>
      <c r="N58" s="29" t="str">
        <f aca="false">IF(B58="","",I58+M58)</f>
        <v/>
      </c>
    </row>
    <row r="59" customFormat="false" ht="15" hidden="false" customHeight="false" outlineLevel="0" collapsed="false">
      <c r="A59" s="18" t="str">
        <f aca="false">IF(B59="","",ROW()-4)</f>
        <v/>
      </c>
      <c r="B59" s="28" t="str">
        <f aca="false">IF(LUONG!B60="","",IF(LUONG!J60="Có",LUONG!B60,""))</f>
        <v/>
      </c>
      <c r="C59" s="18" t="str">
        <f aca="false">IF(B59="","",LUONG!C60)</f>
        <v/>
      </c>
      <c r="D59" s="18" t="str">
        <f aca="false">IF(B59="","",LUONG!D60)</f>
        <v/>
      </c>
      <c r="E59" s="29" t="str">
        <f aca="false">IF(B59="","",LUONG!I60)</f>
        <v/>
      </c>
      <c r="F59" s="29" t="str">
        <f aca="false">IF($B59="","",ROUNDUP($E59*0.175,0))</f>
        <v/>
      </c>
      <c r="G59" s="29" t="str">
        <f aca="false">IF($B59="","",ROUNDUP($E59*0.03,0))</f>
        <v/>
      </c>
      <c r="H59" s="29" t="str">
        <f aca="false">IF($B59="","",ROUNDUP($E59*0.01,0))</f>
        <v/>
      </c>
      <c r="I59" s="29" t="str">
        <f aca="false">IF(B59="","",SUM(F59:H59))</f>
        <v/>
      </c>
      <c r="J59" s="29" t="str">
        <f aca="false">IF($B59="","",ROUNDUP($E59*0.08,0))</f>
        <v/>
      </c>
      <c r="K59" s="29" t="str">
        <f aca="false">IF($B59="","",ROUNDUP($E59*0.015,0))</f>
        <v/>
      </c>
      <c r="L59" s="29" t="str">
        <f aca="false">IF($B59="","",ROUNDUP($E59*0.01,0))</f>
        <v/>
      </c>
      <c r="M59" s="29" t="str">
        <f aca="false">IF(B59="","",SUM(J59:L59))</f>
        <v/>
      </c>
      <c r="N59" s="29" t="str">
        <f aca="false">IF(B59="","",I59+M59)</f>
        <v/>
      </c>
    </row>
    <row r="60" customFormat="false" ht="15" hidden="false" customHeight="false" outlineLevel="0" collapsed="false">
      <c r="A60" s="18" t="str">
        <f aca="false">IF(B60="","",ROW()-4)</f>
        <v/>
      </c>
      <c r="B60" s="28" t="str">
        <f aca="false">IF(LUONG!B61="","",IF(LUONG!J61="Có",LUONG!B61,""))</f>
        <v/>
      </c>
      <c r="C60" s="18" t="str">
        <f aca="false">IF(B60="","",LUONG!C61)</f>
        <v/>
      </c>
      <c r="D60" s="18" t="str">
        <f aca="false">IF(B60="","",LUONG!D61)</f>
        <v/>
      </c>
      <c r="E60" s="29" t="str">
        <f aca="false">IF(B60="","",LUONG!I61)</f>
        <v/>
      </c>
      <c r="F60" s="29" t="str">
        <f aca="false">IF($B60="","",ROUNDUP($E60*0.175,0))</f>
        <v/>
      </c>
      <c r="G60" s="29" t="str">
        <f aca="false">IF($B60="","",ROUNDUP($E60*0.03,0))</f>
        <v/>
      </c>
      <c r="H60" s="29" t="str">
        <f aca="false">IF($B60="","",ROUNDUP($E60*0.01,0))</f>
        <v/>
      </c>
      <c r="I60" s="29" t="str">
        <f aca="false">IF(B60="","",SUM(F60:H60))</f>
        <v/>
      </c>
      <c r="J60" s="29" t="str">
        <f aca="false">IF($B60="","",ROUNDUP($E60*0.08,0))</f>
        <v/>
      </c>
      <c r="K60" s="29" t="str">
        <f aca="false">IF($B60="","",ROUNDUP($E60*0.015,0))</f>
        <v/>
      </c>
      <c r="L60" s="29" t="str">
        <f aca="false">IF($B60="","",ROUNDUP($E60*0.01,0))</f>
        <v/>
      </c>
      <c r="M60" s="29" t="str">
        <f aca="false">IF(B60="","",SUM(J60:L60))</f>
        <v/>
      </c>
      <c r="N60" s="29" t="str">
        <f aca="false">IF(B60="","",I60+M60)</f>
        <v/>
      </c>
    </row>
    <row r="61" customFormat="false" ht="15" hidden="false" customHeight="false" outlineLevel="0" collapsed="false">
      <c r="A61" s="18" t="str">
        <f aca="false">IF(B61="","",ROW()-4)</f>
        <v/>
      </c>
      <c r="B61" s="28" t="str">
        <f aca="false">IF(LUONG!B62="","",IF(LUONG!J62="Có",LUONG!B62,""))</f>
        <v/>
      </c>
      <c r="C61" s="18" t="str">
        <f aca="false">IF(B61="","",LUONG!C62)</f>
        <v/>
      </c>
      <c r="D61" s="18" t="str">
        <f aca="false">IF(B61="","",LUONG!D62)</f>
        <v/>
      </c>
      <c r="E61" s="29" t="str">
        <f aca="false">IF(B61="","",LUONG!I62)</f>
        <v/>
      </c>
      <c r="F61" s="29" t="str">
        <f aca="false">IF($B61="","",ROUNDUP($E61*0.175,0))</f>
        <v/>
      </c>
      <c r="G61" s="29" t="str">
        <f aca="false">IF($B61="","",ROUNDUP($E61*0.03,0))</f>
        <v/>
      </c>
      <c r="H61" s="29" t="str">
        <f aca="false">IF($B61="","",ROUNDUP($E61*0.01,0))</f>
        <v/>
      </c>
      <c r="I61" s="29" t="str">
        <f aca="false">IF(B61="","",SUM(F61:H61))</f>
        <v/>
      </c>
      <c r="J61" s="29" t="str">
        <f aca="false">IF($B61="","",ROUNDUP($E61*0.08,0))</f>
        <v/>
      </c>
      <c r="K61" s="29" t="str">
        <f aca="false">IF($B61="","",ROUNDUP($E61*0.015,0))</f>
        <v/>
      </c>
      <c r="L61" s="29" t="str">
        <f aca="false">IF($B61="","",ROUNDUP($E61*0.01,0))</f>
        <v/>
      </c>
      <c r="M61" s="29" t="str">
        <f aca="false">IF(B61="","",SUM(J61:L61))</f>
        <v/>
      </c>
      <c r="N61" s="29" t="str">
        <f aca="false">IF(B61="","",I61+M61)</f>
        <v/>
      </c>
    </row>
    <row r="62" customFormat="false" ht="15" hidden="false" customHeight="false" outlineLevel="0" collapsed="false">
      <c r="A62" s="18" t="str">
        <f aca="false">IF(B62="","",ROW()-4)</f>
        <v/>
      </c>
      <c r="B62" s="28" t="str">
        <f aca="false">IF(LUONG!B63="","",IF(LUONG!J63="Có",LUONG!B63,""))</f>
        <v/>
      </c>
      <c r="C62" s="18" t="str">
        <f aca="false">IF(B62="","",LUONG!C63)</f>
        <v/>
      </c>
      <c r="D62" s="18" t="str">
        <f aca="false">IF(B62="","",LUONG!D63)</f>
        <v/>
      </c>
      <c r="E62" s="29" t="str">
        <f aca="false">IF(B62="","",LUONG!I63)</f>
        <v/>
      </c>
      <c r="F62" s="29" t="str">
        <f aca="false">IF($B62="","",ROUNDUP($E62*0.175,0))</f>
        <v/>
      </c>
      <c r="G62" s="29" t="str">
        <f aca="false">IF($B62="","",ROUNDUP($E62*0.03,0))</f>
        <v/>
      </c>
      <c r="H62" s="29" t="str">
        <f aca="false">IF($B62="","",ROUNDUP($E62*0.01,0))</f>
        <v/>
      </c>
      <c r="I62" s="29" t="str">
        <f aca="false">IF(B62="","",SUM(F62:H62))</f>
        <v/>
      </c>
      <c r="J62" s="29" t="str">
        <f aca="false">IF($B62="","",ROUNDUP($E62*0.08,0))</f>
        <v/>
      </c>
      <c r="K62" s="29" t="str">
        <f aca="false">IF($B62="","",ROUNDUP($E62*0.015,0))</f>
        <v/>
      </c>
      <c r="L62" s="29" t="str">
        <f aca="false">IF($B62="","",ROUNDUP($E62*0.01,0))</f>
        <v/>
      </c>
      <c r="M62" s="29" t="str">
        <f aca="false">IF(B62="","",SUM(J62:L62))</f>
        <v/>
      </c>
      <c r="N62" s="29" t="str">
        <f aca="false">IF(B62="","",I62+M62)</f>
        <v/>
      </c>
    </row>
    <row r="63" customFormat="false" ht="15" hidden="false" customHeight="false" outlineLevel="0" collapsed="false">
      <c r="A63" s="18" t="str">
        <f aca="false">IF(B63="","",ROW()-4)</f>
        <v/>
      </c>
      <c r="B63" s="28" t="str">
        <f aca="false">IF(LUONG!B64="","",IF(LUONG!J64="Có",LUONG!B64,""))</f>
        <v/>
      </c>
      <c r="C63" s="18" t="str">
        <f aca="false">IF(B63="","",LUONG!C64)</f>
        <v/>
      </c>
      <c r="D63" s="18" t="str">
        <f aca="false">IF(B63="","",LUONG!D64)</f>
        <v/>
      </c>
      <c r="E63" s="29" t="str">
        <f aca="false">IF(B63="","",LUONG!I64)</f>
        <v/>
      </c>
      <c r="F63" s="29" t="str">
        <f aca="false">IF($B63="","",ROUNDUP($E63*0.175,0))</f>
        <v/>
      </c>
      <c r="G63" s="29" t="str">
        <f aca="false">IF($B63="","",ROUNDUP($E63*0.03,0))</f>
        <v/>
      </c>
      <c r="H63" s="29" t="str">
        <f aca="false">IF($B63="","",ROUNDUP($E63*0.01,0))</f>
        <v/>
      </c>
      <c r="I63" s="29" t="str">
        <f aca="false">IF(B63="","",SUM(F63:H63))</f>
        <v/>
      </c>
      <c r="J63" s="29" t="str">
        <f aca="false">IF($B63="","",ROUNDUP($E63*0.08,0))</f>
        <v/>
      </c>
      <c r="K63" s="29" t="str">
        <f aca="false">IF($B63="","",ROUNDUP($E63*0.015,0))</f>
        <v/>
      </c>
      <c r="L63" s="29" t="str">
        <f aca="false">IF($B63="","",ROUNDUP($E63*0.01,0))</f>
        <v/>
      </c>
      <c r="M63" s="29" t="str">
        <f aca="false">IF(B63="","",SUM(J63:L63))</f>
        <v/>
      </c>
      <c r="N63" s="29" t="str">
        <f aca="false">IF(B63="","",I63+M63)</f>
        <v/>
      </c>
    </row>
    <row r="64" customFormat="false" ht="15" hidden="false" customHeight="false" outlineLevel="0" collapsed="false">
      <c r="A64" s="18" t="str">
        <f aca="false">IF(B64="","",ROW()-4)</f>
        <v/>
      </c>
      <c r="B64" s="28" t="str">
        <f aca="false">IF(LUONG!B65="","",IF(LUONG!J65="Có",LUONG!B65,""))</f>
        <v/>
      </c>
      <c r="C64" s="18" t="str">
        <f aca="false">IF(B64="","",LUONG!C65)</f>
        <v/>
      </c>
      <c r="D64" s="18" t="str">
        <f aca="false">IF(B64="","",LUONG!D65)</f>
        <v/>
      </c>
      <c r="E64" s="29" t="str">
        <f aca="false">IF(B64="","",LUONG!I65)</f>
        <v/>
      </c>
      <c r="F64" s="29" t="str">
        <f aca="false">IF($B64="","",ROUNDUP($E64*0.175,0))</f>
        <v/>
      </c>
      <c r="G64" s="29" t="str">
        <f aca="false">IF($B64="","",ROUNDUP($E64*0.03,0))</f>
        <v/>
      </c>
      <c r="H64" s="29" t="str">
        <f aca="false">IF($B64="","",ROUNDUP($E64*0.01,0))</f>
        <v/>
      </c>
      <c r="I64" s="29" t="str">
        <f aca="false">IF(B64="","",SUM(F64:H64))</f>
        <v/>
      </c>
      <c r="J64" s="29" t="str">
        <f aca="false">IF($B64="","",ROUNDUP($E64*0.08,0))</f>
        <v/>
      </c>
      <c r="K64" s="29" t="str">
        <f aca="false">IF($B64="","",ROUNDUP($E64*0.015,0))</f>
        <v/>
      </c>
      <c r="L64" s="29" t="str">
        <f aca="false">IF($B64="","",ROUNDUP($E64*0.01,0))</f>
        <v/>
      </c>
      <c r="M64" s="29" t="str">
        <f aca="false">IF(B64="","",SUM(J64:L64))</f>
        <v/>
      </c>
      <c r="N64" s="29" t="str">
        <f aca="false">IF(B64="","",I64+M64)</f>
        <v/>
      </c>
    </row>
    <row r="65" customFormat="false" ht="15" hidden="false" customHeight="false" outlineLevel="0" collapsed="false">
      <c r="A65" s="18" t="str">
        <f aca="false">IF(B65="","",ROW()-4)</f>
        <v/>
      </c>
      <c r="B65" s="28" t="str">
        <f aca="false">IF(LUONG!B66="","",IF(LUONG!J66="Có",LUONG!B66,""))</f>
        <v/>
      </c>
      <c r="C65" s="18" t="str">
        <f aca="false">IF(B65="","",LUONG!C66)</f>
        <v/>
      </c>
      <c r="D65" s="18" t="str">
        <f aca="false">IF(B65="","",LUONG!D66)</f>
        <v/>
      </c>
      <c r="E65" s="29" t="str">
        <f aca="false">IF(B65="","",LUONG!I66)</f>
        <v/>
      </c>
      <c r="F65" s="29" t="str">
        <f aca="false">IF($B65="","",ROUNDUP($E65*0.175,0))</f>
        <v/>
      </c>
      <c r="G65" s="29" t="str">
        <f aca="false">IF($B65="","",ROUNDUP($E65*0.03,0))</f>
        <v/>
      </c>
      <c r="H65" s="29" t="str">
        <f aca="false">IF($B65="","",ROUNDUP($E65*0.01,0))</f>
        <v/>
      </c>
      <c r="I65" s="29" t="str">
        <f aca="false">IF(B65="","",SUM(F65:H65))</f>
        <v/>
      </c>
      <c r="J65" s="29" t="str">
        <f aca="false">IF($B65="","",ROUNDUP($E65*0.08,0))</f>
        <v/>
      </c>
      <c r="K65" s="29" t="str">
        <f aca="false">IF($B65="","",ROUNDUP($E65*0.015,0))</f>
        <v/>
      </c>
      <c r="L65" s="29" t="str">
        <f aca="false">IF($B65="","",ROUNDUP($E65*0.01,0))</f>
        <v/>
      </c>
      <c r="M65" s="29" t="str">
        <f aca="false">IF(B65="","",SUM(J65:L65))</f>
        <v/>
      </c>
      <c r="N65" s="29" t="str">
        <f aca="false">IF(B65="","",I65+M65)</f>
        <v/>
      </c>
    </row>
    <row r="66" customFormat="false" ht="15" hidden="false" customHeight="false" outlineLevel="0" collapsed="false">
      <c r="A66" s="18" t="str">
        <f aca="false">IF(B66="","",ROW()-4)</f>
        <v/>
      </c>
      <c r="B66" s="28" t="str">
        <f aca="false">IF(LUONG!B67="","",IF(LUONG!J67="Có",LUONG!B67,""))</f>
        <v/>
      </c>
      <c r="C66" s="18" t="str">
        <f aca="false">IF(B66="","",LUONG!C67)</f>
        <v/>
      </c>
      <c r="D66" s="18" t="str">
        <f aca="false">IF(B66="","",LUONG!D67)</f>
        <v/>
      </c>
      <c r="E66" s="29" t="str">
        <f aca="false">IF(B66="","",LUONG!I67)</f>
        <v/>
      </c>
      <c r="F66" s="29" t="str">
        <f aca="false">IF($B66="","",ROUNDUP($E66*0.175,0))</f>
        <v/>
      </c>
      <c r="G66" s="29" t="str">
        <f aca="false">IF($B66="","",ROUNDUP($E66*0.03,0))</f>
        <v/>
      </c>
      <c r="H66" s="29" t="str">
        <f aca="false">IF($B66="","",ROUNDUP($E66*0.01,0))</f>
        <v/>
      </c>
      <c r="I66" s="29" t="str">
        <f aca="false">IF(B66="","",SUM(F66:H66))</f>
        <v/>
      </c>
      <c r="J66" s="29" t="str">
        <f aca="false">IF($B66="","",ROUNDUP($E66*0.08,0))</f>
        <v/>
      </c>
      <c r="K66" s="29" t="str">
        <f aca="false">IF($B66="","",ROUNDUP($E66*0.015,0))</f>
        <v/>
      </c>
      <c r="L66" s="29" t="str">
        <f aca="false">IF($B66="","",ROUNDUP($E66*0.01,0))</f>
        <v/>
      </c>
      <c r="M66" s="29" t="str">
        <f aca="false">IF(B66="","",SUM(J66:L66))</f>
        <v/>
      </c>
      <c r="N66" s="29" t="str">
        <f aca="false">IF(B66="","",I66+M66)</f>
        <v/>
      </c>
    </row>
    <row r="67" customFormat="false" ht="15" hidden="false" customHeight="false" outlineLevel="0" collapsed="false">
      <c r="A67" s="18" t="str">
        <f aca="false">IF(B67="","",ROW()-4)</f>
        <v/>
      </c>
      <c r="B67" s="28" t="str">
        <f aca="false">IF(LUONG!B68="","",IF(LUONG!J68="Có",LUONG!B68,""))</f>
        <v/>
      </c>
      <c r="C67" s="18" t="str">
        <f aca="false">IF(B67="","",LUONG!C68)</f>
        <v/>
      </c>
      <c r="D67" s="18" t="str">
        <f aca="false">IF(B67="","",LUONG!D68)</f>
        <v/>
      </c>
      <c r="E67" s="29" t="str">
        <f aca="false">IF(B67="","",LUONG!I68)</f>
        <v/>
      </c>
      <c r="F67" s="29" t="str">
        <f aca="false">IF($B67="","",ROUNDUP($E67*0.175,0))</f>
        <v/>
      </c>
      <c r="G67" s="29" t="str">
        <f aca="false">IF($B67="","",ROUNDUP($E67*0.03,0))</f>
        <v/>
      </c>
      <c r="H67" s="29" t="str">
        <f aca="false">IF($B67="","",ROUNDUP($E67*0.01,0))</f>
        <v/>
      </c>
      <c r="I67" s="29" t="str">
        <f aca="false">IF(B67="","",SUM(F67:H67))</f>
        <v/>
      </c>
      <c r="J67" s="29" t="str">
        <f aca="false">IF($B67="","",ROUNDUP($E67*0.08,0))</f>
        <v/>
      </c>
      <c r="K67" s="29" t="str">
        <f aca="false">IF($B67="","",ROUNDUP($E67*0.015,0))</f>
        <v/>
      </c>
      <c r="L67" s="29" t="str">
        <f aca="false">IF($B67="","",ROUNDUP($E67*0.01,0))</f>
        <v/>
      </c>
      <c r="M67" s="29" t="str">
        <f aca="false">IF(B67="","",SUM(J67:L67))</f>
        <v/>
      </c>
      <c r="N67" s="29" t="str">
        <f aca="false">IF(B67="","",I67+M67)</f>
        <v/>
      </c>
    </row>
    <row r="68" customFormat="false" ht="15" hidden="false" customHeight="false" outlineLevel="0" collapsed="false">
      <c r="A68" s="18" t="str">
        <f aca="false">IF(B68="","",ROW()-4)</f>
        <v/>
      </c>
      <c r="B68" s="28" t="str">
        <f aca="false">IF(LUONG!B69="","",IF(LUONG!J69="Có",LUONG!B69,""))</f>
        <v/>
      </c>
      <c r="C68" s="18" t="str">
        <f aca="false">IF(B68="","",LUONG!C69)</f>
        <v/>
      </c>
      <c r="D68" s="18" t="str">
        <f aca="false">IF(B68="","",LUONG!D69)</f>
        <v/>
      </c>
      <c r="E68" s="29" t="str">
        <f aca="false">IF(B68="","",LUONG!I69)</f>
        <v/>
      </c>
      <c r="F68" s="29" t="str">
        <f aca="false">IF($B68="","",ROUNDUP($E68*0.175,0))</f>
        <v/>
      </c>
      <c r="G68" s="29" t="str">
        <f aca="false">IF($B68="","",ROUNDUP($E68*0.03,0))</f>
        <v/>
      </c>
      <c r="H68" s="29" t="str">
        <f aca="false">IF($B68="","",ROUNDUP($E68*0.01,0))</f>
        <v/>
      </c>
      <c r="I68" s="29" t="str">
        <f aca="false">IF(B68="","",SUM(F68:H68))</f>
        <v/>
      </c>
      <c r="J68" s="29" t="str">
        <f aca="false">IF($B68="","",ROUNDUP($E68*0.08,0))</f>
        <v/>
      </c>
      <c r="K68" s="29" t="str">
        <f aca="false">IF($B68="","",ROUNDUP($E68*0.015,0))</f>
        <v/>
      </c>
      <c r="L68" s="29" t="str">
        <f aca="false">IF($B68="","",ROUNDUP($E68*0.01,0))</f>
        <v/>
      </c>
      <c r="M68" s="29" t="str">
        <f aca="false">IF(B68="","",SUM(J68:L68))</f>
        <v/>
      </c>
      <c r="N68" s="29" t="str">
        <f aca="false">IF(B68="","",I68+M68)</f>
        <v/>
      </c>
    </row>
    <row r="69" customFormat="false" ht="15" hidden="false" customHeight="false" outlineLevel="0" collapsed="false">
      <c r="A69" s="18" t="str">
        <f aca="false">IF(B69="","",ROW()-4)</f>
        <v/>
      </c>
      <c r="B69" s="28" t="str">
        <f aca="false">IF(LUONG!B70="","",IF(LUONG!J70="Có",LUONG!B70,""))</f>
        <v/>
      </c>
      <c r="C69" s="18" t="str">
        <f aca="false">IF(B69="","",LUONG!C70)</f>
        <v/>
      </c>
      <c r="D69" s="18" t="str">
        <f aca="false">IF(B69="","",LUONG!D70)</f>
        <v/>
      </c>
      <c r="E69" s="29" t="str">
        <f aca="false">IF(B69="","",LUONG!I70)</f>
        <v/>
      </c>
      <c r="F69" s="29" t="str">
        <f aca="false">IF($B69="","",ROUNDUP($E69*0.175,0))</f>
        <v/>
      </c>
      <c r="G69" s="29" t="str">
        <f aca="false">IF($B69="","",ROUNDUP($E69*0.03,0))</f>
        <v/>
      </c>
      <c r="H69" s="29" t="str">
        <f aca="false">IF($B69="","",ROUNDUP($E69*0.01,0))</f>
        <v/>
      </c>
      <c r="I69" s="29" t="str">
        <f aca="false">IF(B69="","",SUM(F69:H69))</f>
        <v/>
      </c>
      <c r="J69" s="29" t="str">
        <f aca="false">IF($B69="","",ROUNDUP($E69*0.08,0))</f>
        <v/>
      </c>
      <c r="K69" s="29" t="str">
        <f aca="false">IF($B69="","",ROUNDUP($E69*0.015,0))</f>
        <v/>
      </c>
      <c r="L69" s="29" t="str">
        <f aca="false">IF($B69="","",ROUNDUP($E69*0.01,0))</f>
        <v/>
      </c>
      <c r="M69" s="29" t="str">
        <f aca="false">IF(B69="","",SUM(J69:L69))</f>
        <v/>
      </c>
      <c r="N69" s="29" t="str">
        <f aca="false">IF(B69="","",I69+M69)</f>
        <v/>
      </c>
    </row>
    <row r="70" customFormat="false" ht="15" hidden="false" customHeight="false" outlineLevel="0" collapsed="false">
      <c r="A70" s="18" t="str">
        <f aca="false">IF(B70="","",ROW()-4)</f>
        <v/>
      </c>
      <c r="B70" s="28" t="str">
        <f aca="false">IF(LUONG!B71="","",IF(LUONG!J71="Có",LUONG!B71,""))</f>
        <v/>
      </c>
      <c r="C70" s="18" t="str">
        <f aca="false">IF(B70="","",LUONG!C71)</f>
        <v/>
      </c>
      <c r="D70" s="18" t="str">
        <f aca="false">IF(B70="","",LUONG!D71)</f>
        <v/>
      </c>
      <c r="E70" s="29" t="str">
        <f aca="false">IF(B70="","",LUONG!I71)</f>
        <v/>
      </c>
      <c r="F70" s="29" t="str">
        <f aca="false">IF($B70="","",ROUNDUP($E70*0.175,0))</f>
        <v/>
      </c>
      <c r="G70" s="29" t="str">
        <f aca="false">IF($B70="","",ROUNDUP($E70*0.03,0))</f>
        <v/>
      </c>
      <c r="H70" s="29" t="str">
        <f aca="false">IF($B70="","",ROUNDUP($E70*0.01,0))</f>
        <v/>
      </c>
      <c r="I70" s="29" t="str">
        <f aca="false">IF(B70="","",SUM(F70:H70))</f>
        <v/>
      </c>
      <c r="J70" s="29" t="str">
        <f aca="false">IF($B70="","",ROUNDUP($E70*0.08,0))</f>
        <v/>
      </c>
      <c r="K70" s="29" t="str">
        <f aca="false">IF($B70="","",ROUNDUP($E70*0.015,0))</f>
        <v/>
      </c>
      <c r="L70" s="29" t="str">
        <f aca="false">IF($B70="","",ROUNDUP($E70*0.01,0))</f>
        <v/>
      </c>
      <c r="M70" s="29" t="str">
        <f aca="false">IF(B70="","",SUM(J70:L70))</f>
        <v/>
      </c>
      <c r="N70" s="29" t="str">
        <f aca="false">IF(B70="","",I70+M70)</f>
        <v/>
      </c>
    </row>
    <row r="71" customFormat="false" ht="15" hidden="false" customHeight="false" outlineLevel="0" collapsed="false">
      <c r="A71" s="18" t="str">
        <f aca="false">IF(B71="","",ROW()-4)</f>
        <v/>
      </c>
      <c r="B71" s="28" t="str">
        <f aca="false">IF(LUONG!B72="","",IF(LUONG!J72="Có",LUONG!B72,""))</f>
        <v/>
      </c>
      <c r="C71" s="18" t="str">
        <f aca="false">IF(B71="","",LUONG!C72)</f>
        <v/>
      </c>
      <c r="D71" s="18" t="str">
        <f aca="false">IF(B71="","",LUONG!D72)</f>
        <v/>
      </c>
      <c r="E71" s="29" t="str">
        <f aca="false">IF(B71="","",LUONG!I72)</f>
        <v/>
      </c>
      <c r="F71" s="29" t="str">
        <f aca="false">IF($B71="","",ROUNDUP($E71*0.175,0))</f>
        <v/>
      </c>
      <c r="G71" s="29" t="str">
        <f aca="false">IF($B71="","",ROUNDUP($E71*0.03,0))</f>
        <v/>
      </c>
      <c r="H71" s="29" t="str">
        <f aca="false">IF($B71="","",ROUNDUP($E71*0.01,0))</f>
        <v/>
      </c>
      <c r="I71" s="29" t="str">
        <f aca="false">IF(B71="","",SUM(F71:H71))</f>
        <v/>
      </c>
      <c r="J71" s="29" t="str">
        <f aca="false">IF($B71="","",ROUNDUP($E71*0.08,0))</f>
        <v/>
      </c>
      <c r="K71" s="29" t="str">
        <f aca="false">IF($B71="","",ROUNDUP($E71*0.015,0))</f>
        <v/>
      </c>
      <c r="L71" s="29" t="str">
        <f aca="false">IF($B71="","",ROUNDUP($E71*0.01,0))</f>
        <v/>
      </c>
      <c r="M71" s="29" t="str">
        <f aca="false">IF(B71="","",SUM(J71:L71))</f>
        <v/>
      </c>
      <c r="N71" s="29" t="str">
        <f aca="false">IF(B71="","",I71+M71)</f>
        <v/>
      </c>
    </row>
    <row r="72" customFormat="false" ht="15" hidden="false" customHeight="false" outlineLevel="0" collapsed="false">
      <c r="A72" s="18" t="str">
        <f aca="false">IF(B72="","",ROW()-4)</f>
        <v/>
      </c>
      <c r="B72" s="28" t="str">
        <f aca="false">IF(LUONG!B73="","",IF(LUONG!J73="Có",LUONG!B73,""))</f>
        <v/>
      </c>
      <c r="C72" s="18" t="str">
        <f aca="false">IF(B72="","",LUONG!C73)</f>
        <v/>
      </c>
      <c r="D72" s="18" t="str">
        <f aca="false">IF(B72="","",LUONG!D73)</f>
        <v/>
      </c>
      <c r="E72" s="29" t="str">
        <f aca="false">IF(B72="","",LUONG!I73)</f>
        <v/>
      </c>
      <c r="F72" s="29" t="str">
        <f aca="false">IF($B72="","",ROUNDUP($E72*0.175,0))</f>
        <v/>
      </c>
      <c r="G72" s="29" t="str">
        <f aca="false">IF($B72="","",ROUNDUP($E72*0.03,0))</f>
        <v/>
      </c>
      <c r="H72" s="29" t="str">
        <f aca="false">IF($B72="","",ROUNDUP($E72*0.01,0))</f>
        <v/>
      </c>
      <c r="I72" s="29" t="str">
        <f aca="false">IF(B72="","",SUM(F72:H72))</f>
        <v/>
      </c>
      <c r="J72" s="29" t="str">
        <f aca="false">IF($B72="","",ROUNDUP($E72*0.08,0))</f>
        <v/>
      </c>
      <c r="K72" s="29" t="str">
        <f aca="false">IF($B72="","",ROUNDUP($E72*0.015,0))</f>
        <v/>
      </c>
      <c r="L72" s="29" t="str">
        <f aca="false">IF($B72="","",ROUNDUP($E72*0.01,0))</f>
        <v/>
      </c>
      <c r="M72" s="29" t="str">
        <f aca="false">IF(B72="","",SUM(J72:L72))</f>
        <v/>
      </c>
      <c r="N72" s="29" t="str">
        <f aca="false">IF(B72="","",I72+M72)</f>
        <v/>
      </c>
    </row>
    <row r="73" customFormat="false" ht="15" hidden="false" customHeight="false" outlineLevel="0" collapsed="false">
      <c r="A73" s="18" t="str">
        <f aca="false">IF(B73="","",ROW()-4)</f>
        <v/>
      </c>
      <c r="B73" s="28" t="str">
        <f aca="false">IF(LUONG!B74="","",IF(LUONG!J74="Có",LUONG!B74,""))</f>
        <v/>
      </c>
      <c r="C73" s="18" t="str">
        <f aca="false">IF(B73="","",LUONG!C74)</f>
        <v/>
      </c>
      <c r="D73" s="18" t="str">
        <f aca="false">IF(B73="","",LUONG!D74)</f>
        <v/>
      </c>
      <c r="E73" s="29" t="str">
        <f aca="false">IF(B73="","",LUONG!I74)</f>
        <v/>
      </c>
      <c r="F73" s="29" t="str">
        <f aca="false">IF($B73="","",ROUNDUP($E73*0.175,0))</f>
        <v/>
      </c>
      <c r="G73" s="29" t="str">
        <f aca="false">IF($B73="","",ROUNDUP($E73*0.03,0))</f>
        <v/>
      </c>
      <c r="H73" s="29" t="str">
        <f aca="false">IF($B73="","",ROUNDUP($E73*0.01,0))</f>
        <v/>
      </c>
      <c r="I73" s="29" t="str">
        <f aca="false">IF(B73="","",SUM(F73:H73))</f>
        <v/>
      </c>
      <c r="J73" s="29" t="str">
        <f aca="false">IF($B73="","",ROUNDUP($E73*0.08,0))</f>
        <v/>
      </c>
      <c r="K73" s="29" t="str">
        <f aca="false">IF($B73="","",ROUNDUP($E73*0.015,0))</f>
        <v/>
      </c>
      <c r="L73" s="29" t="str">
        <f aca="false">IF($B73="","",ROUNDUP($E73*0.01,0))</f>
        <v/>
      </c>
      <c r="M73" s="29" t="str">
        <f aca="false">IF(B73="","",SUM(J73:L73))</f>
        <v/>
      </c>
      <c r="N73" s="29" t="str">
        <f aca="false">IF(B73="","",I73+M73)</f>
        <v/>
      </c>
    </row>
    <row r="74" customFormat="false" ht="15" hidden="false" customHeight="false" outlineLevel="0" collapsed="false">
      <c r="A74" s="18" t="str">
        <f aca="false">IF(B74="","",ROW()-4)</f>
        <v/>
      </c>
      <c r="B74" s="28" t="str">
        <f aca="false">IF(LUONG!B75="","",IF(LUONG!J75="Có",LUONG!B75,""))</f>
        <v/>
      </c>
      <c r="C74" s="18" t="str">
        <f aca="false">IF(B74="","",LUONG!C75)</f>
        <v/>
      </c>
      <c r="D74" s="18" t="str">
        <f aca="false">IF(B74="","",LUONG!D75)</f>
        <v/>
      </c>
      <c r="E74" s="29" t="str">
        <f aca="false">IF(B74="","",LUONG!I75)</f>
        <v/>
      </c>
      <c r="F74" s="29" t="str">
        <f aca="false">IF($B74="","",ROUNDUP($E74*0.175,0))</f>
        <v/>
      </c>
      <c r="G74" s="29" t="str">
        <f aca="false">IF($B74="","",ROUNDUP($E74*0.03,0))</f>
        <v/>
      </c>
      <c r="H74" s="29" t="str">
        <f aca="false">IF($B74="","",ROUNDUP($E74*0.01,0))</f>
        <v/>
      </c>
      <c r="I74" s="29" t="str">
        <f aca="false">IF(B74="","",SUM(F74:H74))</f>
        <v/>
      </c>
      <c r="J74" s="29" t="str">
        <f aca="false">IF($B74="","",ROUNDUP($E74*0.08,0))</f>
        <v/>
      </c>
      <c r="K74" s="29" t="str">
        <f aca="false">IF($B74="","",ROUNDUP($E74*0.015,0))</f>
        <v/>
      </c>
      <c r="L74" s="29" t="str">
        <f aca="false">IF($B74="","",ROUNDUP($E74*0.01,0))</f>
        <v/>
      </c>
      <c r="M74" s="29" t="str">
        <f aca="false">IF(B74="","",SUM(J74:L74))</f>
        <v/>
      </c>
      <c r="N74" s="29" t="str">
        <f aca="false">IF(B74="","",I74+M74)</f>
        <v/>
      </c>
    </row>
    <row r="75" customFormat="false" ht="15" hidden="false" customHeight="false" outlineLevel="0" collapsed="false">
      <c r="A75" s="18" t="str">
        <f aca="false">IF(B75="","",ROW()-4)</f>
        <v/>
      </c>
      <c r="B75" s="28" t="str">
        <f aca="false">IF(LUONG!B76="","",IF(LUONG!J76="Có",LUONG!B76,""))</f>
        <v/>
      </c>
      <c r="C75" s="18" t="str">
        <f aca="false">IF(B75="","",LUONG!C76)</f>
        <v/>
      </c>
      <c r="D75" s="18" t="str">
        <f aca="false">IF(B75="","",LUONG!D76)</f>
        <v/>
      </c>
      <c r="E75" s="29" t="str">
        <f aca="false">IF(B75="","",LUONG!I76)</f>
        <v/>
      </c>
      <c r="F75" s="29" t="str">
        <f aca="false">IF($B75="","",ROUNDUP($E75*0.175,0))</f>
        <v/>
      </c>
      <c r="G75" s="29" t="str">
        <f aca="false">IF($B75="","",ROUNDUP($E75*0.03,0))</f>
        <v/>
      </c>
      <c r="H75" s="29" t="str">
        <f aca="false">IF($B75="","",ROUNDUP($E75*0.01,0))</f>
        <v/>
      </c>
      <c r="I75" s="29" t="str">
        <f aca="false">IF(B75="","",SUM(F75:H75))</f>
        <v/>
      </c>
      <c r="J75" s="29" t="str">
        <f aca="false">IF($B75="","",ROUNDUP($E75*0.08,0))</f>
        <v/>
      </c>
      <c r="K75" s="29" t="str">
        <f aca="false">IF($B75="","",ROUNDUP($E75*0.015,0))</f>
        <v/>
      </c>
      <c r="L75" s="29" t="str">
        <f aca="false">IF($B75="","",ROUNDUP($E75*0.01,0))</f>
        <v/>
      </c>
      <c r="M75" s="29" t="str">
        <f aca="false">IF(B75="","",SUM(J75:L75))</f>
        <v/>
      </c>
      <c r="N75" s="29" t="str">
        <f aca="false">IF(B75="","",I75+M75)</f>
        <v/>
      </c>
    </row>
    <row r="76" customFormat="false" ht="15" hidden="false" customHeight="false" outlineLevel="0" collapsed="false">
      <c r="A76" s="18" t="str">
        <f aca="false">IF(B76="","",ROW()-4)</f>
        <v/>
      </c>
      <c r="B76" s="28" t="str">
        <f aca="false">IF(LUONG!B77="","",IF(LUONG!J77="Có",LUONG!B77,""))</f>
        <v/>
      </c>
      <c r="C76" s="18" t="str">
        <f aca="false">IF(B76="","",LUONG!C77)</f>
        <v/>
      </c>
      <c r="D76" s="18" t="str">
        <f aca="false">IF(B76="","",LUONG!D77)</f>
        <v/>
      </c>
      <c r="E76" s="29" t="str">
        <f aca="false">IF(B76="","",LUONG!I77)</f>
        <v/>
      </c>
      <c r="F76" s="29" t="str">
        <f aca="false">IF($B76="","",ROUNDUP($E76*0.175,0))</f>
        <v/>
      </c>
      <c r="G76" s="29" t="str">
        <f aca="false">IF($B76="","",ROUNDUP($E76*0.03,0))</f>
        <v/>
      </c>
      <c r="H76" s="29" t="str">
        <f aca="false">IF($B76="","",ROUNDUP($E76*0.01,0))</f>
        <v/>
      </c>
      <c r="I76" s="29" t="str">
        <f aca="false">IF(B76="","",SUM(F76:H76))</f>
        <v/>
      </c>
      <c r="J76" s="29" t="str">
        <f aca="false">IF($B76="","",ROUNDUP($E76*0.08,0))</f>
        <v/>
      </c>
      <c r="K76" s="29" t="str">
        <f aca="false">IF($B76="","",ROUNDUP($E76*0.015,0))</f>
        <v/>
      </c>
      <c r="L76" s="29" t="str">
        <f aca="false">IF($B76="","",ROUNDUP($E76*0.01,0))</f>
        <v/>
      </c>
      <c r="M76" s="29" t="str">
        <f aca="false">IF(B76="","",SUM(J76:L76))</f>
        <v/>
      </c>
      <c r="N76" s="29" t="str">
        <f aca="false">IF(B76="","",I76+M76)</f>
        <v/>
      </c>
    </row>
    <row r="77" customFormat="false" ht="15" hidden="false" customHeight="false" outlineLevel="0" collapsed="false">
      <c r="A77" s="18" t="str">
        <f aca="false">IF(B77="","",ROW()-4)</f>
        <v/>
      </c>
      <c r="B77" s="28" t="str">
        <f aca="false">IF(LUONG!B78="","",IF(LUONG!J78="Có",LUONG!B78,""))</f>
        <v/>
      </c>
      <c r="C77" s="18" t="str">
        <f aca="false">IF(B77="","",LUONG!C78)</f>
        <v/>
      </c>
      <c r="D77" s="18" t="str">
        <f aca="false">IF(B77="","",LUONG!D78)</f>
        <v/>
      </c>
      <c r="E77" s="29" t="str">
        <f aca="false">IF(B77="","",LUONG!I78)</f>
        <v/>
      </c>
      <c r="F77" s="29" t="str">
        <f aca="false">IF($B77="","",ROUNDUP($E77*0.175,0))</f>
        <v/>
      </c>
      <c r="G77" s="29" t="str">
        <f aca="false">IF($B77="","",ROUNDUP($E77*0.03,0))</f>
        <v/>
      </c>
      <c r="H77" s="29" t="str">
        <f aca="false">IF($B77="","",ROUNDUP($E77*0.01,0))</f>
        <v/>
      </c>
      <c r="I77" s="29" t="str">
        <f aca="false">IF(B77="","",SUM(F77:H77))</f>
        <v/>
      </c>
      <c r="J77" s="29" t="str">
        <f aca="false">IF($B77="","",ROUNDUP($E77*0.08,0))</f>
        <v/>
      </c>
      <c r="K77" s="29" t="str">
        <f aca="false">IF($B77="","",ROUNDUP($E77*0.015,0))</f>
        <v/>
      </c>
      <c r="L77" s="29" t="str">
        <f aca="false">IF($B77="","",ROUNDUP($E77*0.01,0))</f>
        <v/>
      </c>
      <c r="M77" s="29" t="str">
        <f aca="false">IF(B77="","",SUM(J77:L77))</f>
        <v/>
      </c>
      <c r="N77" s="29" t="str">
        <f aca="false">IF(B77="","",I77+M77)</f>
        <v/>
      </c>
    </row>
    <row r="78" customFormat="false" ht="15" hidden="false" customHeight="false" outlineLevel="0" collapsed="false">
      <c r="A78" s="18" t="str">
        <f aca="false">IF(B78="","",ROW()-4)</f>
        <v/>
      </c>
      <c r="B78" s="28" t="str">
        <f aca="false">IF(LUONG!B79="","",IF(LUONG!J79="Có",LUONG!B79,""))</f>
        <v/>
      </c>
      <c r="C78" s="18" t="str">
        <f aca="false">IF(B78="","",LUONG!C79)</f>
        <v/>
      </c>
      <c r="D78" s="18" t="str">
        <f aca="false">IF(B78="","",LUONG!D79)</f>
        <v/>
      </c>
      <c r="E78" s="29" t="str">
        <f aca="false">IF(B78="","",LUONG!I79)</f>
        <v/>
      </c>
      <c r="F78" s="29" t="str">
        <f aca="false">IF($B78="","",ROUNDUP($E78*0.175,0))</f>
        <v/>
      </c>
      <c r="G78" s="29" t="str">
        <f aca="false">IF($B78="","",ROUNDUP($E78*0.03,0))</f>
        <v/>
      </c>
      <c r="H78" s="29" t="str">
        <f aca="false">IF($B78="","",ROUNDUP($E78*0.01,0))</f>
        <v/>
      </c>
      <c r="I78" s="29" t="str">
        <f aca="false">IF(B78="","",SUM(F78:H78))</f>
        <v/>
      </c>
      <c r="J78" s="29" t="str">
        <f aca="false">IF($B78="","",ROUNDUP($E78*0.08,0))</f>
        <v/>
      </c>
      <c r="K78" s="29" t="str">
        <f aca="false">IF($B78="","",ROUNDUP($E78*0.015,0))</f>
        <v/>
      </c>
      <c r="L78" s="29" t="str">
        <f aca="false">IF($B78="","",ROUNDUP($E78*0.01,0))</f>
        <v/>
      </c>
      <c r="M78" s="29" t="str">
        <f aca="false">IF(B78="","",SUM(J78:L78))</f>
        <v/>
      </c>
      <c r="N78" s="29" t="str">
        <f aca="false">IF(B78="","",I78+M78)</f>
        <v/>
      </c>
    </row>
    <row r="79" customFormat="false" ht="15" hidden="false" customHeight="false" outlineLevel="0" collapsed="false">
      <c r="A79" s="18" t="str">
        <f aca="false">IF(B79="","",ROW()-4)</f>
        <v/>
      </c>
      <c r="B79" s="28" t="str">
        <f aca="false">IF(LUONG!B80="","",IF(LUONG!J80="Có",LUONG!B80,""))</f>
        <v/>
      </c>
      <c r="C79" s="18" t="str">
        <f aca="false">IF(B79="","",LUONG!C80)</f>
        <v/>
      </c>
      <c r="D79" s="18" t="str">
        <f aca="false">IF(B79="","",LUONG!D80)</f>
        <v/>
      </c>
      <c r="E79" s="29" t="str">
        <f aca="false">IF(B79="","",LUONG!I80)</f>
        <v/>
      </c>
      <c r="F79" s="29" t="str">
        <f aca="false">IF($B79="","",ROUNDUP($E79*0.175,0))</f>
        <v/>
      </c>
      <c r="G79" s="29" t="str">
        <f aca="false">IF($B79="","",ROUNDUP($E79*0.03,0))</f>
        <v/>
      </c>
      <c r="H79" s="29" t="str">
        <f aca="false">IF($B79="","",ROUNDUP($E79*0.01,0))</f>
        <v/>
      </c>
      <c r="I79" s="29" t="str">
        <f aca="false">IF(B79="","",SUM(F79:H79))</f>
        <v/>
      </c>
      <c r="J79" s="29" t="str">
        <f aca="false">IF($B79="","",ROUNDUP($E79*0.08,0))</f>
        <v/>
      </c>
      <c r="K79" s="29" t="str">
        <f aca="false">IF($B79="","",ROUNDUP($E79*0.015,0))</f>
        <v/>
      </c>
      <c r="L79" s="29" t="str">
        <f aca="false">IF($B79="","",ROUNDUP($E79*0.01,0))</f>
        <v/>
      </c>
      <c r="M79" s="29" t="str">
        <f aca="false">IF(B79="","",SUM(J79:L79))</f>
        <v/>
      </c>
      <c r="N79" s="29" t="str">
        <f aca="false">IF(B79="","",I79+M79)</f>
        <v/>
      </c>
    </row>
    <row r="80" customFormat="false" ht="15" hidden="false" customHeight="false" outlineLevel="0" collapsed="false">
      <c r="A80" s="18" t="str">
        <f aca="false">IF(B80="","",ROW()-4)</f>
        <v/>
      </c>
      <c r="B80" s="28" t="str">
        <f aca="false">IF(LUONG!B81="","",IF(LUONG!J81="Có",LUONG!B81,""))</f>
        <v/>
      </c>
      <c r="C80" s="18" t="str">
        <f aca="false">IF(B80="","",LUONG!C81)</f>
        <v/>
      </c>
      <c r="D80" s="18" t="str">
        <f aca="false">IF(B80="","",LUONG!D81)</f>
        <v/>
      </c>
      <c r="E80" s="29" t="str">
        <f aca="false">IF(B80="","",LUONG!I81)</f>
        <v/>
      </c>
      <c r="F80" s="29" t="str">
        <f aca="false">IF($B80="","",ROUNDUP($E80*0.175,0))</f>
        <v/>
      </c>
      <c r="G80" s="29" t="str">
        <f aca="false">IF($B80="","",ROUNDUP($E80*0.03,0))</f>
        <v/>
      </c>
      <c r="H80" s="29" t="str">
        <f aca="false">IF($B80="","",ROUNDUP($E80*0.01,0))</f>
        <v/>
      </c>
      <c r="I80" s="29" t="str">
        <f aca="false">IF(B80="","",SUM(F80:H80))</f>
        <v/>
      </c>
      <c r="J80" s="29" t="str">
        <f aca="false">IF($B80="","",ROUNDUP($E80*0.08,0))</f>
        <v/>
      </c>
      <c r="K80" s="29" t="str">
        <f aca="false">IF($B80="","",ROUNDUP($E80*0.015,0))</f>
        <v/>
      </c>
      <c r="L80" s="29" t="str">
        <f aca="false">IF($B80="","",ROUNDUP($E80*0.01,0))</f>
        <v/>
      </c>
      <c r="M80" s="29" t="str">
        <f aca="false">IF(B80="","",SUM(J80:L80))</f>
        <v/>
      </c>
      <c r="N80" s="29" t="str">
        <f aca="false">IF(B80="","",I80+M80)</f>
        <v/>
      </c>
    </row>
    <row r="81" customFormat="false" ht="15" hidden="false" customHeight="false" outlineLevel="0" collapsed="false">
      <c r="A81" s="18" t="str">
        <f aca="false">IF(B81="","",ROW()-4)</f>
        <v/>
      </c>
      <c r="B81" s="28" t="str">
        <f aca="false">IF(LUONG!B82="","",IF(LUONG!J82="Có",LUONG!B82,""))</f>
        <v/>
      </c>
      <c r="C81" s="18" t="str">
        <f aca="false">IF(B81="","",LUONG!C82)</f>
        <v/>
      </c>
      <c r="D81" s="18" t="str">
        <f aca="false">IF(B81="","",LUONG!D82)</f>
        <v/>
      </c>
      <c r="E81" s="29" t="str">
        <f aca="false">IF(B81="","",LUONG!I82)</f>
        <v/>
      </c>
      <c r="F81" s="29" t="str">
        <f aca="false">IF($B81="","",ROUNDUP($E81*0.175,0))</f>
        <v/>
      </c>
      <c r="G81" s="29" t="str">
        <f aca="false">IF($B81="","",ROUNDUP($E81*0.03,0))</f>
        <v/>
      </c>
      <c r="H81" s="29" t="str">
        <f aca="false">IF($B81="","",ROUNDUP($E81*0.01,0))</f>
        <v/>
      </c>
      <c r="I81" s="29" t="str">
        <f aca="false">IF(B81="","",SUM(F81:H81))</f>
        <v/>
      </c>
      <c r="J81" s="29" t="str">
        <f aca="false">IF($B81="","",ROUNDUP($E81*0.08,0))</f>
        <v/>
      </c>
      <c r="K81" s="29" t="str">
        <f aca="false">IF($B81="","",ROUNDUP($E81*0.015,0))</f>
        <v/>
      </c>
      <c r="L81" s="29" t="str">
        <f aca="false">IF($B81="","",ROUNDUP($E81*0.01,0))</f>
        <v/>
      </c>
      <c r="M81" s="29" t="str">
        <f aca="false">IF(B81="","",SUM(J81:L81))</f>
        <v/>
      </c>
      <c r="N81" s="29" t="str">
        <f aca="false">IF(B81="","",I81+M81)</f>
        <v/>
      </c>
    </row>
    <row r="82" customFormat="false" ht="15" hidden="false" customHeight="false" outlineLevel="0" collapsed="false">
      <c r="A82" s="18" t="str">
        <f aca="false">IF(B82="","",ROW()-4)</f>
        <v/>
      </c>
      <c r="B82" s="28" t="str">
        <f aca="false">IF(LUONG!B83="","",IF(LUONG!J83="Có",LUONG!B83,""))</f>
        <v/>
      </c>
      <c r="C82" s="18" t="str">
        <f aca="false">IF(B82="","",LUONG!C83)</f>
        <v/>
      </c>
      <c r="D82" s="18" t="str">
        <f aca="false">IF(B82="","",LUONG!D83)</f>
        <v/>
      </c>
      <c r="E82" s="29" t="str">
        <f aca="false">IF(B82="","",LUONG!I83)</f>
        <v/>
      </c>
      <c r="F82" s="29" t="str">
        <f aca="false">IF($B82="","",ROUNDUP($E82*0.175,0))</f>
        <v/>
      </c>
      <c r="G82" s="29" t="str">
        <f aca="false">IF($B82="","",ROUNDUP($E82*0.03,0))</f>
        <v/>
      </c>
      <c r="H82" s="29" t="str">
        <f aca="false">IF($B82="","",ROUNDUP($E82*0.01,0))</f>
        <v/>
      </c>
      <c r="I82" s="29" t="str">
        <f aca="false">IF(B82="","",SUM(F82:H82))</f>
        <v/>
      </c>
      <c r="J82" s="29" t="str">
        <f aca="false">IF($B82="","",ROUNDUP($E82*0.08,0))</f>
        <v/>
      </c>
      <c r="K82" s="29" t="str">
        <f aca="false">IF($B82="","",ROUNDUP($E82*0.015,0))</f>
        <v/>
      </c>
      <c r="L82" s="29" t="str">
        <f aca="false">IF($B82="","",ROUNDUP($E82*0.01,0))</f>
        <v/>
      </c>
      <c r="M82" s="29" t="str">
        <f aca="false">IF(B82="","",SUM(J82:L82))</f>
        <v/>
      </c>
      <c r="N82" s="29" t="str">
        <f aca="false">IF(B82="","",I82+M82)</f>
        <v/>
      </c>
    </row>
    <row r="83" customFormat="false" ht="15" hidden="false" customHeight="false" outlineLevel="0" collapsed="false">
      <c r="A83" s="18" t="str">
        <f aca="false">IF(B83="","",ROW()-4)</f>
        <v/>
      </c>
      <c r="B83" s="28" t="str">
        <f aca="false">IF(LUONG!B84="","",IF(LUONG!J84="Có",LUONG!B84,""))</f>
        <v/>
      </c>
      <c r="C83" s="18" t="str">
        <f aca="false">IF(B83="","",LUONG!C84)</f>
        <v/>
      </c>
      <c r="D83" s="18" t="str">
        <f aca="false">IF(B83="","",LUONG!D84)</f>
        <v/>
      </c>
      <c r="E83" s="29" t="str">
        <f aca="false">IF(B83="","",LUONG!I84)</f>
        <v/>
      </c>
      <c r="F83" s="29" t="str">
        <f aca="false">IF($B83="","",ROUNDUP($E83*0.175,0))</f>
        <v/>
      </c>
      <c r="G83" s="29" t="str">
        <f aca="false">IF($B83="","",ROUNDUP($E83*0.03,0))</f>
        <v/>
      </c>
      <c r="H83" s="29" t="str">
        <f aca="false">IF($B83="","",ROUNDUP($E83*0.01,0))</f>
        <v/>
      </c>
      <c r="I83" s="29" t="str">
        <f aca="false">IF(B83="","",SUM(F83:H83))</f>
        <v/>
      </c>
      <c r="J83" s="29" t="str">
        <f aca="false">IF($B83="","",ROUNDUP($E83*0.08,0))</f>
        <v/>
      </c>
      <c r="K83" s="29" t="str">
        <f aca="false">IF($B83="","",ROUNDUP($E83*0.015,0))</f>
        <v/>
      </c>
      <c r="L83" s="29" t="str">
        <f aca="false">IF($B83="","",ROUNDUP($E83*0.01,0))</f>
        <v/>
      </c>
      <c r="M83" s="29" t="str">
        <f aca="false">IF(B83="","",SUM(J83:L83))</f>
        <v/>
      </c>
      <c r="N83" s="29" t="str">
        <f aca="false">IF(B83="","",I83+M83)</f>
        <v/>
      </c>
    </row>
    <row r="84" customFormat="false" ht="15" hidden="false" customHeight="false" outlineLevel="0" collapsed="false">
      <c r="A84" s="18" t="str">
        <f aca="false">IF(B84="","",ROW()-4)</f>
        <v/>
      </c>
      <c r="B84" s="28" t="str">
        <f aca="false">IF(LUONG!B85="","",IF(LUONG!J85="Có",LUONG!B85,""))</f>
        <v/>
      </c>
      <c r="C84" s="18" t="str">
        <f aca="false">IF(B84="","",LUONG!C85)</f>
        <v/>
      </c>
      <c r="D84" s="18" t="str">
        <f aca="false">IF(B84="","",LUONG!D85)</f>
        <v/>
      </c>
      <c r="E84" s="29" t="str">
        <f aca="false">IF(B84="","",LUONG!I85)</f>
        <v/>
      </c>
      <c r="F84" s="29" t="str">
        <f aca="false">IF($B84="","",ROUNDUP($E84*0.175,0))</f>
        <v/>
      </c>
      <c r="G84" s="29" t="str">
        <f aca="false">IF($B84="","",ROUNDUP($E84*0.03,0))</f>
        <v/>
      </c>
      <c r="H84" s="29" t="str">
        <f aca="false">IF($B84="","",ROUNDUP($E84*0.01,0))</f>
        <v/>
      </c>
      <c r="I84" s="29" t="str">
        <f aca="false">IF(B84="","",SUM(F84:H84))</f>
        <v/>
      </c>
      <c r="J84" s="29" t="str">
        <f aca="false">IF($B84="","",ROUNDUP($E84*0.08,0))</f>
        <v/>
      </c>
      <c r="K84" s="29" t="str">
        <f aca="false">IF($B84="","",ROUNDUP($E84*0.015,0))</f>
        <v/>
      </c>
      <c r="L84" s="29" t="str">
        <f aca="false">IF($B84="","",ROUNDUP($E84*0.01,0))</f>
        <v/>
      </c>
      <c r="M84" s="29" t="str">
        <f aca="false">IF(B84="","",SUM(J84:L84))</f>
        <v/>
      </c>
      <c r="N84" s="29" t="str">
        <f aca="false">IF(B84="","",I84+M84)</f>
        <v/>
      </c>
    </row>
    <row r="85" customFormat="false" ht="15" hidden="false" customHeight="false" outlineLevel="0" collapsed="false">
      <c r="A85" s="18" t="str">
        <f aca="false">IF(B85="","",ROW()-4)</f>
        <v/>
      </c>
      <c r="B85" s="28" t="str">
        <f aca="false">IF(LUONG!B86="","",IF(LUONG!J86="Có",LUONG!B86,""))</f>
        <v/>
      </c>
      <c r="C85" s="18" t="str">
        <f aca="false">IF(B85="","",LUONG!C86)</f>
        <v/>
      </c>
      <c r="D85" s="18" t="str">
        <f aca="false">IF(B85="","",LUONG!D86)</f>
        <v/>
      </c>
      <c r="E85" s="29" t="str">
        <f aca="false">IF(B85="","",LUONG!I86)</f>
        <v/>
      </c>
      <c r="F85" s="29" t="str">
        <f aca="false">IF($B85="","",ROUNDUP($E85*0.175,0))</f>
        <v/>
      </c>
      <c r="G85" s="29" t="str">
        <f aca="false">IF($B85="","",ROUNDUP($E85*0.03,0))</f>
        <v/>
      </c>
      <c r="H85" s="29" t="str">
        <f aca="false">IF($B85="","",ROUNDUP($E85*0.01,0))</f>
        <v/>
      </c>
      <c r="I85" s="29" t="str">
        <f aca="false">IF(B85="","",SUM(F85:H85))</f>
        <v/>
      </c>
      <c r="J85" s="29" t="str">
        <f aca="false">IF($B85="","",ROUNDUP($E85*0.08,0))</f>
        <v/>
      </c>
      <c r="K85" s="29" t="str">
        <f aca="false">IF($B85="","",ROUNDUP($E85*0.015,0))</f>
        <v/>
      </c>
      <c r="L85" s="29" t="str">
        <f aca="false">IF($B85="","",ROUNDUP($E85*0.01,0))</f>
        <v/>
      </c>
      <c r="M85" s="29" t="str">
        <f aca="false">IF(B85="","",SUM(J85:L85))</f>
        <v/>
      </c>
      <c r="N85" s="29" t="str">
        <f aca="false">IF(B85="","",I85+M85)</f>
        <v/>
      </c>
    </row>
    <row r="86" customFormat="false" ht="15" hidden="false" customHeight="false" outlineLevel="0" collapsed="false">
      <c r="A86" s="18" t="str">
        <f aca="false">IF(B86="","",ROW()-4)</f>
        <v/>
      </c>
      <c r="B86" s="28" t="str">
        <f aca="false">IF(LUONG!B87="","",IF(LUONG!J87="Có",LUONG!B87,""))</f>
        <v/>
      </c>
      <c r="C86" s="18" t="str">
        <f aca="false">IF(B86="","",LUONG!C87)</f>
        <v/>
      </c>
      <c r="D86" s="18" t="str">
        <f aca="false">IF(B86="","",LUONG!D87)</f>
        <v/>
      </c>
      <c r="E86" s="29" t="str">
        <f aca="false">IF(B86="","",LUONG!I87)</f>
        <v/>
      </c>
      <c r="F86" s="29" t="str">
        <f aca="false">IF($B86="","",ROUNDUP($E86*0.175,0))</f>
        <v/>
      </c>
      <c r="G86" s="29" t="str">
        <f aca="false">IF($B86="","",ROUNDUP($E86*0.03,0))</f>
        <v/>
      </c>
      <c r="H86" s="29" t="str">
        <f aca="false">IF($B86="","",ROUNDUP($E86*0.01,0))</f>
        <v/>
      </c>
      <c r="I86" s="29" t="str">
        <f aca="false">IF(B86="","",SUM(F86:H86))</f>
        <v/>
      </c>
      <c r="J86" s="29" t="str">
        <f aca="false">IF($B86="","",ROUNDUP($E86*0.08,0))</f>
        <v/>
      </c>
      <c r="K86" s="29" t="str">
        <f aca="false">IF($B86="","",ROUNDUP($E86*0.015,0))</f>
        <v/>
      </c>
      <c r="L86" s="29" t="str">
        <f aca="false">IF($B86="","",ROUNDUP($E86*0.01,0))</f>
        <v/>
      </c>
      <c r="M86" s="29" t="str">
        <f aca="false">IF(B86="","",SUM(J86:L86))</f>
        <v/>
      </c>
      <c r="N86" s="29" t="str">
        <f aca="false">IF(B86="","",I86+M86)</f>
        <v/>
      </c>
    </row>
    <row r="87" customFormat="false" ht="15" hidden="false" customHeight="false" outlineLevel="0" collapsed="false">
      <c r="A87" s="18" t="str">
        <f aca="false">IF(B87="","",ROW()-4)</f>
        <v/>
      </c>
      <c r="B87" s="28" t="str">
        <f aca="false">IF(LUONG!B88="","",IF(LUONG!J88="Có",LUONG!B88,""))</f>
        <v/>
      </c>
      <c r="C87" s="18" t="str">
        <f aca="false">IF(B87="","",LUONG!C88)</f>
        <v/>
      </c>
      <c r="D87" s="18" t="str">
        <f aca="false">IF(B87="","",LUONG!D88)</f>
        <v/>
      </c>
      <c r="E87" s="29" t="str">
        <f aca="false">IF(B87="","",LUONG!I88)</f>
        <v/>
      </c>
      <c r="F87" s="29" t="str">
        <f aca="false">IF($B87="","",ROUNDUP($E87*0.175,0))</f>
        <v/>
      </c>
      <c r="G87" s="29" t="str">
        <f aca="false">IF($B87="","",ROUNDUP($E87*0.03,0))</f>
        <v/>
      </c>
      <c r="H87" s="29" t="str">
        <f aca="false">IF($B87="","",ROUNDUP($E87*0.01,0))</f>
        <v/>
      </c>
      <c r="I87" s="29" t="str">
        <f aca="false">IF(B87="","",SUM(F87:H87))</f>
        <v/>
      </c>
      <c r="J87" s="29" t="str">
        <f aca="false">IF($B87="","",ROUNDUP($E87*0.08,0))</f>
        <v/>
      </c>
      <c r="K87" s="29" t="str">
        <f aca="false">IF($B87="","",ROUNDUP($E87*0.015,0))</f>
        <v/>
      </c>
      <c r="L87" s="29" t="str">
        <f aca="false">IF($B87="","",ROUNDUP($E87*0.01,0))</f>
        <v/>
      </c>
      <c r="M87" s="29" t="str">
        <f aca="false">IF(B87="","",SUM(J87:L87))</f>
        <v/>
      </c>
      <c r="N87" s="29" t="str">
        <f aca="false">IF(B87="","",I87+M87)</f>
        <v/>
      </c>
    </row>
    <row r="88" customFormat="false" ht="15" hidden="false" customHeight="false" outlineLevel="0" collapsed="false">
      <c r="A88" s="18" t="str">
        <f aca="false">IF(B88="","",ROW()-4)</f>
        <v/>
      </c>
      <c r="B88" s="28" t="str">
        <f aca="false">IF(LUONG!B89="","",IF(LUONG!J89="Có",LUONG!B89,""))</f>
        <v/>
      </c>
      <c r="C88" s="18" t="str">
        <f aca="false">IF(B88="","",LUONG!C89)</f>
        <v/>
      </c>
      <c r="D88" s="18" t="str">
        <f aca="false">IF(B88="","",LUONG!D89)</f>
        <v/>
      </c>
      <c r="E88" s="29" t="str">
        <f aca="false">IF(B88="","",LUONG!I89)</f>
        <v/>
      </c>
      <c r="F88" s="29" t="str">
        <f aca="false">IF($B88="","",ROUNDUP($E88*0.175,0))</f>
        <v/>
      </c>
      <c r="G88" s="29" t="str">
        <f aca="false">IF($B88="","",ROUNDUP($E88*0.03,0))</f>
        <v/>
      </c>
      <c r="H88" s="29" t="str">
        <f aca="false">IF($B88="","",ROUNDUP($E88*0.01,0))</f>
        <v/>
      </c>
      <c r="I88" s="29" t="str">
        <f aca="false">IF(B88="","",SUM(F88:H88))</f>
        <v/>
      </c>
      <c r="J88" s="29" t="str">
        <f aca="false">IF($B88="","",ROUNDUP($E88*0.08,0))</f>
        <v/>
      </c>
      <c r="K88" s="29" t="str">
        <f aca="false">IF($B88="","",ROUNDUP($E88*0.015,0))</f>
        <v/>
      </c>
      <c r="L88" s="29" t="str">
        <f aca="false">IF($B88="","",ROUNDUP($E88*0.01,0))</f>
        <v/>
      </c>
      <c r="M88" s="29" t="str">
        <f aca="false">IF(B88="","",SUM(J88:L88))</f>
        <v/>
      </c>
      <c r="N88" s="29" t="str">
        <f aca="false">IF(B88="","",I88+M88)</f>
        <v/>
      </c>
    </row>
    <row r="89" customFormat="false" ht="15" hidden="false" customHeight="false" outlineLevel="0" collapsed="false">
      <c r="A89" s="18" t="str">
        <f aca="false">IF(B89="","",ROW()-4)</f>
        <v/>
      </c>
      <c r="B89" s="28" t="str">
        <f aca="false">IF(LUONG!B90="","",IF(LUONG!J90="Có",LUONG!B90,""))</f>
        <v/>
      </c>
      <c r="C89" s="18" t="str">
        <f aca="false">IF(B89="","",LUONG!C90)</f>
        <v/>
      </c>
      <c r="D89" s="18" t="str">
        <f aca="false">IF(B89="","",LUONG!D90)</f>
        <v/>
      </c>
      <c r="E89" s="29" t="str">
        <f aca="false">IF(B89="","",LUONG!I90)</f>
        <v/>
      </c>
      <c r="F89" s="29" t="str">
        <f aca="false">IF($B89="","",ROUNDUP($E89*0.175,0))</f>
        <v/>
      </c>
      <c r="G89" s="29" t="str">
        <f aca="false">IF($B89="","",ROUNDUP($E89*0.03,0))</f>
        <v/>
      </c>
      <c r="H89" s="29" t="str">
        <f aca="false">IF($B89="","",ROUNDUP($E89*0.01,0))</f>
        <v/>
      </c>
      <c r="I89" s="29" t="str">
        <f aca="false">IF(B89="","",SUM(F89:H89))</f>
        <v/>
      </c>
      <c r="J89" s="29" t="str">
        <f aca="false">IF($B89="","",ROUNDUP($E89*0.08,0))</f>
        <v/>
      </c>
      <c r="K89" s="29" t="str">
        <f aca="false">IF($B89="","",ROUNDUP($E89*0.015,0))</f>
        <v/>
      </c>
      <c r="L89" s="29" t="str">
        <f aca="false">IF($B89="","",ROUNDUP($E89*0.01,0))</f>
        <v/>
      </c>
      <c r="M89" s="29" t="str">
        <f aca="false">IF(B89="","",SUM(J89:L89))</f>
        <v/>
      </c>
      <c r="N89" s="29" t="str">
        <f aca="false">IF(B89="","",I89+M89)</f>
        <v/>
      </c>
    </row>
    <row r="90" customFormat="false" ht="15" hidden="false" customHeight="false" outlineLevel="0" collapsed="false">
      <c r="A90" s="18" t="str">
        <f aca="false">IF(B90="","",ROW()-4)</f>
        <v/>
      </c>
      <c r="B90" s="28" t="str">
        <f aca="false">IF(LUONG!B91="","",IF(LUONG!J91="Có",LUONG!B91,""))</f>
        <v/>
      </c>
      <c r="C90" s="18" t="str">
        <f aca="false">IF(B90="","",LUONG!C91)</f>
        <v/>
      </c>
      <c r="D90" s="18" t="str">
        <f aca="false">IF(B90="","",LUONG!D91)</f>
        <v/>
      </c>
      <c r="E90" s="29" t="str">
        <f aca="false">IF(B90="","",LUONG!I91)</f>
        <v/>
      </c>
      <c r="F90" s="29" t="str">
        <f aca="false">IF($B90="","",ROUNDUP($E90*0.175,0))</f>
        <v/>
      </c>
      <c r="G90" s="29" t="str">
        <f aca="false">IF($B90="","",ROUNDUP($E90*0.03,0))</f>
        <v/>
      </c>
      <c r="H90" s="29" t="str">
        <f aca="false">IF($B90="","",ROUNDUP($E90*0.01,0))</f>
        <v/>
      </c>
      <c r="I90" s="29" t="str">
        <f aca="false">IF(B90="","",SUM(F90:H90))</f>
        <v/>
      </c>
      <c r="J90" s="29" t="str">
        <f aca="false">IF($B90="","",ROUNDUP($E90*0.08,0))</f>
        <v/>
      </c>
      <c r="K90" s="29" t="str">
        <f aca="false">IF($B90="","",ROUNDUP($E90*0.015,0))</f>
        <v/>
      </c>
      <c r="L90" s="29" t="str">
        <f aca="false">IF($B90="","",ROUNDUP($E90*0.01,0))</f>
        <v/>
      </c>
      <c r="M90" s="29" t="str">
        <f aca="false">IF(B90="","",SUM(J90:L90))</f>
        <v/>
      </c>
      <c r="N90" s="29" t="str">
        <f aca="false">IF(B90="","",I90+M90)</f>
        <v/>
      </c>
    </row>
    <row r="91" customFormat="false" ht="15" hidden="false" customHeight="false" outlineLevel="0" collapsed="false">
      <c r="A91" s="18" t="str">
        <f aca="false">IF(B91="","",ROW()-4)</f>
        <v/>
      </c>
      <c r="B91" s="28" t="str">
        <f aca="false">IF(LUONG!B92="","",IF(LUONG!J92="Có",LUONG!B92,""))</f>
        <v/>
      </c>
      <c r="C91" s="18" t="str">
        <f aca="false">IF(B91="","",LUONG!C92)</f>
        <v/>
      </c>
      <c r="D91" s="18" t="str">
        <f aca="false">IF(B91="","",LUONG!D92)</f>
        <v/>
      </c>
      <c r="E91" s="29" t="str">
        <f aca="false">IF(B91="","",LUONG!I92)</f>
        <v/>
      </c>
      <c r="F91" s="29" t="str">
        <f aca="false">IF($B91="","",ROUNDUP($E91*0.175,0))</f>
        <v/>
      </c>
      <c r="G91" s="29" t="str">
        <f aca="false">IF($B91="","",ROUNDUP($E91*0.03,0))</f>
        <v/>
      </c>
      <c r="H91" s="29" t="str">
        <f aca="false">IF($B91="","",ROUNDUP($E91*0.01,0))</f>
        <v/>
      </c>
      <c r="I91" s="29" t="str">
        <f aca="false">IF(B91="","",SUM(F91:H91))</f>
        <v/>
      </c>
      <c r="J91" s="29" t="str">
        <f aca="false">IF($B91="","",ROUNDUP($E91*0.08,0))</f>
        <v/>
      </c>
      <c r="K91" s="29" t="str">
        <f aca="false">IF($B91="","",ROUNDUP($E91*0.015,0))</f>
        <v/>
      </c>
      <c r="L91" s="29" t="str">
        <f aca="false">IF($B91="","",ROUNDUP($E91*0.01,0))</f>
        <v/>
      </c>
      <c r="M91" s="29" t="str">
        <f aca="false">IF(B91="","",SUM(J91:L91))</f>
        <v/>
      </c>
      <c r="N91" s="29" t="str">
        <f aca="false">IF(B91="","",I91+M91)</f>
        <v/>
      </c>
    </row>
    <row r="92" customFormat="false" ht="15" hidden="false" customHeight="false" outlineLevel="0" collapsed="false">
      <c r="A92" s="18" t="str">
        <f aca="false">IF(B92="","",ROW()-4)</f>
        <v/>
      </c>
      <c r="B92" s="28" t="str">
        <f aca="false">IF(LUONG!B93="","",IF(LUONG!J93="Có",LUONG!B93,""))</f>
        <v/>
      </c>
      <c r="C92" s="18" t="str">
        <f aca="false">IF(B92="","",LUONG!C93)</f>
        <v/>
      </c>
      <c r="D92" s="18" t="str">
        <f aca="false">IF(B92="","",LUONG!D93)</f>
        <v/>
      </c>
      <c r="E92" s="29" t="str">
        <f aca="false">IF(B92="","",LUONG!I93)</f>
        <v/>
      </c>
      <c r="F92" s="29" t="str">
        <f aca="false">IF($B92="","",ROUNDUP($E92*0.175,0))</f>
        <v/>
      </c>
      <c r="G92" s="29" t="str">
        <f aca="false">IF($B92="","",ROUNDUP($E92*0.03,0))</f>
        <v/>
      </c>
      <c r="H92" s="29" t="str">
        <f aca="false">IF($B92="","",ROUNDUP($E92*0.01,0))</f>
        <v/>
      </c>
      <c r="I92" s="29" t="str">
        <f aca="false">IF(B92="","",SUM(F92:H92))</f>
        <v/>
      </c>
      <c r="J92" s="29" t="str">
        <f aca="false">IF($B92="","",ROUNDUP($E92*0.08,0))</f>
        <v/>
      </c>
      <c r="K92" s="29" t="str">
        <f aca="false">IF($B92="","",ROUNDUP($E92*0.015,0))</f>
        <v/>
      </c>
      <c r="L92" s="29" t="str">
        <f aca="false">IF($B92="","",ROUNDUP($E92*0.01,0))</f>
        <v/>
      </c>
      <c r="M92" s="29" t="str">
        <f aca="false">IF(B92="","",SUM(J92:L92))</f>
        <v/>
      </c>
      <c r="N92" s="29" t="str">
        <f aca="false">IF(B92="","",I92+M92)</f>
        <v/>
      </c>
    </row>
    <row r="93" customFormat="false" ht="15" hidden="false" customHeight="false" outlineLevel="0" collapsed="false">
      <c r="A93" s="18" t="str">
        <f aca="false">IF(B93="","",ROW()-4)</f>
        <v/>
      </c>
      <c r="B93" s="28" t="str">
        <f aca="false">IF(LUONG!B94="","",IF(LUONG!J94="Có",LUONG!B94,""))</f>
        <v/>
      </c>
      <c r="C93" s="18" t="str">
        <f aca="false">IF(B93="","",LUONG!C94)</f>
        <v/>
      </c>
      <c r="D93" s="18" t="str">
        <f aca="false">IF(B93="","",LUONG!D94)</f>
        <v/>
      </c>
      <c r="E93" s="29" t="str">
        <f aca="false">IF(B93="","",LUONG!I94)</f>
        <v/>
      </c>
      <c r="F93" s="29" t="str">
        <f aca="false">IF($B93="","",ROUNDUP($E93*0.175,0))</f>
        <v/>
      </c>
      <c r="G93" s="29" t="str">
        <f aca="false">IF($B93="","",ROUNDUP($E93*0.03,0))</f>
        <v/>
      </c>
      <c r="H93" s="29" t="str">
        <f aca="false">IF($B93="","",ROUNDUP($E93*0.01,0))</f>
        <v/>
      </c>
      <c r="I93" s="29" t="str">
        <f aca="false">IF(B93="","",SUM(F93:H93))</f>
        <v/>
      </c>
      <c r="J93" s="29" t="str">
        <f aca="false">IF($B93="","",ROUNDUP($E93*0.08,0))</f>
        <v/>
      </c>
      <c r="K93" s="29" t="str">
        <f aca="false">IF($B93="","",ROUNDUP($E93*0.015,0))</f>
        <v/>
      </c>
      <c r="L93" s="29" t="str">
        <f aca="false">IF($B93="","",ROUNDUP($E93*0.01,0))</f>
        <v/>
      </c>
      <c r="M93" s="29" t="str">
        <f aca="false">IF(B93="","",SUM(J93:L93))</f>
        <v/>
      </c>
      <c r="N93" s="29" t="str">
        <f aca="false">IF(B93="","",I93+M93)</f>
        <v/>
      </c>
    </row>
    <row r="94" customFormat="false" ht="15" hidden="false" customHeight="false" outlineLevel="0" collapsed="false">
      <c r="A94" s="18" t="str">
        <f aca="false">IF(B94="","",ROW()-4)</f>
        <v/>
      </c>
      <c r="B94" s="28" t="str">
        <f aca="false">IF(LUONG!B95="","",IF(LUONG!J95="Có",LUONG!B95,""))</f>
        <v/>
      </c>
      <c r="C94" s="18" t="str">
        <f aca="false">IF(B94="","",LUONG!C95)</f>
        <v/>
      </c>
      <c r="D94" s="18" t="str">
        <f aca="false">IF(B94="","",LUONG!D95)</f>
        <v/>
      </c>
      <c r="E94" s="29" t="str">
        <f aca="false">IF(B94="","",LUONG!I95)</f>
        <v/>
      </c>
      <c r="F94" s="29" t="str">
        <f aca="false">IF($B94="","",ROUNDUP($E94*0.175,0))</f>
        <v/>
      </c>
      <c r="G94" s="29" t="str">
        <f aca="false">IF($B94="","",ROUNDUP($E94*0.03,0))</f>
        <v/>
      </c>
      <c r="H94" s="29" t="str">
        <f aca="false">IF($B94="","",ROUNDUP($E94*0.01,0))</f>
        <v/>
      </c>
      <c r="I94" s="29" t="str">
        <f aca="false">IF(B94="","",SUM(F94:H94))</f>
        <v/>
      </c>
      <c r="J94" s="29" t="str">
        <f aca="false">IF($B94="","",ROUNDUP($E94*0.08,0))</f>
        <v/>
      </c>
      <c r="K94" s="29" t="str">
        <f aca="false">IF($B94="","",ROUNDUP($E94*0.015,0))</f>
        <v/>
      </c>
      <c r="L94" s="29" t="str">
        <f aca="false">IF($B94="","",ROUNDUP($E94*0.01,0))</f>
        <v/>
      </c>
      <c r="M94" s="29" t="str">
        <f aca="false">IF(B94="","",SUM(J94:L94))</f>
        <v/>
      </c>
      <c r="N94" s="29" t="str">
        <f aca="false">IF(B94="","",I94+M94)</f>
        <v/>
      </c>
    </row>
    <row r="95" customFormat="false" ht="15" hidden="false" customHeight="false" outlineLevel="0" collapsed="false">
      <c r="A95" s="18" t="str">
        <f aca="false">IF(B95="","",ROW()-4)</f>
        <v/>
      </c>
      <c r="B95" s="28" t="str">
        <f aca="false">IF(LUONG!B96="","",IF(LUONG!J96="Có",LUONG!B96,""))</f>
        <v/>
      </c>
      <c r="C95" s="18" t="str">
        <f aca="false">IF(B95="","",LUONG!C96)</f>
        <v/>
      </c>
      <c r="D95" s="18" t="str">
        <f aca="false">IF(B95="","",LUONG!D96)</f>
        <v/>
      </c>
      <c r="E95" s="29" t="str">
        <f aca="false">IF(B95="","",LUONG!I96)</f>
        <v/>
      </c>
      <c r="F95" s="29" t="str">
        <f aca="false">IF($B95="","",ROUNDUP($E95*0.175,0))</f>
        <v/>
      </c>
      <c r="G95" s="29" t="str">
        <f aca="false">IF($B95="","",ROUNDUP($E95*0.03,0))</f>
        <v/>
      </c>
      <c r="H95" s="29" t="str">
        <f aca="false">IF($B95="","",ROUNDUP($E95*0.01,0))</f>
        <v/>
      </c>
      <c r="I95" s="29" t="str">
        <f aca="false">IF(B95="","",SUM(F95:H95))</f>
        <v/>
      </c>
      <c r="J95" s="29" t="str">
        <f aca="false">IF($B95="","",ROUNDUP($E95*0.08,0))</f>
        <v/>
      </c>
      <c r="K95" s="29" t="str">
        <f aca="false">IF($B95="","",ROUNDUP($E95*0.015,0))</f>
        <v/>
      </c>
      <c r="L95" s="29" t="str">
        <f aca="false">IF($B95="","",ROUNDUP($E95*0.01,0))</f>
        <v/>
      </c>
      <c r="M95" s="29" t="str">
        <f aca="false">IF(B95="","",SUM(J95:L95))</f>
        <v/>
      </c>
      <c r="N95" s="29" t="str">
        <f aca="false">IF(B95="","",I95+M95)</f>
        <v/>
      </c>
    </row>
    <row r="96" customFormat="false" ht="15" hidden="false" customHeight="false" outlineLevel="0" collapsed="false">
      <c r="A96" s="18" t="str">
        <f aca="false">IF(B96="","",ROW()-4)</f>
        <v/>
      </c>
      <c r="B96" s="28" t="str">
        <f aca="false">IF(LUONG!B97="","",IF(LUONG!J97="Có",LUONG!B97,""))</f>
        <v/>
      </c>
      <c r="C96" s="18" t="str">
        <f aca="false">IF(B96="","",LUONG!C97)</f>
        <v/>
      </c>
      <c r="D96" s="18" t="str">
        <f aca="false">IF(B96="","",LUONG!D97)</f>
        <v/>
      </c>
      <c r="E96" s="29" t="str">
        <f aca="false">IF(B96="","",LUONG!I97)</f>
        <v/>
      </c>
      <c r="F96" s="29" t="str">
        <f aca="false">IF($B96="","",ROUNDUP($E96*0.175,0))</f>
        <v/>
      </c>
      <c r="G96" s="29" t="str">
        <f aca="false">IF($B96="","",ROUNDUP($E96*0.03,0))</f>
        <v/>
      </c>
      <c r="H96" s="29" t="str">
        <f aca="false">IF($B96="","",ROUNDUP($E96*0.01,0))</f>
        <v/>
      </c>
      <c r="I96" s="29" t="str">
        <f aca="false">IF(B96="","",SUM(F96:H96))</f>
        <v/>
      </c>
      <c r="J96" s="29" t="str">
        <f aca="false">IF($B96="","",ROUNDUP($E96*0.08,0))</f>
        <v/>
      </c>
      <c r="K96" s="29" t="str">
        <f aca="false">IF($B96="","",ROUNDUP($E96*0.015,0))</f>
        <v/>
      </c>
      <c r="L96" s="29" t="str">
        <f aca="false">IF($B96="","",ROUNDUP($E96*0.01,0))</f>
        <v/>
      </c>
      <c r="M96" s="29" t="str">
        <f aca="false">IF(B96="","",SUM(J96:L96))</f>
        <v/>
      </c>
      <c r="N96" s="29" t="str">
        <f aca="false">IF(B96="","",I96+M96)</f>
        <v/>
      </c>
    </row>
    <row r="97" customFormat="false" ht="15" hidden="false" customHeight="false" outlineLevel="0" collapsed="false">
      <c r="A97" s="18" t="str">
        <f aca="false">IF(B97="","",ROW()-4)</f>
        <v/>
      </c>
      <c r="B97" s="28" t="str">
        <f aca="false">IF(LUONG!B98="","",IF(LUONG!J98="Có",LUONG!B98,""))</f>
        <v/>
      </c>
      <c r="C97" s="18" t="str">
        <f aca="false">IF(B97="","",LUONG!C98)</f>
        <v/>
      </c>
      <c r="D97" s="18" t="str">
        <f aca="false">IF(B97="","",LUONG!D98)</f>
        <v/>
      </c>
      <c r="E97" s="29" t="str">
        <f aca="false">IF(B97="","",LUONG!I98)</f>
        <v/>
      </c>
      <c r="F97" s="29" t="str">
        <f aca="false">IF($B97="","",ROUNDUP($E97*0.175,0))</f>
        <v/>
      </c>
      <c r="G97" s="29" t="str">
        <f aca="false">IF($B97="","",ROUNDUP($E97*0.03,0))</f>
        <v/>
      </c>
      <c r="H97" s="29" t="str">
        <f aca="false">IF($B97="","",ROUNDUP($E97*0.01,0))</f>
        <v/>
      </c>
      <c r="I97" s="29" t="str">
        <f aca="false">IF(B97="","",SUM(F97:H97))</f>
        <v/>
      </c>
      <c r="J97" s="29" t="str">
        <f aca="false">IF($B97="","",ROUNDUP($E97*0.08,0))</f>
        <v/>
      </c>
      <c r="K97" s="29" t="str">
        <f aca="false">IF($B97="","",ROUNDUP($E97*0.015,0))</f>
        <v/>
      </c>
      <c r="L97" s="29" t="str">
        <f aca="false">IF($B97="","",ROUNDUP($E97*0.01,0))</f>
        <v/>
      </c>
      <c r="M97" s="29" t="str">
        <f aca="false">IF(B97="","",SUM(J97:L97))</f>
        <v/>
      </c>
      <c r="N97" s="29" t="str">
        <f aca="false">IF(B97="","",I97+M97)</f>
        <v/>
      </c>
    </row>
    <row r="98" customFormat="false" ht="15" hidden="false" customHeight="false" outlineLevel="0" collapsed="false">
      <c r="A98" s="18" t="str">
        <f aca="false">IF(B98="","",ROW()-4)</f>
        <v/>
      </c>
      <c r="B98" s="28" t="str">
        <f aca="false">IF(LUONG!B99="","",IF(LUONG!J99="Có",LUONG!B99,""))</f>
        <v/>
      </c>
      <c r="C98" s="18" t="str">
        <f aca="false">IF(B98="","",LUONG!C99)</f>
        <v/>
      </c>
      <c r="D98" s="18" t="str">
        <f aca="false">IF(B98="","",LUONG!D99)</f>
        <v/>
      </c>
      <c r="E98" s="29" t="str">
        <f aca="false">IF(B98="","",LUONG!I99)</f>
        <v/>
      </c>
      <c r="F98" s="29" t="str">
        <f aca="false">IF($B98="","",ROUNDUP($E98*0.175,0))</f>
        <v/>
      </c>
      <c r="G98" s="29" t="str">
        <f aca="false">IF($B98="","",ROUNDUP($E98*0.03,0))</f>
        <v/>
      </c>
      <c r="H98" s="29" t="str">
        <f aca="false">IF($B98="","",ROUNDUP($E98*0.01,0))</f>
        <v/>
      </c>
      <c r="I98" s="29" t="str">
        <f aca="false">IF(B98="","",SUM(F98:H98))</f>
        <v/>
      </c>
      <c r="J98" s="29" t="str">
        <f aca="false">IF($B98="","",ROUNDUP($E98*0.08,0))</f>
        <v/>
      </c>
      <c r="K98" s="29" t="str">
        <f aca="false">IF($B98="","",ROUNDUP($E98*0.015,0))</f>
        <v/>
      </c>
      <c r="L98" s="29" t="str">
        <f aca="false">IF($B98="","",ROUNDUP($E98*0.01,0))</f>
        <v/>
      </c>
      <c r="M98" s="29" t="str">
        <f aca="false">IF(B98="","",SUM(J98:L98))</f>
        <v/>
      </c>
      <c r="N98" s="29" t="str">
        <f aca="false">IF(B98="","",I98+M98)</f>
        <v/>
      </c>
    </row>
    <row r="99" customFormat="false" ht="15" hidden="false" customHeight="false" outlineLevel="0" collapsed="false">
      <c r="A99" s="18" t="str">
        <f aca="false">IF(B99="","",ROW()-4)</f>
        <v/>
      </c>
      <c r="B99" s="28" t="str">
        <f aca="false">IF(LUONG!B100="","",IF(LUONG!J100="Có",LUONG!B100,""))</f>
        <v/>
      </c>
      <c r="C99" s="18" t="str">
        <f aca="false">IF(B99="","",LUONG!C100)</f>
        <v/>
      </c>
      <c r="D99" s="18" t="str">
        <f aca="false">IF(B99="","",LUONG!D100)</f>
        <v/>
      </c>
      <c r="E99" s="29" t="str">
        <f aca="false">IF(B99="","",LUONG!I100)</f>
        <v/>
      </c>
      <c r="F99" s="29" t="str">
        <f aca="false">IF($B99="","",ROUNDUP($E99*0.175,0))</f>
        <v/>
      </c>
      <c r="G99" s="29" t="str">
        <f aca="false">IF($B99="","",ROUNDUP($E99*0.03,0))</f>
        <v/>
      </c>
      <c r="H99" s="29" t="str">
        <f aca="false">IF($B99="","",ROUNDUP($E99*0.01,0))</f>
        <v/>
      </c>
      <c r="I99" s="29" t="str">
        <f aca="false">IF(B99="","",SUM(F99:H99))</f>
        <v/>
      </c>
      <c r="J99" s="29" t="str">
        <f aca="false">IF($B99="","",ROUNDUP($E99*0.08,0))</f>
        <v/>
      </c>
      <c r="K99" s="29" t="str">
        <f aca="false">IF($B99="","",ROUNDUP($E99*0.015,0))</f>
        <v/>
      </c>
      <c r="L99" s="29" t="str">
        <f aca="false">IF($B99="","",ROUNDUP($E99*0.01,0))</f>
        <v/>
      </c>
      <c r="M99" s="29" t="str">
        <f aca="false">IF(B99="","",SUM(J99:L99))</f>
        <v/>
      </c>
      <c r="N99" s="29" t="str">
        <f aca="false">IF(B99="","",I99+M99)</f>
        <v/>
      </c>
    </row>
    <row r="100" customFormat="false" ht="15" hidden="false" customHeight="false" outlineLevel="0" collapsed="false">
      <c r="A100" s="18" t="str">
        <f aca="false">IF(B100="","",ROW()-4)</f>
        <v/>
      </c>
      <c r="B100" s="28" t="str">
        <f aca="false">IF(LUONG!B101="","",IF(LUONG!J101="Có",LUONG!B101,""))</f>
        <v/>
      </c>
      <c r="C100" s="18" t="str">
        <f aca="false">IF(B100="","",LUONG!C101)</f>
        <v/>
      </c>
      <c r="D100" s="18" t="str">
        <f aca="false">IF(B100="","",LUONG!D101)</f>
        <v/>
      </c>
      <c r="E100" s="29" t="str">
        <f aca="false">IF(B100="","",LUONG!I101)</f>
        <v/>
      </c>
      <c r="F100" s="29" t="str">
        <f aca="false">IF($B100="","",ROUNDUP($E100*0.175,0))</f>
        <v/>
      </c>
      <c r="G100" s="29" t="str">
        <f aca="false">IF($B100="","",ROUNDUP($E100*0.03,0))</f>
        <v/>
      </c>
      <c r="H100" s="29" t="str">
        <f aca="false">IF($B100="","",ROUNDUP($E100*0.01,0))</f>
        <v/>
      </c>
      <c r="I100" s="29" t="str">
        <f aca="false">IF(B100="","",SUM(F100:H100))</f>
        <v/>
      </c>
      <c r="J100" s="29" t="str">
        <f aca="false">IF($B100="","",ROUNDUP($E100*0.08,0))</f>
        <v/>
      </c>
      <c r="K100" s="29" t="str">
        <f aca="false">IF($B100="","",ROUNDUP($E100*0.015,0))</f>
        <v/>
      </c>
      <c r="L100" s="29" t="str">
        <f aca="false">IF($B100="","",ROUNDUP($E100*0.01,0))</f>
        <v/>
      </c>
      <c r="M100" s="29" t="str">
        <f aca="false">IF(B100="","",SUM(J100:L100))</f>
        <v/>
      </c>
      <c r="N100" s="29" t="str">
        <f aca="false">IF(B100="","",I100+M100)</f>
        <v/>
      </c>
    </row>
    <row r="101" customFormat="false" ht="15" hidden="false" customHeight="false" outlineLevel="0" collapsed="false">
      <c r="A101" s="18" t="str">
        <f aca="false">IF(B101="","",ROW()-4)</f>
        <v/>
      </c>
      <c r="B101" s="28" t="str">
        <f aca="false">IF(LUONG!B102="","",IF(LUONG!J102="Có",LUONG!B102,""))</f>
        <v/>
      </c>
      <c r="C101" s="18" t="str">
        <f aca="false">IF(B101="","",LUONG!C102)</f>
        <v/>
      </c>
      <c r="D101" s="18" t="str">
        <f aca="false">IF(B101="","",LUONG!D102)</f>
        <v/>
      </c>
      <c r="E101" s="29" t="str">
        <f aca="false">IF(B101="","",LUONG!I102)</f>
        <v/>
      </c>
      <c r="F101" s="29" t="str">
        <f aca="false">IF($B101="","",ROUNDUP($E101*0.175,0))</f>
        <v/>
      </c>
      <c r="G101" s="29" t="str">
        <f aca="false">IF($B101="","",ROUNDUP($E101*0.03,0))</f>
        <v/>
      </c>
      <c r="H101" s="29" t="str">
        <f aca="false">IF($B101="","",ROUNDUP($E101*0.01,0))</f>
        <v/>
      </c>
      <c r="I101" s="29" t="str">
        <f aca="false">IF(B101="","",SUM(F101:H101))</f>
        <v/>
      </c>
      <c r="J101" s="29" t="str">
        <f aca="false">IF($B101="","",ROUNDUP($E101*0.08,0))</f>
        <v/>
      </c>
      <c r="K101" s="29" t="str">
        <f aca="false">IF($B101="","",ROUNDUP($E101*0.015,0))</f>
        <v/>
      </c>
      <c r="L101" s="29" t="str">
        <f aca="false">IF($B101="","",ROUNDUP($E101*0.01,0))</f>
        <v/>
      </c>
      <c r="M101" s="29" t="str">
        <f aca="false">IF(B101="","",SUM(J101:L101))</f>
        <v/>
      </c>
      <c r="N101" s="29" t="str">
        <f aca="false">IF(B101="","",I101+M101)</f>
        <v/>
      </c>
    </row>
    <row r="102" customFormat="false" ht="15" hidden="false" customHeight="false" outlineLevel="0" collapsed="false">
      <c r="A102" s="18" t="str">
        <f aca="false">IF(B102="","",ROW()-4)</f>
        <v/>
      </c>
      <c r="B102" s="28" t="str">
        <f aca="false">IF(LUONG!B103="","",IF(LUONG!J103="Có",LUONG!B103,""))</f>
        <v/>
      </c>
      <c r="C102" s="18" t="str">
        <f aca="false">IF(B102="","",LUONG!C103)</f>
        <v/>
      </c>
      <c r="D102" s="18" t="str">
        <f aca="false">IF(B102="","",LUONG!D103)</f>
        <v/>
      </c>
      <c r="E102" s="29" t="str">
        <f aca="false">IF(B102="","",LUONG!I103)</f>
        <v/>
      </c>
      <c r="F102" s="29" t="str">
        <f aca="false">IF($B102="","",ROUNDUP($E102*0.175,0))</f>
        <v/>
      </c>
      <c r="G102" s="29" t="str">
        <f aca="false">IF($B102="","",ROUNDUP($E102*0.03,0))</f>
        <v/>
      </c>
      <c r="H102" s="29" t="str">
        <f aca="false">IF($B102="","",ROUNDUP($E102*0.01,0))</f>
        <v/>
      </c>
      <c r="I102" s="29" t="str">
        <f aca="false">IF(B102="","",SUM(F102:H102))</f>
        <v/>
      </c>
      <c r="J102" s="29" t="str">
        <f aca="false">IF($B102="","",ROUNDUP($E102*0.08,0))</f>
        <v/>
      </c>
      <c r="K102" s="29" t="str">
        <f aca="false">IF($B102="","",ROUNDUP($E102*0.015,0))</f>
        <v/>
      </c>
      <c r="L102" s="29" t="str">
        <f aca="false">IF($B102="","",ROUNDUP($E102*0.01,0))</f>
        <v/>
      </c>
      <c r="M102" s="29" t="str">
        <f aca="false">IF(B102="","",SUM(J102:L102))</f>
        <v/>
      </c>
      <c r="N102" s="29" t="str">
        <f aca="false">IF(B102="","",I102+M102)</f>
        <v/>
      </c>
    </row>
    <row r="103" customFormat="false" ht="15" hidden="false" customHeight="false" outlineLevel="0" collapsed="false">
      <c r="A103" s="18" t="str">
        <f aca="false">IF(B103="","",ROW()-4)</f>
        <v/>
      </c>
      <c r="B103" s="28" t="str">
        <f aca="false">IF(LUONG!B104="","",IF(LUONG!J104="Có",LUONG!B104,""))</f>
        <v/>
      </c>
      <c r="C103" s="18" t="str">
        <f aca="false">IF(B103="","",LUONG!C104)</f>
        <v/>
      </c>
      <c r="D103" s="18" t="str">
        <f aca="false">IF(B103="","",LUONG!D104)</f>
        <v/>
      </c>
      <c r="E103" s="29" t="str">
        <f aca="false">IF(B103="","",LUONG!I104)</f>
        <v/>
      </c>
      <c r="F103" s="29" t="str">
        <f aca="false">IF($B103="","",ROUNDUP($E103*0.175,0))</f>
        <v/>
      </c>
      <c r="G103" s="29" t="str">
        <f aca="false">IF($B103="","",ROUNDUP($E103*0.03,0))</f>
        <v/>
      </c>
      <c r="H103" s="29" t="str">
        <f aca="false">IF($B103="","",ROUNDUP($E103*0.01,0))</f>
        <v/>
      </c>
      <c r="I103" s="29" t="str">
        <f aca="false">IF(B103="","",SUM(F103:H103))</f>
        <v/>
      </c>
      <c r="J103" s="29" t="str">
        <f aca="false">IF($B103="","",ROUNDUP($E103*0.08,0))</f>
        <v/>
      </c>
      <c r="K103" s="29" t="str">
        <f aca="false">IF($B103="","",ROUNDUP($E103*0.015,0))</f>
        <v/>
      </c>
      <c r="L103" s="29" t="str">
        <f aca="false">IF($B103="","",ROUNDUP($E103*0.01,0))</f>
        <v/>
      </c>
      <c r="M103" s="29" t="str">
        <f aca="false">IF(B103="","",SUM(J103:L103))</f>
        <v/>
      </c>
      <c r="N103" s="29" t="str">
        <f aca="false">IF(B103="","",I103+M103)</f>
        <v/>
      </c>
    </row>
    <row r="104" customFormat="false" ht="15" hidden="false" customHeight="false" outlineLevel="0" collapsed="false">
      <c r="A104" s="18" t="str">
        <f aca="false">IF(B104="","",ROW()-4)</f>
        <v/>
      </c>
      <c r="B104" s="28" t="str">
        <f aca="false">IF(LUONG!B105="","",IF(LUONG!J105="Có",LUONG!B105,""))</f>
        <v/>
      </c>
      <c r="C104" s="18" t="str">
        <f aca="false">IF(B104="","",LUONG!C105)</f>
        <v/>
      </c>
      <c r="D104" s="18" t="str">
        <f aca="false">IF(B104="","",LUONG!D105)</f>
        <v/>
      </c>
      <c r="E104" s="29" t="str">
        <f aca="false">IF(B104="","",LUONG!I105)</f>
        <v/>
      </c>
      <c r="F104" s="29" t="str">
        <f aca="false">IF($B104="","",ROUNDUP($E104*0.175,0))</f>
        <v/>
      </c>
      <c r="G104" s="29" t="str">
        <f aca="false">IF($B104="","",ROUNDUP($E104*0.03,0))</f>
        <v/>
      </c>
      <c r="H104" s="29" t="str">
        <f aca="false">IF($B104="","",ROUNDUP($E104*0.01,0))</f>
        <v/>
      </c>
      <c r="I104" s="29" t="str">
        <f aca="false">IF(B104="","",SUM(F104:H104))</f>
        <v/>
      </c>
      <c r="J104" s="29" t="str">
        <f aca="false">IF($B104="","",ROUNDUP($E104*0.08,0))</f>
        <v/>
      </c>
      <c r="K104" s="29" t="str">
        <f aca="false">IF($B104="","",ROUNDUP($E104*0.015,0))</f>
        <v/>
      </c>
      <c r="L104" s="29" t="str">
        <f aca="false">IF($B104="","",ROUNDUP($E104*0.01,0))</f>
        <v/>
      </c>
      <c r="M104" s="29" t="str">
        <f aca="false">IF(B104="","",SUM(J104:L104))</f>
        <v/>
      </c>
      <c r="N104" s="29" t="str">
        <f aca="false">IF(B104="","",I104+M104)</f>
        <v/>
      </c>
    </row>
    <row r="105" customFormat="false" ht="15" hidden="false" customHeight="false" outlineLevel="0" collapsed="false">
      <c r="A105" s="18" t="str">
        <f aca="false">IF(B105="","",ROW()-4)</f>
        <v/>
      </c>
      <c r="B105" s="28" t="str">
        <f aca="false">IF(LUONG!B106="","",IF(LUONG!J106="Có",LUONG!B106,""))</f>
        <v/>
      </c>
      <c r="C105" s="18" t="str">
        <f aca="false">IF(B105="","",LUONG!C106)</f>
        <v/>
      </c>
      <c r="D105" s="18" t="str">
        <f aca="false">IF(B105="","",LUONG!D106)</f>
        <v/>
      </c>
      <c r="E105" s="29" t="str">
        <f aca="false">IF(B105="","",LUONG!I106)</f>
        <v/>
      </c>
      <c r="F105" s="29" t="str">
        <f aca="false">IF($B105="","",ROUNDUP($E105*0.175,0))</f>
        <v/>
      </c>
      <c r="G105" s="29" t="str">
        <f aca="false">IF($B105="","",ROUNDUP($E105*0.03,0))</f>
        <v/>
      </c>
      <c r="H105" s="29" t="str">
        <f aca="false">IF($B105="","",ROUNDUP($E105*0.01,0))</f>
        <v/>
      </c>
      <c r="I105" s="29" t="str">
        <f aca="false">IF(B105="","",SUM(F105:H105))</f>
        <v/>
      </c>
      <c r="J105" s="29" t="str">
        <f aca="false">IF($B105="","",ROUNDUP($E105*0.08,0))</f>
        <v/>
      </c>
      <c r="K105" s="29" t="str">
        <f aca="false">IF($B105="","",ROUNDUP($E105*0.015,0))</f>
        <v/>
      </c>
      <c r="L105" s="29" t="str">
        <f aca="false">IF($B105="","",ROUNDUP($E105*0.01,0))</f>
        <v/>
      </c>
      <c r="M105" s="29" t="str">
        <f aca="false">IF(B105="","",SUM(J105:L105))</f>
        <v/>
      </c>
      <c r="N105" s="29" t="str">
        <f aca="false">IF(B105="","",I105+M105)</f>
        <v/>
      </c>
    </row>
    <row r="106" customFormat="false" ht="15" hidden="false" customHeight="false" outlineLevel="0" collapsed="false">
      <c r="A106" s="18" t="str">
        <f aca="false">IF(B106="","",ROW()-4)</f>
        <v/>
      </c>
      <c r="B106" s="28" t="str">
        <f aca="false">IF(LUONG!B107="","",IF(LUONG!J107="Có",LUONG!B107,""))</f>
        <v/>
      </c>
      <c r="C106" s="18" t="str">
        <f aca="false">IF(B106="","",LUONG!C107)</f>
        <v/>
      </c>
      <c r="D106" s="18" t="str">
        <f aca="false">IF(B106="","",LUONG!D107)</f>
        <v/>
      </c>
      <c r="E106" s="29" t="str">
        <f aca="false">IF(B106="","",LUONG!I107)</f>
        <v/>
      </c>
      <c r="F106" s="29" t="str">
        <f aca="false">IF($B106="","",ROUNDUP($E106*0.175,0))</f>
        <v/>
      </c>
      <c r="G106" s="29" t="str">
        <f aca="false">IF($B106="","",ROUNDUP($E106*0.03,0))</f>
        <v/>
      </c>
      <c r="H106" s="29" t="str">
        <f aca="false">IF($B106="","",ROUNDUP($E106*0.01,0))</f>
        <v/>
      </c>
      <c r="I106" s="29" t="str">
        <f aca="false">IF(B106="","",SUM(F106:H106))</f>
        <v/>
      </c>
      <c r="J106" s="29" t="str">
        <f aca="false">IF($B106="","",ROUNDUP($E106*0.08,0))</f>
        <v/>
      </c>
      <c r="K106" s="29" t="str">
        <f aca="false">IF($B106="","",ROUNDUP($E106*0.015,0))</f>
        <v/>
      </c>
      <c r="L106" s="29" t="str">
        <f aca="false">IF($B106="","",ROUNDUP($E106*0.01,0))</f>
        <v/>
      </c>
      <c r="M106" s="29" t="str">
        <f aca="false">IF(B106="","",SUM(J106:L106))</f>
        <v/>
      </c>
      <c r="N106" s="29" t="str">
        <f aca="false">IF(B106="","",I106+M106)</f>
        <v/>
      </c>
    </row>
    <row r="107" customFormat="false" ht="15" hidden="false" customHeight="false" outlineLevel="0" collapsed="false">
      <c r="A107" s="18" t="str">
        <f aca="false">IF(B107="","",ROW()-4)</f>
        <v/>
      </c>
      <c r="B107" s="28" t="str">
        <f aca="false">IF(LUONG!B108="","",IF(LUONG!J108="Có",LUONG!B108,""))</f>
        <v/>
      </c>
      <c r="C107" s="18" t="str">
        <f aca="false">IF(B107="","",LUONG!C108)</f>
        <v/>
      </c>
      <c r="D107" s="18" t="str">
        <f aca="false">IF(B107="","",LUONG!D108)</f>
        <v/>
      </c>
      <c r="E107" s="29" t="str">
        <f aca="false">IF(B107="","",LUONG!I108)</f>
        <v/>
      </c>
      <c r="F107" s="29" t="str">
        <f aca="false">IF($B107="","",ROUNDUP($E107*0.175,0))</f>
        <v/>
      </c>
      <c r="G107" s="29" t="str">
        <f aca="false">IF($B107="","",ROUNDUP($E107*0.03,0))</f>
        <v/>
      </c>
      <c r="H107" s="29" t="str">
        <f aca="false">IF($B107="","",ROUNDUP($E107*0.01,0))</f>
        <v/>
      </c>
      <c r="I107" s="29" t="str">
        <f aca="false">IF(B107="","",SUM(F107:H107))</f>
        <v/>
      </c>
      <c r="J107" s="29" t="str">
        <f aca="false">IF($B107="","",ROUNDUP($E107*0.08,0))</f>
        <v/>
      </c>
      <c r="K107" s="29" t="str">
        <f aca="false">IF($B107="","",ROUNDUP($E107*0.015,0))</f>
        <v/>
      </c>
      <c r="L107" s="29" t="str">
        <f aca="false">IF($B107="","",ROUNDUP($E107*0.01,0))</f>
        <v/>
      </c>
      <c r="M107" s="29" t="str">
        <f aca="false">IF(B107="","",SUM(J107:L107))</f>
        <v/>
      </c>
      <c r="N107" s="29" t="str">
        <f aca="false">IF(B107="","",I107+M107)</f>
        <v/>
      </c>
    </row>
    <row r="108" customFormat="false" ht="15" hidden="false" customHeight="false" outlineLevel="0" collapsed="false">
      <c r="A108" s="18" t="str">
        <f aca="false">IF(B108="","",ROW()-4)</f>
        <v/>
      </c>
      <c r="B108" s="28" t="str">
        <f aca="false">IF(LUONG!B109="","",IF(LUONG!J109="Có",LUONG!B109,""))</f>
        <v/>
      </c>
      <c r="C108" s="18" t="str">
        <f aca="false">IF(B108="","",LUONG!C109)</f>
        <v/>
      </c>
      <c r="D108" s="18" t="str">
        <f aca="false">IF(B108="","",LUONG!D109)</f>
        <v/>
      </c>
      <c r="E108" s="29" t="str">
        <f aca="false">IF(B108="","",LUONG!I109)</f>
        <v/>
      </c>
      <c r="F108" s="29" t="str">
        <f aca="false">IF($B108="","",ROUNDUP($E108*0.175,0))</f>
        <v/>
      </c>
      <c r="G108" s="29" t="str">
        <f aca="false">IF($B108="","",ROUNDUP($E108*0.03,0))</f>
        <v/>
      </c>
      <c r="H108" s="29" t="str">
        <f aca="false">IF($B108="","",ROUNDUP($E108*0.01,0))</f>
        <v/>
      </c>
      <c r="I108" s="29" t="str">
        <f aca="false">IF(B108="","",SUM(F108:H108))</f>
        <v/>
      </c>
      <c r="J108" s="29" t="str">
        <f aca="false">IF($B108="","",ROUNDUP($E108*0.08,0))</f>
        <v/>
      </c>
      <c r="K108" s="29" t="str">
        <f aca="false">IF($B108="","",ROUNDUP($E108*0.015,0))</f>
        <v/>
      </c>
      <c r="L108" s="29" t="str">
        <f aca="false">IF($B108="","",ROUNDUP($E108*0.01,0))</f>
        <v/>
      </c>
      <c r="M108" s="29" t="str">
        <f aca="false">IF(B108="","",SUM(J108:L108))</f>
        <v/>
      </c>
      <c r="N108" s="29" t="str">
        <f aca="false">IF(B108="","",I108+M108)</f>
        <v/>
      </c>
    </row>
    <row r="109" customFormat="false" ht="15" hidden="false" customHeight="false" outlineLevel="0" collapsed="false">
      <c r="A109" s="18" t="str">
        <f aca="false">IF(B109="","",ROW()-4)</f>
        <v/>
      </c>
      <c r="B109" s="28" t="str">
        <f aca="false">IF(LUONG!B110="","",IF(LUONG!J110="Có",LUONG!B110,""))</f>
        <v/>
      </c>
      <c r="C109" s="18" t="str">
        <f aca="false">IF(B109="","",LUONG!C110)</f>
        <v/>
      </c>
      <c r="D109" s="18" t="str">
        <f aca="false">IF(B109="","",LUONG!D110)</f>
        <v/>
      </c>
      <c r="E109" s="29" t="str">
        <f aca="false">IF(B109="","",LUONG!I110)</f>
        <v/>
      </c>
      <c r="F109" s="29" t="str">
        <f aca="false">IF($B109="","",ROUNDUP($E109*0.175,0))</f>
        <v/>
      </c>
      <c r="G109" s="29" t="str">
        <f aca="false">IF($B109="","",ROUNDUP($E109*0.03,0))</f>
        <v/>
      </c>
      <c r="H109" s="29" t="str">
        <f aca="false">IF($B109="","",ROUNDUP($E109*0.01,0))</f>
        <v/>
      </c>
      <c r="I109" s="29" t="str">
        <f aca="false">IF(B109="","",SUM(F109:H109))</f>
        <v/>
      </c>
      <c r="J109" s="29" t="str">
        <f aca="false">IF($B109="","",ROUNDUP($E109*0.08,0))</f>
        <v/>
      </c>
      <c r="K109" s="29" t="str">
        <f aca="false">IF($B109="","",ROUNDUP($E109*0.015,0))</f>
        <v/>
      </c>
      <c r="L109" s="29" t="str">
        <f aca="false">IF($B109="","",ROUNDUP($E109*0.01,0))</f>
        <v/>
      </c>
      <c r="M109" s="29" t="str">
        <f aca="false">IF(B109="","",SUM(J109:L109))</f>
        <v/>
      </c>
      <c r="N109" s="29" t="str">
        <f aca="false">IF(B109="","",I109+M109)</f>
        <v/>
      </c>
    </row>
    <row r="110" customFormat="false" ht="15" hidden="false" customHeight="false" outlineLevel="0" collapsed="false">
      <c r="A110" s="18" t="str">
        <f aca="false">IF(B110="","",ROW()-4)</f>
        <v/>
      </c>
      <c r="B110" s="28" t="str">
        <f aca="false">IF(LUONG!B111="","",IF(LUONG!J111="Có",LUONG!B111,""))</f>
        <v/>
      </c>
      <c r="C110" s="18" t="str">
        <f aca="false">IF(B110="","",LUONG!C111)</f>
        <v/>
      </c>
      <c r="D110" s="18" t="str">
        <f aca="false">IF(B110="","",LUONG!D111)</f>
        <v/>
      </c>
      <c r="E110" s="29" t="str">
        <f aca="false">IF(B110="","",LUONG!I111)</f>
        <v/>
      </c>
      <c r="F110" s="29" t="str">
        <f aca="false">IF($B110="","",ROUNDUP($E110*0.175,0))</f>
        <v/>
      </c>
      <c r="G110" s="29" t="str">
        <f aca="false">IF($B110="","",ROUNDUP($E110*0.03,0))</f>
        <v/>
      </c>
      <c r="H110" s="29" t="str">
        <f aca="false">IF($B110="","",ROUNDUP($E110*0.01,0))</f>
        <v/>
      </c>
      <c r="I110" s="29" t="str">
        <f aca="false">IF(B110="","",SUM(F110:H110))</f>
        <v/>
      </c>
      <c r="J110" s="29" t="str">
        <f aca="false">IF($B110="","",ROUNDUP($E110*0.08,0))</f>
        <v/>
      </c>
      <c r="K110" s="29" t="str">
        <f aca="false">IF($B110="","",ROUNDUP($E110*0.015,0))</f>
        <v/>
      </c>
      <c r="L110" s="29" t="str">
        <f aca="false">IF($B110="","",ROUNDUP($E110*0.01,0))</f>
        <v/>
      </c>
      <c r="M110" s="29" t="str">
        <f aca="false">IF(B110="","",SUM(J110:L110))</f>
        <v/>
      </c>
      <c r="N110" s="29" t="str">
        <f aca="false">IF(B110="","",I110+M110)</f>
        <v/>
      </c>
    </row>
    <row r="111" customFormat="false" ht="15" hidden="false" customHeight="false" outlineLevel="0" collapsed="false">
      <c r="A111" s="18" t="str">
        <f aca="false">IF(B111="","",ROW()-4)</f>
        <v/>
      </c>
      <c r="B111" s="28" t="str">
        <f aca="false">IF(LUONG!B112="","",IF(LUONG!J112="Có",LUONG!B112,""))</f>
        <v/>
      </c>
      <c r="C111" s="18" t="str">
        <f aca="false">IF(B111="","",LUONG!C112)</f>
        <v/>
      </c>
      <c r="D111" s="18" t="str">
        <f aca="false">IF(B111="","",LUONG!D112)</f>
        <v/>
      </c>
      <c r="E111" s="29" t="str">
        <f aca="false">IF(B111="","",LUONG!I112)</f>
        <v/>
      </c>
      <c r="F111" s="29" t="str">
        <f aca="false">IF($B111="","",ROUNDUP($E111*0.175,0))</f>
        <v/>
      </c>
      <c r="G111" s="29" t="str">
        <f aca="false">IF($B111="","",ROUNDUP($E111*0.03,0))</f>
        <v/>
      </c>
      <c r="H111" s="29" t="str">
        <f aca="false">IF($B111="","",ROUNDUP($E111*0.01,0))</f>
        <v/>
      </c>
      <c r="I111" s="29" t="str">
        <f aca="false">IF(B111="","",SUM(F111:H111))</f>
        <v/>
      </c>
      <c r="J111" s="29" t="str">
        <f aca="false">IF($B111="","",ROUNDUP($E111*0.08,0))</f>
        <v/>
      </c>
      <c r="K111" s="29" t="str">
        <f aca="false">IF($B111="","",ROUNDUP($E111*0.015,0))</f>
        <v/>
      </c>
      <c r="L111" s="29" t="str">
        <f aca="false">IF($B111="","",ROUNDUP($E111*0.01,0))</f>
        <v/>
      </c>
      <c r="M111" s="29" t="str">
        <f aca="false">IF(B111="","",SUM(J111:L111))</f>
        <v/>
      </c>
      <c r="N111" s="29" t="str">
        <f aca="false">IF(B111="","",I111+M111)</f>
        <v/>
      </c>
    </row>
    <row r="112" customFormat="false" ht="15" hidden="false" customHeight="false" outlineLevel="0" collapsed="false">
      <c r="A112" s="18" t="str">
        <f aca="false">IF(B112="","",ROW()-4)</f>
        <v/>
      </c>
      <c r="B112" s="28" t="str">
        <f aca="false">IF(LUONG!B113="","",IF(LUONG!J113="Có",LUONG!B113,""))</f>
        <v/>
      </c>
      <c r="C112" s="18" t="str">
        <f aca="false">IF(B112="","",LUONG!C113)</f>
        <v/>
      </c>
      <c r="D112" s="18" t="str">
        <f aca="false">IF(B112="","",LUONG!D113)</f>
        <v/>
      </c>
      <c r="E112" s="29" t="str">
        <f aca="false">IF(B112="","",LUONG!I113)</f>
        <v/>
      </c>
      <c r="F112" s="29" t="str">
        <f aca="false">IF($B112="","",ROUNDUP($E112*0.175,0))</f>
        <v/>
      </c>
      <c r="G112" s="29" t="str">
        <f aca="false">IF($B112="","",ROUNDUP($E112*0.03,0))</f>
        <v/>
      </c>
      <c r="H112" s="29" t="str">
        <f aca="false">IF($B112="","",ROUNDUP($E112*0.01,0))</f>
        <v/>
      </c>
      <c r="I112" s="29" t="str">
        <f aca="false">IF(B112="","",SUM(F112:H112))</f>
        <v/>
      </c>
      <c r="J112" s="29" t="str">
        <f aca="false">IF($B112="","",ROUNDUP($E112*0.08,0))</f>
        <v/>
      </c>
      <c r="K112" s="29" t="str">
        <f aca="false">IF($B112="","",ROUNDUP($E112*0.015,0))</f>
        <v/>
      </c>
      <c r="L112" s="29" t="str">
        <f aca="false">IF($B112="","",ROUNDUP($E112*0.01,0))</f>
        <v/>
      </c>
      <c r="M112" s="29" t="str">
        <f aca="false">IF(B112="","",SUM(J112:L112))</f>
        <v/>
      </c>
      <c r="N112" s="29" t="str">
        <f aca="false">IF(B112="","",I112+M112)</f>
        <v/>
      </c>
    </row>
    <row r="113" customFormat="false" ht="15" hidden="false" customHeight="false" outlineLevel="0" collapsed="false">
      <c r="A113" s="18" t="str">
        <f aca="false">IF(B113="","",ROW()-4)</f>
        <v/>
      </c>
      <c r="B113" s="28" t="str">
        <f aca="false">IF(LUONG!B114="","",IF(LUONG!J114="Có",LUONG!B114,""))</f>
        <v/>
      </c>
      <c r="C113" s="18" t="str">
        <f aca="false">IF(B113="","",LUONG!C114)</f>
        <v/>
      </c>
      <c r="D113" s="18" t="str">
        <f aca="false">IF(B113="","",LUONG!D114)</f>
        <v/>
      </c>
      <c r="E113" s="29" t="str">
        <f aca="false">IF(B113="","",LUONG!I114)</f>
        <v/>
      </c>
      <c r="F113" s="29" t="str">
        <f aca="false">IF($B113="","",ROUNDUP($E113*0.175,0))</f>
        <v/>
      </c>
      <c r="G113" s="29" t="str">
        <f aca="false">IF($B113="","",ROUNDUP($E113*0.03,0))</f>
        <v/>
      </c>
      <c r="H113" s="29" t="str">
        <f aca="false">IF($B113="","",ROUNDUP($E113*0.01,0))</f>
        <v/>
      </c>
      <c r="I113" s="29" t="str">
        <f aca="false">IF(B113="","",SUM(F113:H113))</f>
        <v/>
      </c>
      <c r="J113" s="29" t="str">
        <f aca="false">IF($B113="","",ROUNDUP($E113*0.08,0))</f>
        <v/>
      </c>
      <c r="K113" s="29" t="str">
        <f aca="false">IF($B113="","",ROUNDUP($E113*0.015,0))</f>
        <v/>
      </c>
      <c r="L113" s="29" t="str">
        <f aca="false">IF($B113="","",ROUNDUP($E113*0.01,0))</f>
        <v/>
      </c>
      <c r="M113" s="29" t="str">
        <f aca="false">IF(B113="","",SUM(J113:L113))</f>
        <v/>
      </c>
      <c r="N113" s="29" t="str">
        <f aca="false">IF(B113="","",I113+M113)</f>
        <v/>
      </c>
    </row>
    <row r="114" customFormat="false" ht="15" hidden="false" customHeight="false" outlineLevel="0" collapsed="false">
      <c r="A114" s="18" t="str">
        <f aca="false">IF(B114="","",ROW()-4)</f>
        <v/>
      </c>
      <c r="B114" s="28" t="str">
        <f aca="false">IF(LUONG!B115="","",IF(LUONG!J115="Có",LUONG!B115,""))</f>
        <v/>
      </c>
      <c r="C114" s="18" t="str">
        <f aca="false">IF(B114="","",LUONG!C115)</f>
        <v/>
      </c>
      <c r="D114" s="18" t="str">
        <f aca="false">IF(B114="","",LUONG!D115)</f>
        <v/>
      </c>
      <c r="E114" s="29" t="str">
        <f aca="false">IF(B114="","",LUONG!I115)</f>
        <v/>
      </c>
      <c r="F114" s="29" t="str">
        <f aca="false">IF($B114="","",ROUNDUP($E114*0.175,0))</f>
        <v/>
      </c>
      <c r="G114" s="29" t="str">
        <f aca="false">IF($B114="","",ROUNDUP($E114*0.03,0))</f>
        <v/>
      </c>
      <c r="H114" s="29" t="str">
        <f aca="false">IF($B114="","",ROUNDUP($E114*0.01,0))</f>
        <v/>
      </c>
      <c r="I114" s="29" t="str">
        <f aca="false">IF(B114="","",SUM(F114:H114))</f>
        <v/>
      </c>
      <c r="J114" s="29" t="str">
        <f aca="false">IF($B114="","",ROUNDUP($E114*0.08,0))</f>
        <v/>
      </c>
      <c r="K114" s="29" t="str">
        <f aca="false">IF($B114="","",ROUNDUP($E114*0.015,0))</f>
        <v/>
      </c>
      <c r="L114" s="29" t="str">
        <f aca="false">IF($B114="","",ROUNDUP($E114*0.01,0))</f>
        <v/>
      </c>
      <c r="M114" s="29" t="str">
        <f aca="false">IF(B114="","",SUM(J114:L114))</f>
        <v/>
      </c>
      <c r="N114" s="29" t="str">
        <f aca="false">IF(B114="","",I114+M114)</f>
        <v/>
      </c>
    </row>
    <row r="115" customFormat="false" ht="15" hidden="false" customHeight="false" outlineLevel="0" collapsed="false">
      <c r="A115" s="18" t="str">
        <f aca="false">IF(B115="","",ROW()-4)</f>
        <v/>
      </c>
      <c r="B115" s="28" t="str">
        <f aca="false">IF(LUONG!B116="","",IF(LUONG!J116="Có",LUONG!B116,""))</f>
        <v/>
      </c>
      <c r="C115" s="18" t="str">
        <f aca="false">IF(B115="","",LUONG!C116)</f>
        <v/>
      </c>
      <c r="D115" s="18" t="str">
        <f aca="false">IF(B115="","",LUONG!D116)</f>
        <v/>
      </c>
      <c r="E115" s="29" t="str">
        <f aca="false">IF(B115="","",LUONG!I116)</f>
        <v/>
      </c>
      <c r="F115" s="29" t="str">
        <f aca="false">IF($B115="","",ROUNDUP($E115*0.175,0))</f>
        <v/>
      </c>
      <c r="G115" s="29" t="str">
        <f aca="false">IF($B115="","",ROUNDUP($E115*0.03,0))</f>
        <v/>
      </c>
      <c r="H115" s="29" t="str">
        <f aca="false">IF($B115="","",ROUNDUP($E115*0.01,0))</f>
        <v/>
      </c>
      <c r="I115" s="29" t="str">
        <f aca="false">IF(B115="","",SUM(F115:H115))</f>
        <v/>
      </c>
      <c r="J115" s="29" t="str">
        <f aca="false">IF($B115="","",ROUNDUP($E115*0.08,0))</f>
        <v/>
      </c>
      <c r="K115" s="29" t="str">
        <f aca="false">IF($B115="","",ROUNDUP($E115*0.015,0))</f>
        <v/>
      </c>
      <c r="L115" s="29" t="str">
        <f aca="false">IF($B115="","",ROUNDUP($E115*0.01,0))</f>
        <v/>
      </c>
      <c r="M115" s="29" t="str">
        <f aca="false">IF(B115="","",SUM(J115:L115))</f>
        <v/>
      </c>
      <c r="N115" s="29" t="str">
        <f aca="false">IF(B115="","",I115+M115)</f>
        <v/>
      </c>
    </row>
    <row r="116" customFormat="false" ht="15" hidden="false" customHeight="false" outlineLevel="0" collapsed="false">
      <c r="A116" s="18" t="str">
        <f aca="false">IF(B116="","",ROW()-4)</f>
        <v/>
      </c>
      <c r="B116" s="28" t="str">
        <f aca="false">IF(LUONG!B117="","",IF(LUONG!J117="Có",LUONG!B117,""))</f>
        <v/>
      </c>
      <c r="C116" s="18" t="str">
        <f aca="false">IF(B116="","",LUONG!C117)</f>
        <v/>
      </c>
      <c r="D116" s="18" t="str">
        <f aca="false">IF(B116="","",LUONG!D117)</f>
        <v/>
      </c>
      <c r="E116" s="29" t="str">
        <f aca="false">IF(B116="","",LUONG!I117)</f>
        <v/>
      </c>
      <c r="F116" s="29" t="str">
        <f aca="false">IF($B116="","",ROUNDUP($E116*0.175,0))</f>
        <v/>
      </c>
      <c r="G116" s="29" t="str">
        <f aca="false">IF($B116="","",ROUNDUP($E116*0.03,0))</f>
        <v/>
      </c>
      <c r="H116" s="29" t="str">
        <f aca="false">IF($B116="","",ROUNDUP($E116*0.01,0))</f>
        <v/>
      </c>
      <c r="I116" s="29" t="str">
        <f aca="false">IF(B116="","",SUM(F116:H116))</f>
        <v/>
      </c>
      <c r="J116" s="29" t="str">
        <f aca="false">IF($B116="","",ROUNDUP($E116*0.08,0))</f>
        <v/>
      </c>
      <c r="K116" s="29" t="str">
        <f aca="false">IF($B116="","",ROUNDUP($E116*0.015,0))</f>
        <v/>
      </c>
      <c r="L116" s="29" t="str">
        <f aca="false">IF($B116="","",ROUNDUP($E116*0.01,0))</f>
        <v/>
      </c>
      <c r="M116" s="29" t="str">
        <f aca="false">IF(B116="","",SUM(J116:L116))</f>
        <v/>
      </c>
      <c r="N116" s="29" t="str">
        <f aca="false">IF(B116="","",I116+M116)</f>
        <v/>
      </c>
    </row>
    <row r="117" customFormat="false" ht="15" hidden="false" customHeight="false" outlineLevel="0" collapsed="false">
      <c r="A117" s="18" t="str">
        <f aca="false">IF(B117="","",ROW()-4)</f>
        <v/>
      </c>
      <c r="B117" s="28" t="str">
        <f aca="false">IF(LUONG!B118="","",IF(LUONG!J118="Có",LUONG!B118,""))</f>
        <v/>
      </c>
      <c r="C117" s="18" t="str">
        <f aca="false">IF(B117="","",LUONG!C118)</f>
        <v/>
      </c>
      <c r="D117" s="18" t="str">
        <f aca="false">IF(B117="","",LUONG!D118)</f>
        <v/>
      </c>
      <c r="E117" s="29" t="str">
        <f aca="false">IF(B117="","",LUONG!I118)</f>
        <v/>
      </c>
      <c r="F117" s="29" t="str">
        <f aca="false">IF($B117="","",ROUNDUP($E117*0.175,0))</f>
        <v/>
      </c>
      <c r="G117" s="29" t="str">
        <f aca="false">IF($B117="","",ROUNDUP($E117*0.03,0))</f>
        <v/>
      </c>
      <c r="H117" s="29" t="str">
        <f aca="false">IF($B117="","",ROUNDUP($E117*0.01,0))</f>
        <v/>
      </c>
      <c r="I117" s="29" t="str">
        <f aca="false">IF(B117="","",SUM(F117:H117))</f>
        <v/>
      </c>
      <c r="J117" s="29" t="str">
        <f aca="false">IF($B117="","",ROUNDUP($E117*0.08,0))</f>
        <v/>
      </c>
      <c r="K117" s="29" t="str">
        <f aca="false">IF($B117="","",ROUNDUP($E117*0.015,0))</f>
        <v/>
      </c>
      <c r="L117" s="29" t="str">
        <f aca="false">IF($B117="","",ROUNDUP($E117*0.01,0))</f>
        <v/>
      </c>
      <c r="M117" s="29" t="str">
        <f aca="false">IF(B117="","",SUM(J117:L117))</f>
        <v/>
      </c>
      <c r="N117" s="29" t="str">
        <f aca="false">IF(B117="","",I117+M117)</f>
        <v/>
      </c>
    </row>
    <row r="118" customFormat="false" ht="15" hidden="false" customHeight="false" outlineLevel="0" collapsed="false">
      <c r="A118" s="18" t="str">
        <f aca="false">IF(B118="","",ROW()-4)</f>
        <v/>
      </c>
      <c r="B118" s="28" t="str">
        <f aca="false">IF(LUONG!B119="","",IF(LUONG!J119="Có",LUONG!B119,""))</f>
        <v/>
      </c>
      <c r="C118" s="18" t="str">
        <f aca="false">IF(B118="","",LUONG!C119)</f>
        <v/>
      </c>
      <c r="D118" s="18" t="str">
        <f aca="false">IF(B118="","",LUONG!D119)</f>
        <v/>
      </c>
      <c r="E118" s="29" t="str">
        <f aca="false">IF(B118="","",LUONG!I119)</f>
        <v/>
      </c>
      <c r="F118" s="29" t="str">
        <f aca="false">IF($B118="","",ROUNDUP($E118*0.175,0))</f>
        <v/>
      </c>
      <c r="G118" s="29" t="str">
        <f aca="false">IF($B118="","",ROUNDUP($E118*0.03,0))</f>
        <v/>
      </c>
      <c r="H118" s="29" t="str">
        <f aca="false">IF($B118="","",ROUNDUP($E118*0.01,0))</f>
        <v/>
      </c>
      <c r="I118" s="29" t="str">
        <f aca="false">IF(B118="","",SUM(F118:H118))</f>
        <v/>
      </c>
      <c r="J118" s="29" t="str">
        <f aca="false">IF($B118="","",ROUNDUP($E118*0.08,0))</f>
        <v/>
      </c>
      <c r="K118" s="29" t="str">
        <f aca="false">IF($B118="","",ROUNDUP($E118*0.015,0))</f>
        <v/>
      </c>
      <c r="L118" s="29" t="str">
        <f aca="false">IF($B118="","",ROUNDUP($E118*0.01,0))</f>
        <v/>
      </c>
      <c r="M118" s="29" t="str">
        <f aca="false">IF(B118="","",SUM(J118:L118))</f>
        <v/>
      </c>
      <c r="N118" s="29" t="str">
        <f aca="false">IF(B118="","",I118+M118)</f>
        <v/>
      </c>
    </row>
    <row r="119" customFormat="false" ht="15" hidden="false" customHeight="false" outlineLevel="0" collapsed="false">
      <c r="A119" s="18" t="str">
        <f aca="false">IF(B119="","",ROW()-4)</f>
        <v/>
      </c>
      <c r="B119" s="28" t="str">
        <f aca="false">IF(LUONG!B120="","",IF(LUONG!J120="Có",LUONG!B120,""))</f>
        <v/>
      </c>
      <c r="C119" s="18" t="str">
        <f aca="false">IF(B119="","",LUONG!C120)</f>
        <v/>
      </c>
      <c r="D119" s="18" t="str">
        <f aca="false">IF(B119="","",LUONG!D120)</f>
        <v/>
      </c>
      <c r="E119" s="29" t="str">
        <f aca="false">IF(B119="","",LUONG!I120)</f>
        <v/>
      </c>
      <c r="F119" s="29" t="str">
        <f aca="false">IF($B119="","",ROUNDUP($E119*0.175,0))</f>
        <v/>
      </c>
      <c r="G119" s="29" t="str">
        <f aca="false">IF($B119="","",ROUNDUP($E119*0.03,0))</f>
        <v/>
      </c>
      <c r="H119" s="29" t="str">
        <f aca="false">IF($B119="","",ROUNDUP($E119*0.01,0))</f>
        <v/>
      </c>
      <c r="I119" s="29" t="str">
        <f aca="false">IF(B119="","",SUM(F119:H119))</f>
        <v/>
      </c>
      <c r="J119" s="29" t="str">
        <f aca="false">IF($B119="","",ROUNDUP($E119*0.08,0))</f>
        <v/>
      </c>
      <c r="K119" s="29" t="str">
        <f aca="false">IF($B119="","",ROUNDUP($E119*0.015,0))</f>
        <v/>
      </c>
      <c r="L119" s="29" t="str">
        <f aca="false">IF($B119="","",ROUNDUP($E119*0.01,0))</f>
        <v/>
      </c>
      <c r="M119" s="29" t="str">
        <f aca="false">IF(B119="","",SUM(J119:L119))</f>
        <v/>
      </c>
      <c r="N119" s="29" t="str">
        <f aca="false">IF(B119="","",I119+M119)</f>
        <v/>
      </c>
    </row>
    <row r="121" customFormat="false" ht="15" hidden="false" customHeight="false" outlineLevel="0" collapsed="false">
      <c r="C121" s="3" t="s">
        <v>291</v>
      </c>
      <c r="E121" s="31" t="n">
        <f aca="false">SUM(E5:E119)</f>
        <v>67546000</v>
      </c>
      <c r="F121" s="31" t="n">
        <f aca="false">SUM(F5:F119)</f>
        <v>11820550</v>
      </c>
      <c r="G121" s="31" t="n">
        <f aca="false">SUM(G5:G119)</f>
        <v>2026380</v>
      </c>
      <c r="H121" s="31" t="n">
        <f aca="false">SUM(H5:H119)</f>
        <v>675460</v>
      </c>
      <c r="I121" s="31" t="n">
        <f aca="false">SUM(I5:I119)</f>
        <v>14522390</v>
      </c>
      <c r="J121" s="31" t="n">
        <f aca="false">SUM(J5:J119)</f>
        <v>5403680</v>
      </c>
      <c r="K121" s="31" t="n">
        <f aca="false">SUM(K5:K119)</f>
        <v>1013190</v>
      </c>
      <c r="L121" s="31" t="n">
        <f aca="false">SUM(L5:L119)</f>
        <v>675460</v>
      </c>
      <c r="M121" s="31" t="n">
        <f aca="false">SUM(M5:M119)</f>
        <v>7092330</v>
      </c>
      <c r="N121" s="31" t="n">
        <f aca="false">SUM(N5:N119)</f>
        <v>21614720</v>
      </c>
    </row>
    <row r="123" customFormat="false" ht="15" hidden="false" customHeight="false" outlineLevel="0" collapsed="false">
      <c r="C123" s="2" t="s">
        <v>371</v>
      </c>
    </row>
  </sheetData>
  <sheetProtection sheet="tru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372</v>
      </c>
    </row>
    <row r="4" customFormat="false" ht="31.5" hidden="false" customHeight="true" outlineLevel="0" collapsed="false">
      <c r="A4" s="15" t="s">
        <v>373</v>
      </c>
      <c r="B4" s="15" t="s">
        <v>374</v>
      </c>
      <c r="C4" s="15" t="s">
        <v>375</v>
      </c>
      <c r="D4" s="15" t="s">
        <v>376</v>
      </c>
      <c r="E4" s="15" t="s">
        <v>377</v>
      </c>
    </row>
    <row r="5" customFormat="false" ht="15" hidden="false" customHeight="false" outlineLevel="0" collapsed="false">
      <c r="A5" s="18" t="n">
        <v>1</v>
      </c>
      <c r="B5" s="32" t="s">
        <v>378</v>
      </c>
      <c r="C5" s="33" t="n">
        <f aca="false">SUMPRODUCT(ISTEXT(BCC_GRID)*1)-SUMPRODUCT(COUNTIF(BCC_GRID,KH_MA))+SUMPRODUCT(ISNUMBER(BCC_GRID)*IFERROR((BCC_GRID&lt;0)+(BCC_GRID&gt;24)+(MOD(BCC_GRID*2,1)&lt;&gt;0),0))</f>
        <v>0</v>
      </c>
      <c r="D5" s="34" t="str">
        <f aca="false">IF(C5=0,"OK","LỖI")</f>
        <v>OK</v>
      </c>
      <c r="E5" s="35" t="s">
        <v>379</v>
      </c>
    </row>
    <row r="6" customFormat="false" ht="15" hidden="false" customHeight="false" outlineLevel="0" collapsed="false">
      <c r="A6" s="18" t="n">
        <v>2</v>
      </c>
      <c r="B6" s="32" t="s">
        <v>380</v>
      </c>
      <c r="C6" s="33" t="n">
        <f aca="false">SUMPRODUCT(ISNUMBER(BCC_GRID)*(BCC_GRID&gt;GIO_MAX))</f>
        <v>18</v>
      </c>
      <c r="D6" s="34" t="str">
        <f aca="false">IF(C6=0,"OK","XEM LẠI")</f>
        <v>XEM LẠI</v>
      </c>
      <c r="E6" s="35" t="s">
        <v>381</v>
      </c>
    </row>
    <row r="7" customFormat="false" ht="15" hidden="false" customHeight="false" outlineLevel="0" collapsed="false">
      <c r="A7" s="18" t="n">
        <v>3</v>
      </c>
      <c r="B7" s="32" t="s">
        <v>382</v>
      </c>
      <c r="C7" s="33" t="n">
        <f aca="false">SUMPRODUCT(ISNUMBER(BCC_GRID)*(BCC!$E$4:$AI$4="CN"))</f>
        <v>54</v>
      </c>
      <c r="D7" s="34" t="str">
        <f aca="false">IF(C7=0,"OK","XEM LẠI")</f>
        <v>XEM LẠI</v>
      </c>
      <c r="E7" s="35" t="s">
        <v>383</v>
      </c>
    </row>
    <row r="8" customFormat="false" ht="15" hidden="false" customHeight="false" outlineLevel="0" collapsed="false">
      <c r="A8" s="18" t="n">
        <v>4</v>
      </c>
      <c r="B8" s="32" t="s">
        <v>384</v>
      </c>
      <c r="C8" s="33" t="n">
        <f aca="false">SUMPRODUCT(ISNUMBER(BCC_GRID)*ISNUMBER(MATCH(BCC!$E$3:$AI$3,NGAY_LE,0)))</f>
        <v>0</v>
      </c>
      <c r="D8" s="34" t="str">
        <f aca="false">IF(C8=0,"OK","XEM LẠI")</f>
        <v>OK</v>
      </c>
      <c r="E8" s="35" t="s">
        <v>385</v>
      </c>
    </row>
    <row r="9" customFormat="false" ht="15" hidden="false" customHeight="false" outlineLevel="0" collapsed="false">
      <c r="A9" s="18" t="n">
        <v>5</v>
      </c>
      <c r="B9" s="32" t="s">
        <v>386</v>
      </c>
      <c r="C9" s="33" t="n">
        <f aca="false">SUMPRODUCT((BCC_MA&lt;&gt;"")*(COUNTIF(BCC_MA,BCC_MA)&gt;1))</f>
        <v>0</v>
      </c>
      <c r="D9" s="34" t="str">
        <f aca="false">IF(C9=0,"OK","LỖI")</f>
        <v>OK</v>
      </c>
      <c r="E9" s="35" t="s">
        <v>387</v>
      </c>
    </row>
    <row r="10" customFormat="false" ht="15" hidden="false" customHeight="false" outlineLevel="0" collapsed="false">
      <c r="A10" s="18" t="n">
        <v>6</v>
      </c>
      <c r="B10" s="32" t="s">
        <v>388</v>
      </c>
      <c r="C10" s="33" t="n">
        <f aca="false">SUMPRODUCT((NV_MA&lt;&gt;"")*(COUNTIF(NV_MA,NV_MA)&gt;1))</f>
        <v>0</v>
      </c>
      <c r="D10" s="34" t="str">
        <f aca="false">IF(C10=0,"OK","LỖI")</f>
        <v>OK</v>
      </c>
      <c r="E10" s="35"/>
    </row>
    <row r="11" customFormat="false" ht="15" hidden="false" customHeight="false" outlineLevel="0" collapsed="false">
      <c r="A11" s="18" t="n">
        <v>7</v>
      </c>
      <c r="B11" s="32" t="s">
        <v>389</v>
      </c>
      <c r="C11" s="33" t="n">
        <f aca="false">COUNTIF(BCC!$C$6:$C$120,"MÃ KHÔNG CÓ")+COUNTIF(DIEU_CHINH!$C$5:$C$199,"MÃ KHÔNG CÓ")</f>
        <v>0</v>
      </c>
      <c r="D11" s="34" t="str">
        <f aca="false">IF(C11=0,"OK","LỖI")</f>
        <v>OK</v>
      </c>
      <c r="E11" s="35"/>
    </row>
    <row r="12" customFormat="false" ht="15" hidden="false" customHeight="false" outlineLevel="0" collapsed="false">
      <c r="A12" s="18" t="n">
        <v>8</v>
      </c>
      <c r="B12" s="32" t="s">
        <v>390</v>
      </c>
      <c r="C12" s="33" t="n">
        <f aca="false">SUMPRODUCT((NV_TT="Chính thức")*(NV_MA&lt;&gt;"")*(COUNTIF(BCC_MA,NV_MA)=0))</f>
        <v>0</v>
      </c>
      <c r="D12" s="34" t="str">
        <f aca="false">IF(C12=0,"OK","XEM LẠI")</f>
        <v>OK</v>
      </c>
      <c r="E12" s="35" t="s">
        <v>391</v>
      </c>
    </row>
    <row r="13" customFormat="false" ht="15" hidden="false" customHeight="false" outlineLevel="0" collapsed="false">
      <c r="A13" s="18" t="n">
        <v>9</v>
      </c>
      <c r="B13" s="32" t="s">
        <v>392</v>
      </c>
      <c r="C13" s="33" t="n">
        <f aca="false">SUMPRODUCT((BCC_MA&lt;&gt;"")*(BCC_DUYET=""))</f>
        <v>17</v>
      </c>
      <c r="D13" s="34" t="str">
        <f aca="false">IF(C13=0,"OK","LỖI")</f>
        <v>LỖI</v>
      </c>
      <c r="E13" s="35" t="s">
        <v>393</v>
      </c>
    </row>
    <row r="14" customFormat="false" ht="15" hidden="false" customHeight="false" outlineLevel="0" collapsed="false">
      <c r="A14" s="18" t="n">
        <v>10</v>
      </c>
      <c r="B14" s="32" t="s">
        <v>394</v>
      </c>
      <c r="C14" s="33" t="n">
        <f aca="false">COUNTIFS(DIEU_CHINH!$D$5:$D$199,"Chuyên cần",DIEU_CHINH!$I$5:$I$199,"?")</f>
        <v>3</v>
      </c>
      <c r="D14" s="34" t="str">
        <f aca="false">IF(C14=0,"OK","LỖI")</f>
        <v>LỖI</v>
      </c>
      <c r="E14" s="35" t="s">
        <v>395</v>
      </c>
    </row>
    <row r="15" customFormat="false" ht="15" hidden="false" customHeight="false" outlineLevel="0" collapsed="false">
      <c r="A15" s="18" t="n">
        <v>11</v>
      </c>
      <c r="B15" s="32" t="s">
        <v>396</v>
      </c>
      <c r="C15" s="33" t="n">
        <f aca="false">SUMPRODUCT((LG_MA&lt;&gt;"")*IFERROR(1*(LG_CONG&gt;LUONG!$F$6:$F$120+6),0))</f>
        <v>5</v>
      </c>
      <c r="D15" s="34" t="str">
        <f aca="false">IF(C15=0,"OK","XEM LẠI")</f>
        <v>XEM LẠI</v>
      </c>
      <c r="E15" s="35"/>
    </row>
    <row r="16" customFormat="false" ht="15" hidden="false" customHeight="false" outlineLevel="0" collapsed="false">
      <c r="A16" s="18" t="n">
        <v>12</v>
      </c>
      <c r="B16" s="32" t="s">
        <v>397</v>
      </c>
      <c r="C16" s="33" t="n">
        <f aca="false">SUMPRODUCT(--ISERROR(LUONG!$A$6:$AG$120))+SUMPRODUCT(--ISERROR(BHXH!$A$5:$N$119))</f>
        <v>0</v>
      </c>
      <c r="D16" s="34" t="str">
        <f aca="false">IF(C16=0,"OK","LỖI")</f>
        <v>OK</v>
      </c>
      <c r="E16" s="35"/>
    </row>
    <row r="17" customFormat="false" ht="15" hidden="false" customHeight="false" outlineLevel="0" collapsed="false">
      <c r="A17" s="18" t="n">
        <v>13</v>
      </c>
      <c r="B17" s="32" t="s">
        <v>398</v>
      </c>
      <c r="C17" s="33" t="n">
        <f aca="false">COUNTIF(LG_TN,"&lt;0")</f>
        <v>0</v>
      </c>
      <c r="D17" s="34" t="str">
        <f aca="false">IF(C17=0,"OK","LỖI")</f>
        <v>OK</v>
      </c>
      <c r="E17" s="35" t="s">
        <v>399</v>
      </c>
    </row>
    <row r="18" customFormat="false" ht="15" hidden="false" customHeight="false" outlineLevel="0" collapsed="false">
      <c r="A18" s="18" t="n">
        <v>14</v>
      </c>
      <c r="B18" s="32" t="s">
        <v>400</v>
      </c>
      <c r="C18" s="33" t="n">
        <f aca="false">BCC!$AK$122-LUONG!$M$122</f>
        <v>0</v>
      </c>
      <c r="D18" s="34" t="str">
        <f aca="false">IF(ABS(C18)&lt;0.001,"OK","LỖI")</f>
        <v>OK</v>
      </c>
      <c r="E18" s="35"/>
    </row>
    <row r="20" customFormat="false" ht="15" hidden="false" customHeight="false" outlineLevel="0" collapsed="false">
      <c r="B20" s="3" t="s">
        <v>401</v>
      </c>
      <c r="D20" s="36" t="str">
        <f aca="false">IF(COUNTIF(D5:D18,"LỖI")=0,"ĐƯỢC CHỐT","CHƯA ĐƯỢC CHỐT")</f>
        <v>CHƯA ĐƯỢC CHỐT</v>
      </c>
    </row>
  </sheetData>
  <sheetProtection sheet="true" formatColumns="false" formatRows="false" sort="false" autoFilter="false"/>
  <conditionalFormatting sqref="D5:D18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5">
      <formula>"LỖI"</formula>
    </cfRule>
    <cfRule type="cellIs" priority="4" operator="equal" aboveAverage="0" equalAverage="0" bottom="0" percent="0" rank="0" text="" dxfId="6">
      <formula>"XEM LẠI"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2026-09-13T01:42:34Z</dcterms:created>
  <dc:creator>openpyxl</dc:creator>
  <dc:description/>
  <dc:language>en-US</dc:language>
  <cp:lastModifiedBy/>
  <dcterms:modified xsi:type="dcterms:W3CDTF">2026-09-13T01:42:35Z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