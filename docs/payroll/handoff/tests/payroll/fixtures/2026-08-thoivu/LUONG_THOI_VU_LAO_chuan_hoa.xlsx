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DSD" sheetId="1" state="visible" r:id="rId3"/>
    <sheet name="THAM_SO" sheetId="2" state="visible" r:id="rId4"/>
    <sheet name="NHOM" sheetId="3" state="visible" r:id="rId5"/>
    <sheet name="NHAN_VIEN" sheetId="4" state="visible" r:id="rId6"/>
    <sheet name="BCC" sheetId="5" state="visible" r:id="rId7"/>
    <sheet name="KHOAN_TAN" sheetId="6" state="visible" r:id="rId8"/>
    <sheet name="KT_NGUOI" sheetId="7" state="visible" r:id="rId9"/>
    <sheet name="PB_TO" sheetId="8" state="visible" r:id="rId10"/>
    <sheet name="DIEU_CHINH" sheetId="9" state="visible" r:id="rId11"/>
    <sheet name="LUONG" sheetId="10" state="visible" r:id="rId12"/>
    <sheet name="KIEM_TRA" sheetId="11" state="visible" r:id="rId13"/>
  </sheets>
  <definedNames>
    <definedName function="false" hidden="false" name="BCC_CONG" vbProcedure="false">BCC!$AM$6:$AM$100</definedName>
    <definedName function="false" hidden="false" name="BCC_DEM" vbProcedure="false">BCC!$AN$6:$AN$100</definedName>
    <definedName function="false" hidden="false" name="BCC_DG" vbProcedure="false">BCC!$E$6:$E$100</definedName>
    <definedName function="false" hidden="false" name="BCC_DUYET" vbProcedure="false">BCC!$AP$6:$AP$100</definedName>
    <definedName function="false" hidden="false" name="BCC_GIOCONG" vbProcedure="false">BCC!$F$6:$F$100</definedName>
    <definedName function="false" hidden="false" name="BCC_GRID" vbProcedure="false">BCC!$G$6:$AK$100</definedName>
    <definedName function="false" hidden="false" name="BCC_MA" vbProcedure="false">BCC!$B$6:$B$100</definedName>
    <definedName function="false" hidden="false" name="BCC_NGAY" vbProcedure="false">BCC!$G$3:$AK$3</definedName>
    <definedName function="false" hidden="false" name="BCC_NHOM" vbProcedure="false">BCC!$D$6:$D$100</definedName>
    <definedName function="false" hidden="false" name="BCC_THU" vbProcedure="false">BCC!$G$4:$AK$4</definedName>
    <definedName function="false" hidden="false" name="DC_DUYET" vbProcedure="false">DIEU_CHINH!$I$5:$I$149</definedName>
    <definedName function="false" hidden="false" name="DC_LOAI" vbProcedure="false">DIEU_CHINH!$D$5:$D$149</definedName>
    <definedName function="false" hidden="false" name="DC_MA" vbProcedure="false">DIEU_CHINH!$B$5:$B$149</definedName>
    <definedName function="false" hidden="false" name="DC_VND" vbProcedure="false">DIEU_CHINH!$G$5:$G$149</definedName>
    <definedName function="false" hidden="false" name="DG_BOCXEP" vbProcedure="false">THAM_SO!$C$9</definedName>
    <definedName function="false" hidden="false" name="GIO_MAX" vbProcedure="false">THAM_SO!$C$8</definedName>
    <definedName function="false" hidden="false" name="KTN_MA" vbProcedure="false">KT_NGUOI!$B$6:$B$100</definedName>
    <definedName function="false" hidden="false" name="KTN_TO" vbProcedure="false">KT_NGUOI!$D$6:$D$100</definedName>
    <definedName function="false" hidden="false" name="KTN_TONG" vbProcedure="false">KT_NGUOI!$AL$6:$AL$100</definedName>
    <definedName function="false" hidden="false" name="KT_LOAI" vbProcedure="false">KHOAN_TAN!$C$5:$C$80</definedName>
    <definedName function="false" hidden="false" name="KT_M1" vbProcedure="false">KHOAN_TAN!$I$5:$I$80</definedName>
    <definedName function="false" hidden="false" name="KT_M2" vbProcedure="false">KHOAN_TAN!$J$5:$J$80</definedName>
    <definedName function="false" hidden="false" name="KT_M3" vbProcedure="false">KHOAN_TAN!$K$5:$K$80</definedName>
    <definedName function="false" hidden="false" name="KT_N" vbProcedure="false">KHOAN_TAN!$L$5:$L$80</definedName>
    <definedName function="false" hidden="false" name="KT_NGAY" vbProcedure="false">KHOAN_TAN!$B$5:$B$80</definedName>
    <definedName function="false" hidden="false" name="KT_PHAN" vbProcedure="false">KHOAN_TAN!$M$5:$M$80</definedName>
    <definedName function="false" hidden="false" name="KT_TIEN" vbProcedure="false">KHOAN_TAN!$H$5:$H$80</definedName>
    <definedName function="false" hidden="false" name="KT_TO" vbProcedure="false">KHOAN_TAN!$D$5:$D$80</definedName>
    <definedName function="false" hidden="false" name="KT_TRUONG" vbProcedure="false">KHOAN_TAN!$N$5:$N$80</definedName>
    <definedName function="false" hidden="false" name="KY" vbProcedure="false">THAM_SO!$C$5</definedName>
    <definedName function="false" hidden="false" name="LG_MA" vbProcedure="false">LUONG!$B$6:$B$100</definedName>
    <definedName function="false" hidden="false" name="LG_TN" vbProcedure="false">LUONG!$U$6:$U$100</definedName>
    <definedName function="false" hidden="false" name="NAM" vbProcedure="false">THAM_SO!$C$4</definedName>
    <definedName function="false" hidden="false" name="NH_AN" vbProcedure="false">NHOM!$G$5:$G$19</definedName>
    <definedName function="false" hidden="false" name="NH_CHIA" vbProcedure="false">NHOM!$H$5:$H$19</definedName>
    <definedName function="false" hidden="false" name="NH_DG" vbProcedure="false">NHOM!$C$5:$C$19</definedName>
    <definedName function="false" hidden="false" name="NH_GIO" vbProcedure="false">NHOM!$D$5:$D$19</definedName>
    <definedName function="false" hidden="false" name="NH_HTD" vbProcedure="false">NHOM!$F$5:$F$19</definedName>
    <definedName function="false" hidden="false" name="NH_HTN" vbProcedure="false">NHOM!$E$5:$E$19</definedName>
    <definedName function="false" hidden="false" name="NH_LT" vbProcedure="false">NHOM!$I$5:$I$19</definedName>
    <definedName function="false" hidden="false" name="NH_TEN" vbProcedure="false">NHOM!$A$5:$A$19</definedName>
    <definedName function="false" hidden="false" name="NV_AN" vbProcedure="false">NHAN_VIEN!$H$5:$H$300</definedName>
    <definedName function="false" hidden="false" name="NV_DG" vbProcedure="false">NHAN_VIEN!$F$5:$F$300</definedName>
    <definedName function="false" hidden="false" name="NV_HT" vbProcedure="false">NHAN_VIEN!$E$5:$E$300</definedName>
    <definedName function="false" hidden="false" name="NV_LT" vbProcedure="false">NHAN_VIEN!$G$5:$G$300</definedName>
    <definedName function="false" hidden="false" name="NV_MA" vbProcedure="false">NHAN_VIEN!$B$5:$B$300</definedName>
    <definedName function="false" hidden="false" name="NV_NHOM" vbProcedure="false">NHAN_VIEN!$D$5:$D$300</definedName>
    <definedName function="false" hidden="false" name="NV_TEN" vbProcedure="false">NHAN_VIEN!$C$5:$C$300</definedName>
    <definedName function="false" hidden="false" name="NV_TO" vbProcedure="false">NHAN_VIEN!$I$5:$I$300</definedName>
    <definedName function="false" hidden="false" name="NV_VT" vbProcedure="false">NHAN_VIEN!$J$5:$J$300</definedName>
    <definedName function="false" hidden="false" name="PB_TO_COUNT" vbProcedure="false">PB_TO!$B$5:$AF$14</definedName>
    <definedName function="false" hidden="false" name="PB_TO_TEN" vbProcedure="false">PB_TO!$A$5:$A$14</definedName>
    <definedName function="false" hidden="false" name="THANG" vbProcedure="false">THAM_SO!$C$3</definedName>
    <definedName function="false" hidden="false" name="TYGIA_LAK" vbProcedure="false">THAM_SO!$C$7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<sst xmlns="http://schemas.openxmlformats.org/spreadsheetml/2006/main" count="993" uniqueCount="387">
  <si>
    <t xml:space="preserve">LƯƠNG THỜI VỤ (RSS, TRỰC LÒ, A LƯỚI, THỜI VỤ HAQT, KHOÁN TẤN MỦ, BỐC XẾP) &amp; CÔNG NHÂN LÀO</t>
  </si>
  <si>
    <t xml:space="preserve">Thay cho file "ĐNTT CÔNG NHÂN THỜI VỤ", "BẢNG LƯƠNG CÔNG NHÂN THỜI VỤ HAQT" và sheet "Công nhân Lào". Một bảng công, quy tắc theo NHÓM, khoán tấn chia tổ tự động.</t>
  </si>
  <si>
    <t xml:space="preserve">QUY ƯỚC MÀU</t>
  </si>
  <si>
    <t xml:space="preserve">Chữ xanh, nền vàng nhạt</t>
  </si>
  <si>
    <t xml:space="preserve">Ô nhập liệu</t>
  </si>
  <si>
    <t xml:space="preserve">Nền vàng đậm</t>
  </si>
  <si>
    <t xml:space="preserve">Định mức theo nhóm – HCNS đổi khi có quyết định</t>
  </si>
  <si>
    <t xml:space="preserve">Chữ đen</t>
  </si>
  <si>
    <t xml:space="preserve">Công thức, đã khoá</t>
  </si>
  <si>
    <t xml:space="preserve">Nền xanh lá</t>
  </si>
  <si>
    <t xml:space="preserve">Kết quả cuối – đưa sang ĐNTT</t>
  </si>
  <si>
    <t xml:space="preserve">CÁCH CHẤM CÔNG</t>
  </si>
  <si>
    <t xml:space="preserve">Số giờ</t>
  </si>
  <si>
    <t xml:space="preserve">Ví dụ 8, 12, 8.5 (bội số 0,5). Trực lò: 12 giờ = 1 ca.</t>
  </si>
  <si>
    <t xml:space="preserve">Số giờ + N</t>
  </si>
  <si>
    <t xml:space="preserve">Ví dụ 12N = 12 giờ ca ĐÊM. Thay cho việc chọn tay ô ca đêm trong công thức cũ (SUM(J,R,S)/8).</t>
  </si>
  <si>
    <t xml:space="preserve">Một người làm 2 nhóm</t>
  </si>
  <si>
    <t xml:space="preserve">Chấm 2 dòng: cùng Mã NV, khác Nhóm (vd Lê Văn Nghị: dòng RSS + dòng Trực lò). Đơn giá riêng ghi ở cột "Đơn giá riêng" nếu khác mặc định của nhóm.</t>
  </si>
  <si>
    <t xml:space="preserve">QUY TRÌNH KỲ LƯƠNG (cả tháng hoặc nửa tháng)</t>
  </si>
  <si>
    <t xml:space="preserve">1. THAM_SO</t>
  </si>
  <si>
    <t xml:space="preserve">Tháng, năm, kỳ (Cả tháng / 1–15 / 16–31), tỷ giá kíp.</t>
  </si>
  <si>
    <t xml:space="preserve">2. NHOM</t>
  </si>
  <si>
    <t xml:space="preserve">Đơn giá ngày mặc định, giờ/công, hỗ trợ ngày/đêm, tiền ăn, ngày chia lương tháng, làm tròn – theo từng nhóm.</t>
  </si>
  <si>
    <t xml:space="preserve">3. NHAN_VIEN</t>
  </si>
  <si>
    <t xml:space="preserve">Người mới: mã, nhóm chính, hình thức (Lương ngày / Lương ca / Lương tháng / Khoán tháng), lương tháng (Lào), tổ &amp; vai trò (HAQT).</t>
  </si>
  <si>
    <t xml:space="preserve">4. BCC</t>
  </si>
  <si>
    <t xml:space="preserve">Chấm giờ. Cột Nhóm bắt buộc. Người chấm / Người duyệt.</t>
  </si>
  <si>
    <t xml:space="preserve">5. KHOAN_TAN + KT_NGUOI</t>
  </si>
  <si>
    <t xml:space="preserve">Sản lượng mủ khoán theo ngày &amp; tổ; đánh dấu x người tham gia ngày đó ở KT_NGUOI (ngày khoán tấn không chấm giờ). Tiền chia đều làm tròn xuống nghìn, trưởng tổ nhận phần dư. Bốc xếp mủ tạp đích danh (tối đa 3 người, chia đều).</t>
  </si>
  <si>
    <t xml:space="preserve">6. DIEU_CHINH</t>
  </si>
  <si>
    <t xml:space="preserve">Tạm ứng, hỗ trợ thêm, thưởng, khoản trừ – có lý do &amp; người duyệt. Tiền kíp Lào ghi LAK, tự quy đổi.</t>
  </si>
  <si>
    <t xml:space="preserve">7. LUONG, KIEM_TRA</t>
  </si>
  <si>
    <t xml:space="preserve">Tự tính. Tất cả OK mới chốt.</t>
  </si>
  <si>
    <t xml:space="preserve">PHÁT HIỆN KHI ĐỐI CHIẾU FILE CŨ (tháng 8)</t>
  </si>
  <si>
    <t xml:space="preserve">Công nhân Lào</t>
  </si>
  <si>
    <t xml:space="preserve">Nghen: gõ cứng 4.500.000 dù 31 công; Ken: chia 31 (3tr/31×19); Ngon, Lun: chia 30. File này thống nhất: lương tháng / 30 × MIN(công, 30). Ken theo quy tắc mới = 1.900.000 (cũ 1.838.710) – HCNS quyết.</t>
  </si>
  <si>
    <t xml:space="preserve">Khoán tấn HAQT</t>
  </si>
  <si>
    <t xml:space="preserve">Số tiền từng người gõ tay; suy ra quy tắc: chia đều làm tròn xuống nghìn, trưởng tổ nhận phần dư. Ngày 23/08 tổ 1 không khớp hoàn toàn → HCNS xác nhận quy tắc.</t>
  </si>
  <si>
    <t xml:space="preserve">Trần Thắng / Trần Thăng</t>
  </si>
  <si>
    <t xml:space="preserve">RSS ghi "Trần Thắng", trực lò ghi "Trần Thăng" – một người hai tên. Cần mã NV thống nhất.</t>
  </si>
  <si>
    <t xml:space="preserve">Dương (Lào) ngày 31</t>
  </si>
  <si>
    <t xml:space="preserve">Ô chấm công ghi 31 (giờ) – lỗi nhập; file này chặn bằng validation.</t>
  </si>
  <si>
    <t xml:space="preserve">A Lưới ca đêm</t>
  </si>
  <si>
    <t xml:space="preserve">Công thức cũ chọn ô bằng tay (SUM(8,J12)/8, SUM(H,T,U,V)/8) – không tái lập được; file này dùng hậu tố N.</t>
  </si>
  <si>
    <t xml:space="preserve">THAM SỐ KỲ LƯƠNG THỜI VỤ</t>
  </si>
  <si>
    <t xml:space="preserve">Tháng</t>
  </si>
  <si>
    <t xml:space="preserve">Năm</t>
  </si>
  <si>
    <t xml:space="preserve">Kỳ (Cả tháng / 1–15 / 16–31)</t>
  </si>
  <si>
    <t xml:space="preserve">Cả tháng</t>
  </si>
  <si>
    <t xml:space="preserve">Kỳ nửa tháng: chỉ các cột ngày thuộc kỳ được mở để chấm (cột ngoài kỳ tô xám).</t>
  </si>
  <si>
    <t xml:space="preserve">Tỷ giá 1 LAK (kíp) = ? VND</t>
  </si>
  <si>
    <t xml:space="preserve">VÍ DỤ – lấy tỷ giá kế toán</t>
  </si>
  <si>
    <t xml:space="preserve">Cảnh báo nếu giờ/ngày lớn hơn</t>
  </si>
  <si>
    <t xml:space="preserve">Đơn giá bốc xếp mủ tạp (đ/tấn)</t>
  </si>
  <si>
    <t xml:space="preserve">ĐỊNH MỨC THEO NHÓM LAO ĐỘNG</t>
  </si>
  <si>
    <t xml:space="preserve">Mỗi nhóm một dòng. Thêm nhóm mới = thêm dòng.</t>
  </si>
  <si>
    <t xml:space="preserve">Nhóm</t>
  </si>
  <si>
    <t xml:space="preserve">Mô tả</t>
  </si>
  <si>
    <t xml:space="preserve">Đơn giá ngày mặc định (đ/công)</t>
  </si>
  <si>
    <t xml:space="preserve">Giờ / 1 công</t>
  </si>
  <si>
    <t xml:space="preserve">Hỗ trợ / công ngày</t>
  </si>
  <si>
    <t xml:space="preserve">Hỗ trợ / công đêm</t>
  </si>
  <si>
    <t xml:space="preserve">Tiền ăn / công</t>
  </si>
  <si>
    <t xml:space="preserve">Ngày chia lương tháng</t>
  </si>
  <si>
    <t xml:space="preserve">Làm tròn xuống (đ)</t>
  </si>
  <si>
    <t xml:space="preserve">Nguồn trong file cũ</t>
  </si>
  <si>
    <t xml:space="preserve">RSS HAPĐ</t>
  </si>
  <si>
    <t xml:space="preserve">Công nhân thời vụ RSS Phong Điền</t>
  </si>
  <si>
    <t xml:space="preserve">Sheet "Công nhân thời vụ RSS": 350k, riêng Nghị 370k</t>
  </si>
  <si>
    <t xml:space="preserve">Trực lò</t>
  </si>
  <si>
    <t xml:space="preserve">Trực lò 12 giờ/ca</t>
  </si>
  <si>
    <t xml:space="preserve">Sheet "Công trực lò": 250k/12h</t>
  </si>
  <si>
    <t xml:space="preserve">A Lưới SX</t>
  </si>
  <si>
    <t xml:space="preserve">Thời vụ A Lưới – sản xuất</t>
  </si>
  <si>
    <t xml:space="preserve">80k/công ngày, 100k/ca đêm</t>
  </si>
  <si>
    <t xml:space="preserve">A Lưới RSS</t>
  </si>
  <si>
    <t xml:space="preserve">Thời vụ A Lưới – RSS</t>
  </si>
  <si>
    <t xml:space="preserve">20k/ca đêm</t>
  </si>
  <si>
    <t xml:space="preserve">Thời vụ HAQT</t>
  </si>
  <si>
    <t xml:space="preserve">Công nhân thời vụ Huy Anh Quảng Trị</t>
  </si>
  <si>
    <t xml:space="preserve">370k/công + khoán tấn theo tổ + bốc xếp</t>
  </si>
  <si>
    <t xml:space="preserve">Lào</t>
  </si>
  <si>
    <t xml:space="preserve">Lương tháng/30 × công; tiền ăn 90k/công ghi riêng từng người (file cũ chỉ Nghen có); làm tròn nghìn</t>
  </si>
  <si>
    <t xml:space="preserve">DANH MỤC LAO ĐỘNG THỜI VỤ &amp; CÔNG NHÂN LÀO</t>
  </si>
  <si>
    <t xml:space="preserve">Mã NV là khoá. Hình thức: Lương ngày (công × đơn giá) / Lương ca (ca 12h × đơn giá) / Lương tháng (lương tháng/ngày chia × công) / Khoán tháng (nhận nguyên lương tháng).</t>
  </si>
  <si>
    <t xml:space="preserve">STT</t>
  </si>
  <si>
    <t xml:space="preserve">Mã NV</t>
  </si>
  <si>
    <t xml:space="preserve">Họ và tên</t>
  </si>
  <si>
    <t xml:space="preserve">Nhóm chính</t>
  </si>
  <si>
    <t xml:space="preserve">Hình thức</t>
  </si>
  <si>
    <t xml:space="preserve">Đơn giá riêng (đ/công)</t>
  </si>
  <si>
    <t xml:space="preserve">Lương tháng (Lương tháng/Khoán tháng)</t>
  </si>
  <si>
    <t xml:space="preserve">Tiền ăn riêng (đ/công)</t>
  </si>
  <si>
    <t xml:space="preserve">Tổ (khoán tấn)</t>
  </si>
  <si>
    <t xml:space="preserve">Vai trò tổ</t>
  </si>
  <si>
    <t xml:space="preserve">Ngày vào</t>
  </si>
  <si>
    <t xml:space="preserve">Tình trạng</t>
  </si>
  <si>
    <t xml:space="preserve">Ghi chú</t>
  </si>
  <si>
    <t xml:space="preserve">RSS-01</t>
  </si>
  <si>
    <t xml:space="preserve">Hồ Thị Lẽ</t>
  </si>
  <si>
    <t xml:space="preserve">Lương ngày</t>
  </si>
  <si>
    <t xml:space="preserve">Thời vụ</t>
  </si>
  <si>
    <t xml:space="preserve">RSS-02</t>
  </si>
  <si>
    <t xml:space="preserve">Thèn Thị Giang</t>
  </si>
  <si>
    <t xml:space="preserve">RSS-03</t>
  </si>
  <si>
    <t xml:space="preserve">Lê Văn Nghị</t>
  </si>
  <si>
    <t xml:space="preserve">Đơn giá riêng 370.000 (file cũ)</t>
  </si>
  <si>
    <t xml:space="preserve">RSS-04</t>
  </si>
  <si>
    <t xml:space="preserve">Trần Thắng</t>
  </si>
  <si>
    <t xml:space="preserve">RSS-05</t>
  </si>
  <si>
    <t xml:space="preserve">Trần Phước Hùng</t>
  </si>
  <si>
    <t xml:space="preserve">RSS-06</t>
  </si>
  <si>
    <t xml:space="preserve">Lê Thị Hảo</t>
  </si>
  <si>
    <t xml:space="preserve">RSS-07</t>
  </si>
  <si>
    <t xml:space="preserve">Dương Thị Huệ</t>
  </si>
  <si>
    <t xml:space="preserve">RSS-08</t>
  </si>
  <si>
    <t xml:space="preserve">Lê Thị Như Ý</t>
  </si>
  <si>
    <t xml:space="preserve">RSS-09</t>
  </si>
  <si>
    <t xml:space="preserve">Nguyễn Thị Thùy Trang</t>
  </si>
  <si>
    <t xml:space="preserve">RSS-10</t>
  </si>
  <si>
    <t xml:space="preserve">Võ Thị Ngọc Ánh</t>
  </si>
  <si>
    <t xml:space="preserve">RSS-11</t>
  </si>
  <si>
    <t xml:space="preserve">Lê Thị Hiên</t>
  </si>
  <si>
    <t xml:space="preserve">RSS-12</t>
  </si>
  <si>
    <t xml:space="preserve">Phan Thị Như Nghĩa</t>
  </si>
  <si>
    <t xml:space="preserve">RSS-13</t>
  </si>
  <si>
    <t xml:space="preserve">Nguyễn Quyền</t>
  </si>
  <si>
    <t xml:space="preserve">RSS-14</t>
  </si>
  <si>
    <t xml:space="preserve">Lê Quốc Vượng</t>
  </si>
  <si>
    <t xml:space="preserve">RSS-15</t>
  </si>
  <si>
    <t xml:space="preserve">Ngô Quý Anh Tuấn</t>
  </si>
  <si>
    <t xml:space="preserve">AL-01</t>
  </si>
  <si>
    <t xml:space="preserve">Hồ Thị Thiệp</t>
  </si>
  <si>
    <t xml:space="preserve">AL-02</t>
  </si>
  <si>
    <t xml:space="preserve">Hồ Thượng Thành</t>
  </si>
  <si>
    <t xml:space="preserve">AL-03</t>
  </si>
  <si>
    <t xml:space="preserve">Hồ Thượng Thư</t>
  </si>
  <si>
    <t xml:space="preserve">AL-04</t>
  </si>
  <si>
    <t xml:space="preserve">Lê Minh Chai</t>
  </si>
  <si>
    <t xml:space="preserve">AL-05</t>
  </si>
  <si>
    <t xml:space="preserve">Hồ Thượng Thảo</t>
  </si>
  <si>
    <t xml:space="preserve">AL-06</t>
  </si>
  <si>
    <t xml:space="preserve">Hồ Thị Dịu</t>
  </si>
  <si>
    <t xml:space="preserve">AL-07</t>
  </si>
  <si>
    <t xml:space="preserve">Hồ Văn Lài</t>
  </si>
  <si>
    <t xml:space="preserve">QT-01</t>
  </si>
  <si>
    <t xml:space="preserve">Lê Văn Đạt</t>
  </si>
  <si>
    <t xml:space="preserve">Tổ 1</t>
  </si>
  <si>
    <t xml:space="preserve">Trưởng tổ</t>
  </si>
  <si>
    <t xml:space="preserve">QT-02</t>
  </si>
  <si>
    <t xml:space="preserve">Nguyễn Văn Ánh</t>
  </si>
  <si>
    <t xml:space="preserve">Thành viên</t>
  </si>
  <si>
    <t xml:space="preserve">QT-03</t>
  </si>
  <si>
    <t xml:space="preserve">Lê Đăng Đức</t>
  </si>
  <si>
    <t xml:space="preserve">QT-04</t>
  </si>
  <si>
    <t xml:space="preserve">Phạm Khai</t>
  </si>
  <si>
    <t xml:space="preserve">QT-05</t>
  </si>
  <si>
    <t xml:space="preserve">Nguyễn Thị Nhung</t>
  </si>
  <si>
    <t xml:space="preserve">QT-06</t>
  </si>
  <si>
    <t xml:space="preserve">Tạ Thị Na</t>
  </si>
  <si>
    <t xml:space="preserve">QT-07</t>
  </si>
  <si>
    <t xml:space="preserve">Lê Thị Thanh</t>
  </si>
  <si>
    <t xml:space="preserve">QT-08</t>
  </si>
  <si>
    <t xml:space="preserve">Nguyễn Thị Thanh</t>
  </si>
  <si>
    <t xml:space="preserve">QT-09</t>
  </si>
  <si>
    <t xml:space="preserve">Lưu Thị Lan</t>
  </si>
  <si>
    <t xml:space="preserve">QT-10</t>
  </si>
  <si>
    <t xml:space="preserve">Lê Thị Minh Thu</t>
  </si>
  <si>
    <t xml:space="preserve">QT-11</t>
  </si>
  <si>
    <t xml:space="preserve">Trần Viết Hải</t>
  </si>
  <si>
    <t xml:space="preserve">Tổ 2</t>
  </si>
  <si>
    <t xml:space="preserve">QT-12</t>
  </si>
  <si>
    <t xml:space="preserve">Phạm Gia Hiếu</t>
  </si>
  <si>
    <t xml:space="preserve">Tổ 3</t>
  </si>
  <si>
    <t xml:space="preserve">QT-13</t>
  </si>
  <si>
    <t xml:space="preserve">Nguyễn Thọ Lộc</t>
  </si>
  <si>
    <t xml:space="preserve">QT-14</t>
  </si>
  <si>
    <t xml:space="preserve">Nguyễn Phước Thành</t>
  </si>
  <si>
    <t xml:space="preserve">QT-15</t>
  </si>
  <si>
    <t xml:space="preserve">Nguyễn Thị X Thành</t>
  </si>
  <si>
    <t xml:space="preserve">QT-16</t>
  </si>
  <si>
    <t xml:space="preserve">Nguyễn Thị Mai</t>
  </si>
  <si>
    <t xml:space="preserve">QT-17</t>
  </si>
  <si>
    <t xml:space="preserve">Nguyễn Thị Điệp</t>
  </si>
  <si>
    <t xml:space="preserve">QT-18</t>
  </si>
  <si>
    <t xml:space="preserve">Trần Thị Thắm</t>
  </si>
  <si>
    <t xml:space="preserve">QT-19</t>
  </si>
  <si>
    <t xml:space="preserve">Lê Thị Thủy</t>
  </si>
  <si>
    <t xml:space="preserve">QT-20</t>
  </si>
  <si>
    <t xml:space="preserve">Nguyễn Thị Kim Thoa</t>
  </si>
  <si>
    <t xml:space="preserve">QT-21</t>
  </si>
  <si>
    <t xml:space="preserve">Hồ Xuân Đông</t>
  </si>
  <si>
    <t xml:space="preserve">QT-22</t>
  </si>
  <si>
    <t xml:space="preserve">Nguyễn Chí Thành</t>
  </si>
  <si>
    <t xml:space="preserve">QT-23</t>
  </si>
  <si>
    <t xml:space="preserve">Nguyễn Thị Vân</t>
  </si>
  <si>
    <t xml:space="preserve">QT-24</t>
  </si>
  <si>
    <t xml:space="preserve">Đào Thị Lương</t>
  </si>
  <si>
    <t xml:space="preserve">QT-25</t>
  </si>
  <si>
    <t xml:space="preserve">Trần Thị Anh</t>
  </si>
  <si>
    <t xml:space="preserve">QT-26</t>
  </si>
  <si>
    <t xml:space="preserve">Nguyễn Thị Kim Duyên</t>
  </si>
  <si>
    <t xml:space="preserve">QT-27</t>
  </si>
  <si>
    <t xml:space="preserve">Trần Thị Gái</t>
  </si>
  <si>
    <t xml:space="preserve">QT-28</t>
  </si>
  <si>
    <t xml:space="preserve">Phạm Thị Thu</t>
  </si>
  <si>
    <t xml:space="preserve">QT-29</t>
  </si>
  <si>
    <t xml:space="preserve">La Trọng Sơn</t>
  </si>
  <si>
    <t xml:space="preserve">QT-30</t>
  </si>
  <si>
    <t xml:space="preserve">Nguyễn Đình Bình</t>
  </si>
  <si>
    <t xml:space="preserve">QT-31</t>
  </si>
  <si>
    <t xml:space="preserve">Chỉ có bốc xếp mủ tạp trong tháng 8 (không có công thời vụ)</t>
  </si>
  <si>
    <t xml:space="preserve">LAO-002</t>
  </si>
  <si>
    <t xml:space="preserve">Nghen</t>
  </si>
  <si>
    <t xml:space="preserve">Lương tháng</t>
  </si>
  <si>
    <t xml:space="preserve">4.5tr/30 công + 90.000 tiền ăn/công</t>
  </si>
  <si>
    <t xml:space="preserve">LAO-003</t>
  </si>
  <si>
    <t xml:space="preserve">Ken</t>
  </si>
  <si>
    <t xml:space="preserve">LAO-004</t>
  </si>
  <si>
    <t xml:space="preserve">Dương</t>
  </si>
  <si>
    <t xml:space="preserve">Khoán tháng</t>
  </si>
  <si>
    <t xml:space="preserve">2 triệu/30 tháng</t>
  </si>
  <si>
    <t xml:space="preserve">LAO-005</t>
  </si>
  <si>
    <t xml:space="preserve">Lun (máy đào)</t>
  </si>
  <si>
    <t xml:space="preserve">10tr/30 công</t>
  </si>
  <si>
    <t xml:space="preserve">LAO-006</t>
  </si>
  <si>
    <t xml:space="preserve">Ngon</t>
  </si>
  <si>
    <t xml:space="preserve">6 triệu/30 công</t>
  </si>
  <si>
    <t xml:space="preserve">LAO-008</t>
  </si>
  <si>
    <t xml:space="preserve">Bun</t>
  </si>
  <si>
    <t xml:space="preserve">100.000 KIP/công ≈ 115.000 đ – nhập đơn giá riêng theo tỷ giá</t>
  </si>
  <si>
    <t xml:space="preserve">BẢNG CHẤM CÔNG THỜI VỤ &amp; LÀO – giờ/ngày, hậu tố N = ca đêm</t>
  </si>
  <si>
    <t xml:space="preserve">Mỗi dòng = 1 người × 1 nhóm. Cột Nhóm bắt buộc (chọn từ danh sách). Đơn giá riêng chỉ ghi khi khác mặc định.</t>
  </si>
  <si>
    <t xml:space="preserve">Đơn giá riêng</t>
  </si>
  <si>
    <t xml:space="preserve">Giờ/công</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</si>
  <si>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</si>
  <si>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</si>
  <si>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</si>
  <si>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</si>
  <si>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</si>
  <si>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</si>
  <si>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</si>
  <si>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</si>
  <si>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</si>
  <si>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</si>
  <si>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11</t>
  </si>
  <si>
    <t xml:space="preserve">12</t>
  </si>
  <si>
    <t xml:space="preserve">13</t>
  </si>
  <si>
    <t xml:space="preserve">14</t>
  </si>
  <si>
    <t xml:space="preserve">15</t>
  </si>
  <si>
    <t xml:space="preserve">16</t>
  </si>
  <si>
    <t xml:space="preserve">17</t>
  </si>
  <si>
    <t xml:space="preserve">18</t>
  </si>
  <si>
    <t xml:space="preserve">19</t>
  </si>
  <si>
    <t xml:space="preserve">20</t>
  </si>
  <si>
    <t xml:space="preserve">21</t>
  </si>
  <si>
    <t xml:space="preserve">22</t>
  </si>
  <si>
    <t xml:space="preserve">23</t>
  </si>
  <si>
    <t xml:space="preserve">24</t>
  </si>
  <si>
    <t xml:space="preserve">25</t>
  </si>
  <si>
    <t xml:space="preserve">26</t>
  </si>
  <si>
    <t xml:space="preserve">27</t>
  </si>
  <si>
    <t xml:space="preserve">28</t>
  </si>
  <si>
    <t xml:space="preserve">29</t>
  </si>
  <si>
    <t xml:space="preserve">30</t>
  </si>
  <si>
    <t xml:space="preserve">31</t>
  </si>
  <si>
    <t xml:space="preserve">Tổng giờ</t>
  </si>
  <si>
    <t xml:space="preserve">Công</t>
  </si>
  <si>
    <t xml:space="preserve">Công đêm</t>
  </si>
  <si>
    <t xml:space="preserve">Người chấm</t>
  </si>
  <si>
    <t xml:space="preserve">Người duyệt</t>
  </si>
  <si>
    <t xml:space="preserve">Max giờ/ngày (mọi dòng cùng mã)</t>
  </si>
  <si>
    <t xml:space="preserve">12N</t>
  </si>
  <si>
    <t xml:space="preserve">8N</t>
  </si>
  <si>
    <t xml:space="preserve">TỔNG</t>
  </si>
  <si>
    <t xml:space="preserve">KHOÁN TẤN MỦ THEO TỔ &amp; BỐC XẾP MỦ TẠP ĐÍCH DANH</t>
  </si>
  <si>
    <t xml:space="preserve">Thay cho sheet "SẢN LƯỢNG MŨ KHOÁN", "BỐC XẾP MŨ TẠP" và bảng tiền gõ tay "LƯƠNG KHOÁN THỜI VỤ". Loại "Tổ": chia cho người trong tổ có công ngày đó. Loại "Đích danh": chia đều cho tối đa 3 mã.</t>
  </si>
  <si>
    <t xml:space="preserve">Ngày (số)</t>
  </si>
  <si>
    <t xml:space="preserve">Loại</t>
  </si>
  <si>
    <t xml:space="preserve">Tổ</t>
  </si>
  <si>
    <t xml:space="preserve">Nội dung</t>
  </si>
  <si>
    <t xml:space="preserve">Khối lượng (kg)</t>
  </si>
  <si>
    <t xml:space="preserve">Đơn giá (đ/tấn)</t>
  </si>
  <si>
    <t xml:space="preserve">Thành tiền</t>
  </si>
  <si>
    <t xml:space="preserve">Mã NV 1</t>
  </si>
  <si>
    <t xml:space="preserve">Mã NV 2</t>
  </si>
  <si>
    <t xml:space="preserve">Mã NV 3</t>
  </si>
  <si>
    <t xml:space="preserve">Số người nhận (tổ: có công ngày đó)</t>
  </si>
  <si>
    <t xml:space="preserve">Phần mỗi người (làm tròn xuống nghìn)</t>
  </si>
  <si>
    <t xml:space="preserve">Phần trưởng tổ (dư)</t>
  </si>
  <si>
    <t xml:space="preserve">Mủ khoán</t>
  </si>
  <si>
    <t xml:space="preserve">Tổ 1 – Tổ 1 (10 người)</t>
  </si>
  <si>
    <t xml:space="preserve">Tổ 2 – Tổ 2 (10 người)</t>
  </si>
  <si>
    <t xml:space="preserve">Mủ bốc xếp (tổ)</t>
  </si>
  <si>
    <t xml:space="preserve">Tổ 3 – Tổ 3 (9 người)</t>
  </si>
  <si>
    <t xml:space="preserve">Tổ 1 – Tổ 1 (7 người)</t>
  </si>
  <si>
    <t xml:space="preserve">Tổ 2 – Tổ 2 (6 người)</t>
  </si>
  <si>
    <t xml:space="preserve">Tổ 3 – Tổ 3 (7 người)</t>
  </si>
  <si>
    <t xml:space="preserve">Tổ 1 – Tổ 1 (8 người)</t>
  </si>
  <si>
    <t xml:space="preserve">Đích danh</t>
  </si>
  <si>
    <t xml:space="preserve">Bốc xếp mủ tạp</t>
  </si>
  <si>
    <t xml:space="preserve">Quy tắc chia tổ suy ra từ số gõ tay tháng 8 (tổ 1 ngày 18: 9×435.000 + trưởng 475.000 = 4.390.000). HCNS xác nhận. Nếu tổ không có ai có công ngày đó → Số người = 0 → KIEM_TRA báo.</t>
  </si>
  <si>
    <t xml:space="preserve">THAM GIA KHOÁN TẤN THEO NGƯỜI – đánh dấu x ngày tham gia, tiền tự chia</t>
  </si>
  <si>
    <t xml:space="preserve">Đánh dấu x = tham gia với tổ của mình; ghi "Tổ 2" = hôm đó làm cùng tổ 2 (vd Sơn, Bình đi theo tổ có sản lượng). Ngày khoán tấn KHÔNG chấm giờ, nên phải đánh dấu ở đây. Cột AM trở đi: tiền tự tính.</t>
  </si>
  <si>
    <t xml:space="preserve">ĐÁNH DẤU x (nhập)</t>
  </si>
  <si>
    <t xml:space="preserve">TIỀN KHOÁN TỔ THEO NGÀY (tự tính)</t>
  </si>
  <si>
    <t xml:space="preserve">Vai trò</t>
  </si>
  <si>
    <t xml:space="preserve">Số ngày tham gia</t>
  </si>
  <si>
    <t xml:space="preserve">Tổng khoán tổ</t>
  </si>
  <si>
    <t xml:space="preserve">x</t>
  </si>
  <si>
    <t xml:space="preserve">SỐ NGƯỜI TRONG TỔ THAM GIA KHOÁN TẤN THEO NGÀY – tự tính</t>
  </si>
  <si>
    <t xml:space="preserve">Đếm dấu x ở KT_NGUOI. Tổ liệt kê ở cột A (thêm nếu có tổ mới).</t>
  </si>
  <si>
    <t xml:space="preserve">Tổ 4</t>
  </si>
  <si>
    <t xml:space="preserve">Tổ 5</t>
  </si>
  <si>
    <t xml:space="preserve">Tổ 6</t>
  </si>
  <si>
    <t xml:space="preserve">Tổ 7</t>
  </si>
  <si>
    <t xml:space="preserve">Tổ 8</t>
  </si>
  <si>
    <t xml:space="preserve">Tổ 9</t>
  </si>
  <si>
    <t xml:space="preserve">Tổ 10</t>
  </si>
  <si>
    <t xml:space="preserve">ĐIỀU CHỈNH THEO NGƯỜI – tạm ứng, hỗ trợ, thưởng, trừ</t>
  </si>
  <si>
    <t xml:space="preserve">Mỗi khoản một dòng. Tiền tệ LAK tự quy đổi theo THAM_SO. Loại "Cộng" vào tổng lương, "Tạm ứng"/"Trừ" trừ khỏi thực nhận.</t>
  </si>
  <si>
    <t xml:space="preserve">Tiền tệ</t>
  </si>
  <si>
    <t xml:space="preserve">Số tiền</t>
  </si>
  <si>
    <t xml:space="preserve">Quy đổi VND</t>
  </si>
  <si>
    <t xml:space="preserve">Lý do / căn cứ</t>
  </si>
  <si>
    <t xml:space="preserve">Cộng</t>
  </si>
  <si>
    <t xml:space="preserve">VND</t>
  </si>
  <si>
    <t xml:space="preserve">Hỗ trợ (cột AU file cũ) – chưa rõ lý do</t>
  </si>
  <si>
    <t xml:space="preserve">?</t>
  </si>
  <si>
    <t xml:space="preserve">Thưởng/hỗ trợ +500.000 gõ trong công thức N11 file cũ – chưa rõ lý do</t>
  </si>
  <si>
    <t xml:space="preserve">LAK</t>
  </si>
  <si>
    <t xml:space="preserve">Nghen 14 công đổ bê tông, hỗ trợ thêm 80.000 kíp (ghi chú sheet trực lò)</t>
  </si>
  <si>
    <t xml:space="preserve">BẢNG LƯƠNG THỜI VỤ &amp; CÔNG NHÂN LÀO</t>
  </si>
  <si>
    <t xml:space="preserve">Toàn bộ là công thức. Một người 2 nhóm = 2 dòng; cột "Thực nhận theo người" gộp về dòng đầu tiên của người đó để chi.</t>
  </si>
  <si>
    <t xml:space="preserve">Đơn giá áp dụng</t>
  </si>
  <si>
    <t xml:space="preserve">Giờ</t>
  </si>
  <si>
    <t xml:space="preserve">Lương công</t>
  </si>
  <si>
    <t xml:space="preserve">Hỗ trợ ngày</t>
  </si>
  <si>
    <t xml:space="preserve">Hỗ trợ đêm</t>
  </si>
  <si>
    <t xml:space="preserve">Tiền ăn</t>
  </si>
  <si>
    <t xml:space="preserve">Khoán tấn (tổ)</t>
  </si>
  <si>
    <t xml:space="preserve">Bốc xếp đích danh</t>
  </si>
  <si>
    <t xml:space="preserve">Cộng khác</t>
  </si>
  <si>
    <t xml:space="preserve">TỔNG LƯƠNG</t>
  </si>
  <si>
    <t xml:space="preserve">Tạm ứng</t>
  </si>
  <si>
    <t xml:space="preserve">Trừ khác</t>
  </si>
  <si>
    <t xml:space="preserve">THỰC NHẬN (dòng)</t>
  </si>
  <si>
    <t xml:space="preserve">THỰC NHẬN THEO NGƯỜI (gộp)</t>
  </si>
  <si>
    <t xml:space="preserve">Cũ: AR/AO/AM</t>
  </si>
  <si>
    <t xml:space="preserve">Cũ: AN (Lào)</t>
  </si>
  <si>
    <t xml:space="preserve">Cũ: AM/AN/AL</t>
  </si>
  <si>
    <t xml:space="preserve">Cũ: AM (A Lưới)</t>
  </si>
  <si>
    <t xml:space="preserve">Cũ: AP/AQ/AN</t>
  </si>
  <si>
    <t xml:space="preserve">Cũ: AP (A Lưới)</t>
  </si>
  <si>
    <t xml:space="preserve">Cũ: AO (Lào)</t>
  </si>
  <si>
    <t xml:space="preserve">Cũ: AL khoán</t>
  </si>
  <si>
    <t xml:space="preserve">Cũ: F Sheet2</t>
  </si>
  <si>
    <t xml:space="preserve">Cũ: AU/AT/+500k</t>
  </si>
  <si>
    <t xml:space="preserve">Cũ: AV/AQ/AP</t>
  </si>
  <si>
    <t xml:space="preserve">Cũ: AO</t>
  </si>
  <si>
    <t xml:space="preserve">Tổng theo nhóm → ĐNTT:</t>
  </si>
  <si>
    <t xml:space="preserve">KIỂM TRA TRƯỚC KHI CHỐT</t>
  </si>
  <si>
    <t xml:space="preserve">#</t>
  </si>
  <si>
    <t xml:space="preserve">Giá trị</t>
  </si>
  <si>
    <t xml:space="preserve">Kết quả</t>
  </si>
  <si>
    <t xml:space="preserve">Xử lý</t>
  </si>
  <si>
    <t xml:space="preserve">Ô chấm công không hợp lệ</t>
  </si>
  <si>
    <t xml:space="preserve">Ô đỏ trong BCC</t>
  </si>
  <si>
    <t xml:space="preserve">Ô giờ vượt mức cảnh báo</t>
  </si>
  <si>
    <t xml:space="preserve">Ô cam – xác nhận ca kép</t>
  </si>
  <si>
    <t xml:space="preserve">Dòng BCC thiếu Nhóm hoặc Nhóm không có trong NHOM</t>
  </si>
  <si>
    <t xml:space="preserve">Mã NV không có trong danh mục (BCC / KHOAN_TAN / DIEU_CHINH)</t>
  </si>
  <si>
    <t xml:space="preserve">Trùng (Mã NV + Nhóm) trong BCC</t>
  </si>
  <si>
    <t xml:space="preserve">Một người một nhóm một dòng</t>
  </si>
  <si>
    <t xml:space="preserve">Một người tổng giờ trong 1 ngày &gt; 24 (cộng các dòng)</t>
  </si>
  <si>
    <t xml:space="preserve">Xem cột AR trong BCC – giờ/ngày lớn nhất</t>
  </si>
  <si>
    <t xml:space="preserve">Khoán tổ có ngày không ai trong tổ đánh dấu tham gia (Số người = 0)</t>
  </si>
  <si>
    <t xml:space="preserve">Kiểm tra ngày/tổ ở KHOAN_TAN hoặc BCC</t>
  </si>
  <si>
    <t xml:space="preserve">Bốc xếp đích danh không có mã người nhận</t>
  </si>
  <si>
    <t xml:space="preserve">Dòng BCC chưa có Người duyệt</t>
  </si>
  <si>
    <t xml:space="preserve">Điều chỉnh chưa có người duyệt hợp lệ ("?" hoặc trống)</t>
  </si>
  <si>
    <t xml:space="preserve">HCNS ghi lý do và người duyệt</t>
  </si>
  <si>
    <t xml:space="preserve">Thực nhận âm</t>
  </si>
  <si>
    <t xml:space="preserve">Ô lỗi công thức LUONG / KT_NGUOI</t>
  </si>
  <si>
    <t xml:space="preserve">Tổng khoán tấn phân bổ = tổng KHOAN_TAN (lệch do làm tròn ≤ 1.000/dòng khoán tổ)</t>
  </si>
  <si>
    <t xml:space="preserve">Phần dư đã dồn cho trưởng tổ; nếu tổ không có trưởng, dư bị mất → bổ sung vai trò</t>
  </si>
  <si>
    <t xml:space="preserve">KẾT LUẬN</t>
  </si>
</sst>
</file>

<file path=xl/styles.xml><?xml version="1.0" encoding="utf-8"?>
<styleSheet xmlns="http://schemas.openxmlformats.org/spreadsheetml/2006/main">
  <numFmts count="11">
    <numFmt numFmtId="164" formatCode="General"/>
    <numFmt numFmtId="165" formatCode="0"/>
    <numFmt numFmtId="166" formatCode="0.000"/>
    <numFmt numFmtId="167" formatCode="#,##0;[RED]\-#,##0;\-"/>
    <numFmt numFmtId="168" formatCode="dd"/>
    <numFmt numFmtId="169" formatCode="0.0;\-0.0;\-"/>
    <numFmt numFmtId="170" formatCode="0.000;\-0.000;\-"/>
    <numFmt numFmtId="171" formatCode="General"/>
    <numFmt numFmtId="172" formatCode="#,##0"/>
    <numFmt numFmtId="173" formatCode="#,##0;\-#,##0;;"/>
    <numFmt numFmtId="174" formatCode="#,##0.###"/>
  </numFmts>
  <fonts count="12">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i val="true"/>
      <sz val="9"/>
      <color rgb="FF595959"/>
      <name val="Arial"/>
      <family val="0"/>
      <charset val="1"/>
    </font>
    <font>
      <b val="true"/>
      <sz val="10"/>
      <name val="Arial"/>
      <family val="0"/>
      <charset val="1"/>
    </font>
    <font>
      <sz val="10"/>
      <name val="Arial"/>
      <family val="0"/>
      <charset val="1"/>
    </font>
    <font>
      <sz val="10"/>
      <color rgb="FF0000FF"/>
      <name val="Arial"/>
      <family val="0"/>
      <charset val="1"/>
    </font>
    <font>
      <b val="true"/>
      <sz val="10"/>
      <color rgb="FFFFFFFF"/>
      <name val="Arial"/>
      <family val="0"/>
      <charset val="1"/>
    </font>
    <font>
      <sz val="10"/>
      <color rgb="FF008000"/>
      <name val="Arial"/>
      <family val="0"/>
      <charset val="1"/>
    </font>
    <font>
      <b val="true"/>
      <sz val="12"/>
      <color rgb="FFC00000"/>
      <name val="Arial"/>
      <family val="0"/>
      <charset val="1"/>
    </font>
  </fonts>
  <fills count="6">
    <fill>
      <patternFill patternType="none"/>
    </fill>
    <fill>
      <patternFill patternType="gray125"/>
    </fill>
    <fill>
      <patternFill patternType="solid">
        <fgColor rgb="FFFFF2CC"/>
        <bgColor rgb="FFE2EFDA"/>
      </patternFill>
    </fill>
    <fill>
      <patternFill patternType="solid">
        <fgColor rgb="FFFFFF00"/>
        <bgColor rgb="FFFFFF00"/>
      </patternFill>
    </fill>
    <fill>
      <patternFill patternType="solid">
        <fgColor rgb="FFE2EFDA"/>
        <bgColor rgb="FFDDEBF7"/>
      </patternFill>
    </fill>
    <fill>
      <patternFill patternType="solid">
        <fgColor rgb="FF1F4E79"/>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false" applyProtection="true">
      <alignment horizontal="general" vertical="bottom" textRotation="0" wrapText="false" indent="0" shrinkToFit="false"/>
      <protection locked="false" hidden="false"/>
    </xf>
    <xf numFmtId="164" fontId="8" fillId="2" borderId="1" xfId="0" applyFont="true" applyBorder="true" applyAlignment="false" applyProtection="true">
      <alignment horizontal="general" vertical="bottom" textRotation="0" wrapText="false" indent="0" shrinkToFit="false"/>
      <protection locked="false" hidden="false"/>
    </xf>
    <xf numFmtId="166" fontId="8" fillId="3" borderId="1" xfId="0" applyFont="true" applyBorder="true" applyAlignment="false" applyProtection="true">
      <alignment horizontal="general" vertical="bottom" textRotation="0" wrapText="false" indent="0" shrinkToFit="false"/>
      <protection locked="false" hidden="false"/>
    </xf>
    <xf numFmtId="165" fontId="8" fillId="3" borderId="1" xfId="0" applyFont="true" applyBorder="true" applyAlignment="false" applyProtection="true">
      <alignment horizontal="general" vertical="bottom" textRotation="0" wrapText="false" indent="0" shrinkToFit="false"/>
      <protection locked="false" hidden="false"/>
    </xf>
    <xf numFmtId="167" fontId="8" fillId="3" borderId="1" xfId="0" applyFont="true" applyBorder="true" applyAlignment="false" applyProtection="true">
      <alignment horizontal="general" vertical="bottom" textRotation="0" wrapText="false" indent="0" shrinkToFit="false"/>
      <protection locked="fals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false" applyProtection="true">
      <alignment horizontal="general" vertical="bottom" textRotation="0" wrapText="false" indent="0" shrinkToFit="false"/>
      <protection locked="false" hidden="false"/>
    </xf>
    <xf numFmtId="164" fontId="0" fillId="2" borderId="1" xfId="0" applyFont="false" applyBorder="true" applyAlignment="false" applyProtection="true">
      <alignment horizontal="general" vertical="bottom" textRotation="0" wrapText="false" indent="0" shrinkToFit="false"/>
      <protection locked="fals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7" fontId="8" fillId="2" borderId="1" xfId="0" applyFont="true" applyBorder="true" applyAlignment="false" applyProtection="true">
      <alignment horizontal="general" vertical="bottom" textRotation="0" wrapText="false" indent="0" shrinkToFit="false"/>
      <protection locked="false" hidden="false"/>
    </xf>
    <xf numFmtId="168" fontId="0" fillId="0" borderId="0" xfId="0" applyFont="fals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true">
      <alignment horizontal="center" vertical="center" textRotation="0" wrapText="true" indent="0" shrinkToFit="false"/>
      <protection locked="fals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2" fontId="8" fillId="2" borderId="1" xfId="0" applyFont="true" applyBorder="true" applyAlignment="false" applyProtection="true">
      <alignment horizontal="general" vertical="bottom" textRotation="0" wrapText="false" indent="0" shrinkToFit="false"/>
      <protection locked="fals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7" fontId="6" fillId="4" borderId="1" xfId="0" applyFont="true" applyBorder="true" applyAlignment="false" applyProtection="false">
      <alignment horizontal="general" vertical="bottom" textRotation="0" wrapText="false" indent="0" shrinkToFit="false"/>
      <protection locked="true" hidden="false"/>
    </xf>
    <xf numFmtId="173" fontId="0" fillId="0" borderId="1" xfId="0" applyFont="fals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74" fontId="0" fillId="0"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bgColor rgb="FFBFBFBF"/>
        </patternFill>
      </fill>
    </dxf>
    <dxf>
      <fill>
        <patternFill>
          <bgColor rgb="FFFF9999"/>
        </patternFill>
      </fill>
    </dxf>
    <dxf>
      <fill>
        <patternFill>
          <bgColor rgb="FFFFC000"/>
        </patternFill>
      </fill>
    </dxf>
    <dxf>
      <font>
        <name val="Arial"/>
        <charset val="1"/>
        <family val="0"/>
        <b val="1"/>
        <color rgb="FF7030A0"/>
        <sz val="10"/>
      </font>
    </dxf>
    <dxf>
      <fill>
        <patternFill>
          <bgColor rgb="FFDDEBF7"/>
        </patternFill>
      </fill>
    </dxf>
    <dxf>
      <fill>
        <patternFill>
          <bgColor rgb="FFC6EFCE"/>
        </patternFill>
      </fill>
    </dxf>
    <dxf>
      <fill>
        <patternFill>
          <bgColor rgb="FFFFC7CE"/>
        </patternFill>
      </fill>
    </dxf>
    <dxf>
      <fill>
        <patternFill>
          <bgColor rgb="FFFFEB9C"/>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FDA"/>
      <rgbColor rgb="FFC6EFCE"/>
      <rgbColor rgb="FFFFEB9C"/>
      <rgbColor rgb="FF99CCFF"/>
      <rgbColor rgb="FFFF9999"/>
      <rgbColor rgb="FFCC99FF"/>
      <rgbColor rgb="FFFFC7CE"/>
      <rgbColor rgb="FF3366FF"/>
      <rgbColor rgb="FF33CCCC"/>
      <rgbColor rgb="FF99CC00"/>
      <rgbColor rgb="FFFFC0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15"/>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6" t="s">
        <v>5</v>
      </c>
      <c r="B6" s="4" t="s">
        <v>6</v>
      </c>
    </row>
    <row r="7" customFormat="false" ht="15" hidden="false" customHeight="false" outlineLevel="0" collapsed="false">
      <c r="A7" s="7" t="s">
        <v>7</v>
      </c>
      <c r="B7" s="4" t="s">
        <v>8</v>
      </c>
    </row>
    <row r="8" customFormat="false" ht="15" hidden="false" customHeight="false" outlineLevel="0" collapsed="false">
      <c r="A8" s="8" t="s">
        <v>9</v>
      </c>
      <c r="B8" s="4" t="s">
        <v>10</v>
      </c>
    </row>
    <row r="9" customFormat="false" ht="15" hidden="false" customHeight="false" outlineLevel="0" collapsed="false">
      <c r="A9" s="7"/>
      <c r="B9" s="4"/>
    </row>
    <row r="10" customFormat="false" ht="15" hidden="false" customHeight="false" outlineLevel="0" collapsed="false">
      <c r="A10" s="3" t="s">
        <v>11</v>
      </c>
      <c r="B10" s="4"/>
    </row>
    <row r="11" customFormat="false" ht="15" hidden="false" customHeight="false" outlineLevel="0" collapsed="false">
      <c r="A11" s="7" t="s">
        <v>12</v>
      </c>
      <c r="B11" s="4" t="s">
        <v>13</v>
      </c>
    </row>
    <row r="12" customFormat="false" ht="15" hidden="false" customHeight="false" outlineLevel="0" collapsed="false">
      <c r="A12" s="7" t="s">
        <v>14</v>
      </c>
      <c r="B12" s="4" t="s">
        <v>15</v>
      </c>
    </row>
    <row r="13" customFormat="false" ht="23.85" hidden="false" customHeight="false" outlineLevel="0" collapsed="false">
      <c r="A13" s="7" t="s">
        <v>16</v>
      </c>
      <c r="B13" s="4" t="s">
        <v>17</v>
      </c>
    </row>
    <row r="14" customFormat="false" ht="15" hidden="false" customHeight="false" outlineLevel="0" collapsed="false">
      <c r="A14" s="7"/>
      <c r="B14" s="4"/>
    </row>
    <row r="15" customFormat="false" ht="15" hidden="false" customHeight="false" outlineLevel="0" collapsed="false">
      <c r="A15" s="3" t="s">
        <v>18</v>
      </c>
      <c r="B15" s="4"/>
    </row>
    <row r="16" customFormat="false" ht="15" hidden="false" customHeight="false" outlineLevel="0" collapsed="false">
      <c r="A16" s="7" t="s">
        <v>19</v>
      </c>
      <c r="B16" s="4" t="s">
        <v>20</v>
      </c>
    </row>
    <row r="17" customFormat="false" ht="15" hidden="false" customHeight="false" outlineLevel="0" collapsed="false">
      <c r="A17" s="7" t="s">
        <v>21</v>
      </c>
      <c r="B17" s="4" t="s">
        <v>22</v>
      </c>
    </row>
    <row r="18" customFormat="false" ht="15" hidden="false" customHeight="false" outlineLevel="0" collapsed="false">
      <c r="A18" s="7" t="s">
        <v>23</v>
      </c>
      <c r="B18" s="4" t="s">
        <v>24</v>
      </c>
    </row>
    <row r="19" customFormat="false" ht="15" hidden="false" customHeight="false" outlineLevel="0" collapsed="false">
      <c r="A19" s="7" t="s">
        <v>25</v>
      </c>
      <c r="B19" s="4" t="s">
        <v>26</v>
      </c>
    </row>
    <row r="20" customFormat="false" ht="23.85" hidden="false" customHeight="false" outlineLevel="0" collapsed="false">
      <c r="A20" s="7" t="s">
        <v>27</v>
      </c>
      <c r="B20" s="4" t="s">
        <v>28</v>
      </c>
    </row>
    <row r="21" customFormat="false" ht="15" hidden="false" customHeight="false" outlineLevel="0" collapsed="false">
      <c r="A21" s="7" t="s">
        <v>29</v>
      </c>
      <c r="B21" s="4" t="s">
        <v>30</v>
      </c>
    </row>
    <row r="22" customFormat="false" ht="15" hidden="false" customHeight="false" outlineLevel="0" collapsed="false">
      <c r="A22" s="7" t="s">
        <v>31</v>
      </c>
      <c r="B22" s="4" t="s">
        <v>32</v>
      </c>
    </row>
    <row r="23" customFormat="false" ht="15" hidden="false" customHeight="false" outlineLevel="0" collapsed="false">
      <c r="A23" s="7"/>
      <c r="B23" s="4"/>
    </row>
    <row r="24" customFormat="false" ht="15" hidden="false" customHeight="false" outlineLevel="0" collapsed="false">
      <c r="A24" s="3" t="s">
        <v>33</v>
      </c>
      <c r="B24" s="4"/>
    </row>
    <row r="25" customFormat="false" ht="23.85" hidden="false" customHeight="false" outlineLevel="0" collapsed="false">
      <c r="A25" s="7" t="s">
        <v>34</v>
      </c>
      <c r="B25" s="4" t="s">
        <v>35</v>
      </c>
    </row>
    <row r="26" customFormat="false" ht="23.85" hidden="false" customHeight="false" outlineLevel="0" collapsed="false">
      <c r="A26" s="7" t="s">
        <v>36</v>
      </c>
      <c r="B26" s="4" t="s">
        <v>37</v>
      </c>
    </row>
    <row r="27" customFormat="false" ht="15" hidden="false" customHeight="false" outlineLevel="0" collapsed="false">
      <c r="A27" s="7" t="s">
        <v>38</v>
      </c>
      <c r="B27" s="4" t="s">
        <v>39</v>
      </c>
    </row>
    <row r="28" customFormat="false" ht="15" hidden="false" customHeight="false" outlineLevel="0" collapsed="false">
      <c r="A28" s="7" t="s">
        <v>40</v>
      </c>
      <c r="B28" s="4" t="s">
        <v>41</v>
      </c>
    </row>
    <row r="29" customFormat="false" ht="15" hidden="false" customHeight="false" outlineLevel="0" collapsed="false">
      <c r="A29" s="7" t="s">
        <v>42</v>
      </c>
      <c r="B29" s="4"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0"/>
    <col collapsed="false" customWidth="true" hidden="false" outlineLevel="0" max="3" min="3" style="0" width="16"/>
    <col collapsed="false" customWidth="true" hidden="false" outlineLevel="0" max="4" min="4" style="0" width="90"/>
  </cols>
  <sheetData>
    <row r="1" customFormat="false" ht="17.35" hidden="false" customHeight="false" outlineLevel="0" collapsed="false">
      <c r="A1" s="1" t="s">
        <v>44</v>
      </c>
    </row>
    <row r="3" customFormat="false" ht="15" hidden="false" customHeight="false" outlineLevel="0" collapsed="false">
      <c r="B3" s="0" t="s">
        <v>45</v>
      </c>
      <c r="C3" s="9" t="n">
        <v>8</v>
      </c>
    </row>
    <row r="4" customFormat="false" ht="15" hidden="false" customHeight="false" outlineLevel="0" collapsed="false">
      <c r="B4" s="0" t="s">
        <v>46</v>
      </c>
      <c r="C4" s="9" t="n">
        <v>2026</v>
      </c>
    </row>
    <row r="5" customFormat="false" ht="15" hidden="false" customHeight="false" outlineLevel="0" collapsed="false">
      <c r="B5" s="0" t="s">
        <v>47</v>
      </c>
      <c r="C5" s="10" t="s">
        <v>48</v>
      </c>
      <c r="D5" s="2" t="s">
        <v>49</v>
      </c>
    </row>
    <row r="7" customFormat="false" ht="15" hidden="false" customHeight="false" outlineLevel="0" collapsed="false">
      <c r="B7" s="0" t="s">
        <v>50</v>
      </c>
      <c r="C7" s="11" t="n">
        <v>1.15</v>
      </c>
      <c r="D7" s="2" t="s">
        <v>51</v>
      </c>
    </row>
    <row r="8" customFormat="false" ht="15" hidden="false" customHeight="false" outlineLevel="0" collapsed="false">
      <c r="B8" s="0" t="s">
        <v>52</v>
      </c>
      <c r="C8" s="12" t="n">
        <v>12</v>
      </c>
    </row>
    <row r="9" customFormat="false" ht="15" hidden="false" customHeight="false" outlineLevel="0" collapsed="false">
      <c r="B9" s="0" t="s">
        <v>53</v>
      </c>
      <c r="C9" s="13" t="n">
        <v>50000</v>
      </c>
    </row>
  </sheetData>
  <sheetProtection sheet="true" formatColumns="false" formatRows="false"/>
  <dataValidations count="1">
    <dataValidation allowBlank="false" errorStyle="stop" operator="between" showDropDown="false" showErrorMessage="false" showInputMessage="false" sqref="C5" type="list">
      <formula1>"Cả tháng,1–15,16–31"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3" min="3" style="0" width="16"/>
    <col collapsed="false" customWidth="true" hidden="false" outlineLevel="0" max="4" min="4" style="0" width="9"/>
    <col collapsed="false" customWidth="true" hidden="false" outlineLevel="0" max="6" min="5" style="0" width="13"/>
    <col collapsed="false" customWidth="true" hidden="false" outlineLevel="0" max="7" min="7" style="0" width="12"/>
    <col collapsed="false" customWidth="true" hidden="false" outlineLevel="0" max="9" min="8" style="0" width="11"/>
    <col collapsed="false" customWidth="true" hidden="false" outlineLevel="0" max="10" min="10" style="0" width="55"/>
  </cols>
  <sheetData>
    <row r="1" customFormat="false" ht="17.35" hidden="false" customHeight="false" outlineLevel="0" collapsed="false">
      <c r="A1" s="1" t="s">
        <v>54</v>
      </c>
    </row>
    <row r="2" customFormat="false" ht="15" hidden="false" customHeight="false" outlineLevel="0" collapsed="false">
      <c r="A2" s="2" t="s">
        <v>55</v>
      </c>
    </row>
    <row r="4" customFormat="false" ht="36" hidden="false" customHeight="true" outlineLevel="0" collapsed="false">
      <c r="A4" s="14" t="s">
        <v>56</v>
      </c>
      <c r="B4" s="14" t="s">
        <v>57</v>
      </c>
      <c r="C4" s="14" t="s">
        <v>58</v>
      </c>
      <c r="D4" s="14" t="s">
        <v>59</v>
      </c>
      <c r="E4" s="14" t="s">
        <v>60</v>
      </c>
      <c r="F4" s="14" t="s">
        <v>61</v>
      </c>
      <c r="G4" s="14" t="s">
        <v>62</v>
      </c>
      <c r="H4" s="14" t="s">
        <v>63</v>
      </c>
      <c r="I4" s="14" t="s">
        <v>64</v>
      </c>
      <c r="J4" s="14" t="s">
        <v>65</v>
      </c>
    </row>
    <row r="5" customFormat="false" ht="15" hidden="false" customHeight="false" outlineLevel="0" collapsed="false">
      <c r="A5" s="10" t="s">
        <v>66</v>
      </c>
      <c r="B5" s="10" t="s">
        <v>67</v>
      </c>
      <c r="C5" s="13" t="n">
        <v>350000</v>
      </c>
      <c r="D5" s="15" t="n">
        <v>8</v>
      </c>
      <c r="E5" s="13" t="n">
        <v>0</v>
      </c>
      <c r="F5" s="13" t="n">
        <v>0</v>
      </c>
      <c r="G5" s="13" t="n">
        <v>0</v>
      </c>
      <c r="H5" s="15" t="n">
        <v>30</v>
      </c>
      <c r="I5" s="13" t="n">
        <v>1</v>
      </c>
      <c r="J5" s="10" t="s">
        <v>68</v>
      </c>
    </row>
    <row r="6" customFormat="false" ht="15" hidden="false" customHeight="false" outlineLevel="0" collapsed="false">
      <c r="A6" s="10" t="s">
        <v>69</v>
      </c>
      <c r="B6" s="10" t="s">
        <v>70</v>
      </c>
      <c r="C6" s="13" t="n">
        <v>250000</v>
      </c>
      <c r="D6" s="15" t="n">
        <v>12</v>
      </c>
      <c r="E6" s="13" t="n">
        <v>0</v>
      </c>
      <c r="F6" s="13" t="n">
        <v>0</v>
      </c>
      <c r="G6" s="13" t="n">
        <v>0</v>
      </c>
      <c r="H6" s="15" t="n">
        <v>30</v>
      </c>
      <c r="I6" s="13" t="n">
        <v>1</v>
      </c>
      <c r="J6" s="10" t="s">
        <v>71</v>
      </c>
    </row>
    <row r="7" customFormat="false" ht="15" hidden="false" customHeight="false" outlineLevel="0" collapsed="false">
      <c r="A7" s="10" t="s">
        <v>72</v>
      </c>
      <c r="B7" s="10" t="s">
        <v>73</v>
      </c>
      <c r="C7" s="13" t="n">
        <v>270000</v>
      </c>
      <c r="D7" s="15" t="n">
        <v>8</v>
      </c>
      <c r="E7" s="13" t="n">
        <v>80000</v>
      </c>
      <c r="F7" s="13" t="n">
        <v>100000</v>
      </c>
      <c r="G7" s="13" t="n">
        <v>0</v>
      </c>
      <c r="H7" s="15" t="n">
        <v>30</v>
      </c>
      <c r="I7" s="13" t="n">
        <v>1</v>
      </c>
      <c r="J7" s="10" t="s">
        <v>74</v>
      </c>
    </row>
    <row r="8" customFormat="false" ht="15" hidden="false" customHeight="false" outlineLevel="0" collapsed="false">
      <c r="A8" s="10" t="s">
        <v>75</v>
      </c>
      <c r="B8" s="10" t="s">
        <v>76</v>
      </c>
      <c r="C8" s="13" t="n">
        <v>350000</v>
      </c>
      <c r="D8" s="15" t="n">
        <v>8</v>
      </c>
      <c r="E8" s="13" t="n">
        <v>0</v>
      </c>
      <c r="F8" s="13" t="n">
        <v>20000</v>
      </c>
      <c r="G8" s="13" t="n">
        <v>0</v>
      </c>
      <c r="H8" s="15" t="n">
        <v>30</v>
      </c>
      <c r="I8" s="13" t="n">
        <v>1</v>
      </c>
      <c r="J8" s="10" t="s">
        <v>77</v>
      </c>
    </row>
    <row r="9" customFormat="false" ht="15" hidden="false" customHeight="false" outlineLevel="0" collapsed="false">
      <c r="A9" s="10" t="s">
        <v>78</v>
      </c>
      <c r="B9" s="10" t="s">
        <v>79</v>
      </c>
      <c r="C9" s="13" t="n">
        <v>370000</v>
      </c>
      <c r="D9" s="15" t="n">
        <v>8</v>
      </c>
      <c r="E9" s="13" t="n">
        <v>0</v>
      </c>
      <c r="F9" s="13" t="n">
        <v>0</v>
      </c>
      <c r="G9" s="13" t="n">
        <v>0</v>
      </c>
      <c r="H9" s="15" t="n">
        <v>30</v>
      </c>
      <c r="I9" s="13" t="n">
        <v>1</v>
      </c>
      <c r="J9" s="10" t="s">
        <v>80</v>
      </c>
    </row>
    <row r="10" customFormat="false" ht="15" hidden="false" customHeight="false" outlineLevel="0" collapsed="false">
      <c r="A10" s="10" t="s">
        <v>81</v>
      </c>
      <c r="B10" s="10" t="s">
        <v>34</v>
      </c>
      <c r="C10" s="13" t="n">
        <v>0</v>
      </c>
      <c r="D10" s="15" t="n">
        <v>8</v>
      </c>
      <c r="E10" s="13" t="n">
        <v>0</v>
      </c>
      <c r="F10" s="13" t="n">
        <v>0</v>
      </c>
      <c r="G10" s="13" t="n">
        <v>0</v>
      </c>
      <c r="H10" s="15" t="n">
        <v>30</v>
      </c>
      <c r="I10" s="13" t="n">
        <v>1000</v>
      </c>
      <c r="J10" s="10" t="s">
        <v>82</v>
      </c>
    </row>
    <row r="11" customFormat="false" ht="15" hidden="false" customHeight="false" outlineLevel="0" collapsed="false">
      <c r="A11" s="16"/>
      <c r="B11" s="16"/>
      <c r="C11" s="16"/>
      <c r="D11" s="16"/>
      <c r="E11" s="16"/>
      <c r="F11" s="16"/>
      <c r="G11" s="16"/>
      <c r="H11" s="16"/>
      <c r="I11" s="16"/>
      <c r="J11" s="16"/>
    </row>
    <row r="12" customFormat="false" ht="15" hidden="false" customHeight="false" outlineLevel="0" collapsed="false">
      <c r="A12" s="16"/>
      <c r="B12" s="16"/>
      <c r="C12" s="16"/>
      <c r="D12" s="16"/>
      <c r="E12" s="16"/>
      <c r="F12" s="16"/>
      <c r="G12" s="16"/>
      <c r="H12" s="16"/>
      <c r="I12" s="16"/>
      <c r="J12" s="16"/>
    </row>
    <row r="13" customFormat="false" ht="15" hidden="false" customHeight="false" outlineLevel="0" collapsed="false">
      <c r="A13" s="16"/>
      <c r="B13" s="16"/>
      <c r="C13" s="16"/>
      <c r="D13" s="16"/>
      <c r="E13" s="16"/>
      <c r="F13" s="16"/>
      <c r="G13" s="16"/>
      <c r="H13" s="16"/>
      <c r="I13" s="16"/>
      <c r="J13" s="16"/>
    </row>
    <row r="14" customFormat="false" ht="15" hidden="false" customHeight="false" outlineLevel="0" collapsed="false">
      <c r="A14" s="16"/>
      <c r="B14" s="16"/>
      <c r="C14" s="16"/>
      <c r="D14" s="16"/>
      <c r="E14" s="16"/>
      <c r="F14" s="16"/>
      <c r="G14" s="16"/>
      <c r="H14" s="16"/>
      <c r="I14" s="16"/>
      <c r="J14" s="16"/>
    </row>
    <row r="15" customFormat="false" ht="15" hidden="false" customHeight="false" outlineLevel="0" collapsed="false">
      <c r="A15" s="16"/>
      <c r="B15" s="16"/>
      <c r="C15" s="16"/>
      <c r="D15" s="16"/>
      <c r="E15" s="16"/>
      <c r="F15" s="16"/>
      <c r="G15" s="16"/>
      <c r="H15" s="16"/>
      <c r="I15" s="16"/>
      <c r="J15" s="16"/>
    </row>
    <row r="16" customFormat="false" ht="15" hidden="false" customHeight="false" outlineLevel="0" collapsed="false">
      <c r="A16" s="16"/>
      <c r="B16" s="16"/>
      <c r="C16" s="16"/>
      <c r="D16" s="16"/>
      <c r="E16" s="16"/>
      <c r="F16" s="16"/>
      <c r="G16" s="16"/>
      <c r="H16" s="16"/>
      <c r="I16" s="16"/>
      <c r="J16" s="16"/>
    </row>
    <row r="17" customFormat="false" ht="15" hidden="false" customHeight="false" outlineLevel="0" collapsed="false">
      <c r="A17" s="16"/>
      <c r="B17" s="16"/>
      <c r="C17" s="16"/>
      <c r="D17" s="16"/>
      <c r="E17" s="16"/>
      <c r="F17" s="16"/>
      <c r="G17" s="16"/>
      <c r="H17" s="16"/>
      <c r="I17" s="16"/>
      <c r="J17" s="16"/>
    </row>
    <row r="18" customFormat="false" ht="15" hidden="false" customHeight="false" outlineLevel="0" collapsed="false">
      <c r="A18" s="16"/>
      <c r="B18" s="16"/>
      <c r="C18" s="16"/>
      <c r="D18" s="16"/>
      <c r="E18" s="16"/>
      <c r="F18" s="16"/>
      <c r="G18" s="16"/>
      <c r="H18" s="16"/>
      <c r="I18" s="16"/>
      <c r="J18" s="16"/>
    </row>
    <row r="19" customFormat="false" ht="15" hidden="false" customHeight="false" outlineLevel="0" collapsed="false">
      <c r="A19" s="16"/>
      <c r="B19" s="16"/>
      <c r="C19" s="16"/>
      <c r="D19" s="16"/>
      <c r="E19" s="16"/>
      <c r="F19" s="16"/>
      <c r="G19" s="16"/>
      <c r="H19" s="16"/>
      <c r="I19" s="16"/>
      <c r="J19" s="16"/>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3"/>
    <col collapsed="false" customWidth="true" hidden="false" outlineLevel="0" max="6" min="6" style="0" width="12"/>
    <col collapsed="false" customWidth="true" hidden="false" outlineLevel="0" max="7" min="7" style="0" width="15"/>
    <col collapsed="false" customWidth="true" hidden="false" outlineLevel="0" max="8" min="8" style="0" width="11"/>
    <col collapsed="false" customWidth="true" hidden="false" outlineLevel="0" max="9" min="9" style="0" width="9"/>
    <col collapsed="false" customWidth="true" hidden="false" outlineLevel="0" max="11" min="10" style="0" width="11"/>
    <col collapsed="false" customWidth="true" hidden="false" outlineLevel="0" max="12" min="12" style="0" width="10"/>
    <col collapsed="false" customWidth="true" hidden="false" outlineLevel="0" max="13" min="13" style="0" width="50"/>
  </cols>
  <sheetData>
    <row r="1" customFormat="false" ht="17.35" hidden="false" customHeight="false" outlineLevel="0" collapsed="false">
      <c r="A1" s="1" t="s">
        <v>83</v>
      </c>
    </row>
    <row r="2" customFormat="false" ht="15" hidden="false" customHeight="false" outlineLevel="0" collapsed="false">
      <c r="A2" s="2" t="s">
        <v>84</v>
      </c>
    </row>
    <row r="4" customFormat="false" ht="36" hidden="false" customHeight="true" outlineLevel="0" collapsed="false">
      <c r="A4" s="14" t="s">
        <v>85</v>
      </c>
      <c r="B4" s="14" t="s">
        <v>86</v>
      </c>
      <c r="C4" s="14" t="s">
        <v>87</v>
      </c>
      <c r="D4" s="14" t="s">
        <v>88</v>
      </c>
      <c r="E4" s="14" t="s">
        <v>89</v>
      </c>
      <c r="F4" s="14" t="s">
        <v>90</v>
      </c>
      <c r="G4" s="14" t="s">
        <v>91</v>
      </c>
      <c r="H4" s="14" t="s">
        <v>92</v>
      </c>
      <c r="I4" s="14" t="s">
        <v>93</v>
      </c>
      <c r="J4" s="14" t="s">
        <v>94</v>
      </c>
      <c r="K4" s="14" t="s">
        <v>95</v>
      </c>
      <c r="L4" s="14" t="s">
        <v>96</v>
      </c>
      <c r="M4" s="14" t="s">
        <v>97</v>
      </c>
    </row>
    <row r="5" customFormat="false" ht="15" hidden="false" customHeight="false" outlineLevel="0" collapsed="false">
      <c r="A5" s="17" t="n">
        <v>1</v>
      </c>
      <c r="B5" s="10" t="s">
        <v>98</v>
      </c>
      <c r="C5" s="10" t="s">
        <v>99</v>
      </c>
      <c r="D5" s="10" t="s">
        <v>66</v>
      </c>
      <c r="E5" s="10" t="s">
        <v>100</v>
      </c>
      <c r="F5" s="10"/>
      <c r="G5" s="18"/>
      <c r="H5" s="18"/>
      <c r="I5" s="18"/>
      <c r="J5" s="10"/>
      <c r="K5" s="10"/>
      <c r="L5" s="10" t="s">
        <v>101</v>
      </c>
      <c r="M5" s="10"/>
    </row>
    <row r="6" customFormat="false" ht="15" hidden="false" customHeight="false" outlineLevel="0" collapsed="false">
      <c r="A6" s="17" t="n">
        <v>2</v>
      </c>
      <c r="B6" s="10" t="s">
        <v>102</v>
      </c>
      <c r="C6" s="10" t="s">
        <v>103</v>
      </c>
      <c r="D6" s="10" t="s">
        <v>66</v>
      </c>
      <c r="E6" s="10" t="s">
        <v>100</v>
      </c>
      <c r="F6" s="10"/>
      <c r="G6" s="18"/>
      <c r="H6" s="18"/>
      <c r="I6" s="18"/>
      <c r="J6" s="10"/>
      <c r="K6" s="10"/>
      <c r="L6" s="10" t="s">
        <v>101</v>
      </c>
      <c r="M6" s="10"/>
    </row>
    <row r="7" customFormat="false" ht="15" hidden="false" customHeight="false" outlineLevel="0" collapsed="false">
      <c r="A7" s="17" t="n">
        <v>3</v>
      </c>
      <c r="B7" s="10" t="s">
        <v>104</v>
      </c>
      <c r="C7" s="10" t="s">
        <v>105</v>
      </c>
      <c r="D7" s="10" t="s">
        <v>66</v>
      </c>
      <c r="E7" s="10" t="s">
        <v>100</v>
      </c>
      <c r="F7" s="10" t="n">
        <v>370000</v>
      </c>
      <c r="G7" s="18"/>
      <c r="H7" s="18"/>
      <c r="I7" s="18"/>
      <c r="J7" s="10"/>
      <c r="K7" s="10"/>
      <c r="L7" s="10" t="s">
        <v>101</v>
      </c>
      <c r="M7" s="10" t="s">
        <v>106</v>
      </c>
    </row>
    <row r="8" customFormat="false" ht="15" hidden="false" customHeight="false" outlineLevel="0" collapsed="false">
      <c r="A8" s="17" t="n">
        <v>4</v>
      </c>
      <c r="B8" s="10" t="s">
        <v>107</v>
      </c>
      <c r="C8" s="10" t="s">
        <v>108</v>
      </c>
      <c r="D8" s="10" t="s">
        <v>66</v>
      </c>
      <c r="E8" s="10" t="s">
        <v>100</v>
      </c>
      <c r="F8" s="10"/>
      <c r="G8" s="18"/>
      <c r="H8" s="18"/>
      <c r="I8" s="18"/>
      <c r="J8" s="10"/>
      <c r="K8" s="10"/>
      <c r="L8" s="10" t="s">
        <v>101</v>
      </c>
      <c r="M8" s="10"/>
    </row>
    <row r="9" customFormat="false" ht="15" hidden="false" customHeight="false" outlineLevel="0" collapsed="false">
      <c r="A9" s="17" t="n">
        <v>5</v>
      </c>
      <c r="B9" s="10" t="s">
        <v>109</v>
      </c>
      <c r="C9" s="10" t="s">
        <v>110</v>
      </c>
      <c r="D9" s="10" t="s">
        <v>66</v>
      </c>
      <c r="E9" s="10" t="s">
        <v>100</v>
      </c>
      <c r="F9" s="10"/>
      <c r="G9" s="18"/>
      <c r="H9" s="18"/>
      <c r="I9" s="18"/>
      <c r="J9" s="10"/>
      <c r="K9" s="10"/>
      <c r="L9" s="10" t="s">
        <v>101</v>
      </c>
      <c r="M9" s="10"/>
    </row>
    <row r="10" customFormat="false" ht="15" hidden="false" customHeight="false" outlineLevel="0" collapsed="false">
      <c r="A10" s="17" t="n">
        <v>6</v>
      </c>
      <c r="B10" s="10" t="s">
        <v>111</v>
      </c>
      <c r="C10" s="10" t="s">
        <v>112</v>
      </c>
      <c r="D10" s="10" t="s">
        <v>66</v>
      </c>
      <c r="E10" s="10" t="s">
        <v>100</v>
      </c>
      <c r="F10" s="10"/>
      <c r="G10" s="18"/>
      <c r="H10" s="18"/>
      <c r="I10" s="18"/>
      <c r="J10" s="10"/>
      <c r="K10" s="10"/>
      <c r="L10" s="10" t="s">
        <v>101</v>
      </c>
      <c r="M10" s="10"/>
    </row>
    <row r="11" customFormat="false" ht="15" hidden="false" customHeight="false" outlineLevel="0" collapsed="false">
      <c r="A11" s="17" t="n">
        <v>7</v>
      </c>
      <c r="B11" s="10" t="s">
        <v>113</v>
      </c>
      <c r="C11" s="10" t="s">
        <v>114</v>
      </c>
      <c r="D11" s="10" t="s">
        <v>66</v>
      </c>
      <c r="E11" s="10" t="s">
        <v>100</v>
      </c>
      <c r="F11" s="10"/>
      <c r="G11" s="18"/>
      <c r="H11" s="18"/>
      <c r="I11" s="18"/>
      <c r="J11" s="10"/>
      <c r="K11" s="10"/>
      <c r="L11" s="10" t="s">
        <v>101</v>
      </c>
      <c r="M11" s="10"/>
    </row>
    <row r="12" customFormat="false" ht="15" hidden="false" customHeight="false" outlineLevel="0" collapsed="false">
      <c r="A12" s="17" t="n">
        <v>8</v>
      </c>
      <c r="B12" s="10" t="s">
        <v>115</v>
      </c>
      <c r="C12" s="10" t="s">
        <v>116</v>
      </c>
      <c r="D12" s="10" t="s">
        <v>66</v>
      </c>
      <c r="E12" s="10" t="s">
        <v>100</v>
      </c>
      <c r="F12" s="10"/>
      <c r="G12" s="18"/>
      <c r="H12" s="18"/>
      <c r="I12" s="18"/>
      <c r="J12" s="10"/>
      <c r="K12" s="10"/>
      <c r="L12" s="10" t="s">
        <v>101</v>
      </c>
      <c r="M12" s="10"/>
    </row>
    <row r="13" customFormat="false" ht="15" hidden="false" customHeight="false" outlineLevel="0" collapsed="false">
      <c r="A13" s="17" t="n">
        <v>9</v>
      </c>
      <c r="B13" s="10" t="s">
        <v>117</v>
      </c>
      <c r="C13" s="10" t="s">
        <v>118</v>
      </c>
      <c r="D13" s="10" t="s">
        <v>66</v>
      </c>
      <c r="E13" s="10" t="s">
        <v>100</v>
      </c>
      <c r="F13" s="10"/>
      <c r="G13" s="18"/>
      <c r="H13" s="18"/>
      <c r="I13" s="18"/>
      <c r="J13" s="10"/>
      <c r="K13" s="10"/>
      <c r="L13" s="10" t="s">
        <v>101</v>
      </c>
      <c r="M13" s="10"/>
    </row>
    <row r="14" customFormat="false" ht="15" hidden="false" customHeight="false" outlineLevel="0" collapsed="false">
      <c r="A14" s="17" t="n">
        <v>10</v>
      </c>
      <c r="B14" s="10" t="s">
        <v>119</v>
      </c>
      <c r="C14" s="10" t="s">
        <v>120</v>
      </c>
      <c r="D14" s="10" t="s">
        <v>66</v>
      </c>
      <c r="E14" s="10" t="s">
        <v>100</v>
      </c>
      <c r="F14" s="10"/>
      <c r="G14" s="18"/>
      <c r="H14" s="18"/>
      <c r="I14" s="18"/>
      <c r="J14" s="10"/>
      <c r="K14" s="10"/>
      <c r="L14" s="10" t="s">
        <v>101</v>
      </c>
      <c r="M14" s="10"/>
    </row>
    <row r="15" customFormat="false" ht="15" hidden="false" customHeight="false" outlineLevel="0" collapsed="false">
      <c r="A15" s="17" t="n">
        <v>11</v>
      </c>
      <c r="B15" s="10" t="s">
        <v>121</v>
      </c>
      <c r="C15" s="10" t="s">
        <v>122</v>
      </c>
      <c r="D15" s="10" t="s">
        <v>66</v>
      </c>
      <c r="E15" s="10" t="s">
        <v>100</v>
      </c>
      <c r="F15" s="10"/>
      <c r="G15" s="18"/>
      <c r="H15" s="18"/>
      <c r="I15" s="18"/>
      <c r="J15" s="10"/>
      <c r="K15" s="10"/>
      <c r="L15" s="10" t="s">
        <v>101</v>
      </c>
      <c r="M15" s="10"/>
    </row>
    <row r="16" customFormat="false" ht="15" hidden="false" customHeight="false" outlineLevel="0" collapsed="false">
      <c r="A16" s="17" t="n">
        <v>12</v>
      </c>
      <c r="B16" s="10" t="s">
        <v>123</v>
      </c>
      <c r="C16" s="10" t="s">
        <v>124</v>
      </c>
      <c r="D16" s="10" t="s">
        <v>66</v>
      </c>
      <c r="E16" s="10" t="s">
        <v>100</v>
      </c>
      <c r="F16" s="10"/>
      <c r="G16" s="18"/>
      <c r="H16" s="18"/>
      <c r="I16" s="18"/>
      <c r="J16" s="10"/>
      <c r="K16" s="10"/>
      <c r="L16" s="10" t="s">
        <v>101</v>
      </c>
      <c r="M16" s="10"/>
    </row>
    <row r="17" customFormat="false" ht="15" hidden="false" customHeight="false" outlineLevel="0" collapsed="false">
      <c r="A17" s="17" t="n">
        <v>13</v>
      </c>
      <c r="B17" s="10" t="s">
        <v>125</v>
      </c>
      <c r="C17" s="10" t="s">
        <v>126</v>
      </c>
      <c r="D17" s="10" t="s">
        <v>66</v>
      </c>
      <c r="E17" s="10" t="s">
        <v>100</v>
      </c>
      <c r="F17" s="10"/>
      <c r="G17" s="18"/>
      <c r="H17" s="18"/>
      <c r="I17" s="18"/>
      <c r="J17" s="10"/>
      <c r="K17" s="10"/>
      <c r="L17" s="10" t="s">
        <v>101</v>
      </c>
      <c r="M17" s="10"/>
    </row>
    <row r="18" customFormat="false" ht="15" hidden="false" customHeight="false" outlineLevel="0" collapsed="false">
      <c r="A18" s="17" t="n">
        <v>14</v>
      </c>
      <c r="B18" s="10" t="s">
        <v>127</v>
      </c>
      <c r="C18" s="10" t="s">
        <v>128</v>
      </c>
      <c r="D18" s="10" t="s">
        <v>66</v>
      </c>
      <c r="E18" s="10" t="s">
        <v>100</v>
      </c>
      <c r="F18" s="10"/>
      <c r="G18" s="18"/>
      <c r="H18" s="18"/>
      <c r="I18" s="18"/>
      <c r="J18" s="10"/>
      <c r="K18" s="10"/>
      <c r="L18" s="10" t="s">
        <v>101</v>
      </c>
      <c r="M18" s="10"/>
    </row>
    <row r="19" customFormat="false" ht="15" hidden="false" customHeight="false" outlineLevel="0" collapsed="false">
      <c r="A19" s="17" t="n">
        <v>15</v>
      </c>
      <c r="B19" s="10" t="s">
        <v>129</v>
      </c>
      <c r="C19" s="10" t="s">
        <v>130</v>
      </c>
      <c r="D19" s="10" t="s">
        <v>66</v>
      </c>
      <c r="E19" s="10" t="s">
        <v>100</v>
      </c>
      <c r="F19" s="10"/>
      <c r="G19" s="18"/>
      <c r="H19" s="18"/>
      <c r="I19" s="18"/>
      <c r="J19" s="10"/>
      <c r="K19" s="10"/>
      <c r="L19" s="10" t="s">
        <v>101</v>
      </c>
      <c r="M19" s="10"/>
    </row>
    <row r="20" customFormat="false" ht="15" hidden="false" customHeight="false" outlineLevel="0" collapsed="false">
      <c r="A20" s="17" t="n">
        <v>16</v>
      </c>
      <c r="B20" s="10" t="s">
        <v>131</v>
      </c>
      <c r="C20" s="10" t="s">
        <v>132</v>
      </c>
      <c r="D20" s="10" t="s">
        <v>72</v>
      </c>
      <c r="E20" s="10" t="s">
        <v>100</v>
      </c>
      <c r="F20" s="10"/>
      <c r="G20" s="18"/>
      <c r="H20" s="18"/>
      <c r="I20" s="18"/>
      <c r="J20" s="10"/>
      <c r="K20" s="10"/>
      <c r="L20" s="10" t="s">
        <v>101</v>
      </c>
      <c r="M20" s="10"/>
    </row>
    <row r="21" customFormat="false" ht="15" hidden="false" customHeight="false" outlineLevel="0" collapsed="false">
      <c r="A21" s="17" t="n">
        <v>17</v>
      </c>
      <c r="B21" s="10" t="s">
        <v>133</v>
      </c>
      <c r="C21" s="10" t="s">
        <v>134</v>
      </c>
      <c r="D21" s="10" t="s">
        <v>72</v>
      </c>
      <c r="E21" s="10" t="s">
        <v>100</v>
      </c>
      <c r="F21" s="10"/>
      <c r="G21" s="18"/>
      <c r="H21" s="18"/>
      <c r="I21" s="18"/>
      <c r="J21" s="10"/>
      <c r="K21" s="10"/>
      <c r="L21" s="10" t="s">
        <v>101</v>
      </c>
      <c r="M21" s="10"/>
    </row>
    <row r="22" customFormat="false" ht="15" hidden="false" customHeight="false" outlineLevel="0" collapsed="false">
      <c r="A22" s="17" t="n">
        <v>18</v>
      </c>
      <c r="B22" s="10" t="s">
        <v>135</v>
      </c>
      <c r="C22" s="10" t="s">
        <v>136</v>
      </c>
      <c r="D22" s="10" t="s">
        <v>72</v>
      </c>
      <c r="E22" s="10" t="s">
        <v>100</v>
      </c>
      <c r="F22" s="10"/>
      <c r="G22" s="18"/>
      <c r="H22" s="18"/>
      <c r="I22" s="18"/>
      <c r="J22" s="10"/>
      <c r="K22" s="10"/>
      <c r="L22" s="10" t="s">
        <v>101</v>
      </c>
      <c r="M22" s="10"/>
    </row>
    <row r="23" customFormat="false" ht="15" hidden="false" customHeight="false" outlineLevel="0" collapsed="false">
      <c r="A23" s="17" t="n">
        <v>19</v>
      </c>
      <c r="B23" s="10" t="s">
        <v>137</v>
      </c>
      <c r="C23" s="10" t="s">
        <v>138</v>
      </c>
      <c r="D23" s="10" t="s">
        <v>72</v>
      </c>
      <c r="E23" s="10" t="s">
        <v>100</v>
      </c>
      <c r="F23" s="10"/>
      <c r="G23" s="18"/>
      <c r="H23" s="18"/>
      <c r="I23" s="18"/>
      <c r="J23" s="10"/>
      <c r="K23" s="10"/>
      <c r="L23" s="10" t="s">
        <v>101</v>
      </c>
      <c r="M23" s="10"/>
    </row>
    <row r="24" customFormat="false" ht="15" hidden="false" customHeight="false" outlineLevel="0" collapsed="false">
      <c r="A24" s="17" t="n">
        <v>20</v>
      </c>
      <c r="B24" s="10" t="s">
        <v>139</v>
      </c>
      <c r="C24" s="10" t="s">
        <v>140</v>
      </c>
      <c r="D24" s="10" t="s">
        <v>72</v>
      </c>
      <c r="E24" s="10" t="s">
        <v>100</v>
      </c>
      <c r="F24" s="10"/>
      <c r="G24" s="18"/>
      <c r="H24" s="18"/>
      <c r="I24" s="18"/>
      <c r="J24" s="10"/>
      <c r="K24" s="10"/>
      <c r="L24" s="10" t="s">
        <v>101</v>
      </c>
      <c r="M24" s="10"/>
    </row>
    <row r="25" customFormat="false" ht="15" hidden="false" customHeight="false" outlineLevel="0" collapsed="false">
      <c r="A25" s="17" t="n">
        <v>21</v>
      </c>
      <c r="B25" s="10" t="s">
        <v>141</v>
      </c>
      <c r="C25" s="10" t="s">
        <v>142</v>
      </c>
      <c r="D25" s="10" t="s">
        <v>72</v>
      </c>
      <c r="E25" s="10" t="s">
        <v>100</v>
      </c>
      <c r="F25" s="10"/>
      <c r="G25" s="18"/>
      <c r="H25" s="18"/>
      <c r="I25" s="18"/>
      <c r="J25" s="10"/>
      <c r="K25" s="10"/>
      <c r="L25" s="10" t="s">
        <v>101</v>
      </c>
      <c r="M25" s="10"/>
    </row>
    <row r="26" customFormat="false" ht="15" hidden="false" customHeight="false" outlineLevel="0" collapsed="false">
      <c r="A26" s="17" t="n">
        <v>22</v>
      </c>
      <c r="B26" s="10" t="s">
        <v>143</v>
      </c>
      <c r="C26" s="10" t="s">
        <v>144</v>
      </c>
      <c r="D26" s="10" t="s">
        <v>72</v>
      </c>
      <c r="E26" s="10" t="s">
        <v>100</v>
      </c>
      <c r="F26" s="10"/>
      <c r="G26" s="18"/>
      <c r="H26" s="18"/>
      <c r="I26" s="18"/>
      <c r="J26" s="10"/>
      <c r="K26" s="10"/>
      <c r="L26" s="10" t="s">
        <v>101</v>
      </c>
      <c r="M26" s="10"/>
    </row>
    <row r="27" customFormat="false" ht="15" hidden="false" customHeight="false" outlineLevel="0" collapsed="false">
      <c r="A27" s="17" t="n">
        <v>23</v>
      </c>
      <c r="B27" s="10" t="s">
        <v>145</v>
      </c>
      <c r="C27" s="10" t="s">
        <v>146</v>
      </c>
      <c r="D27" s="10" t="s">
        <v>78</v>
      </c>
      <c r="E27" s="10" t="s">
        <v>100</v>
      </c>
      <c r="F27" s="10"/>
      <c r="G27" s="18"/>
      <c r="H27" s="18"/>
      <c r="I27" s="18" t="s">
        <v>147</v>
      </c>
      <c r="J27" s="10" t="s">
        <v>148</v>
      </c>
      <c r="K27" s="10"/>
      <c r="L27" s="10" t="s">
        <v>101</v>
      </c>
      <c r="M27" s="10"/>
    </row>
    <row r="28" customFormat="false" ht="15" hidden="false" customHeight="false" outlineLevel="0" collapsed="false">
      <c r="A28" s="17" t="n">
        <v>24</v>
      </c>
      <c r="B28" s="10" t="s">
        <v>149</v>
      </c>
      <c r="C28" s="10" t="s">
        <v>150</v>
      </c>
      <c r="D28" s="10" t="s">
        <v>78</v>
      </c>
      <c r="E28" s="10" t="s">
        <v>100</v>
      </c>
      <c r="F28" s="10"/>
      <c r="G28" s="18"/>
      <c r="H28" s="18"/>
      <c r="I28" s="18" t="s">
        <v>147</v>
      </c>
      <c r="J28" s="10" t="s">
        <v>151</v>
      </c>
      <c r="K28" s="10"/>
      <c r="L28" s="10" t="s">
        <v>101</v>
      </c>
      <c r="M28" s="10"/>
    </row>
    <row r="29" customFormat="false" ht="15" hidden="false" customHeight="false" outlineLevel="0" collapsed="false">
      <c r="A29" s="17" t="n">
        <v>25</v>
      </c>
      <c r="B29" s="10" t="s">
        <v>152</v>
      </c>
      <c r="C29" s="10" t="s">
        <v>153</v>
      </c>
      <c r="D29" s="10" t="s">
        <v>78</v>
      </c>
      <c r="E29" s="10" t="s">
        <v>100</v>
      </c>
      <c r="F29" s="10"/>
      <c r="G29" s="18"/>
      <c r="H29" s="18"/>
      <c r="I29" s="18" t="s">
        <v>147</v>
      </c>
      <c r="J29" s="10" t="s">
        <v>151</v>
      </c>
      <c r="K29" s="10"/>
      <c r="L29" s="10" t="s">
        <v>101</v>
      </c>
      <c r="M29" s="10"/>
    </row>
    <row r="30" customFormat="false" ht="15" hidden="false" customHeight="false" outlineLevel="0" collapsed="false">
      <c r="A30" s="17" t="n">
        <v>26</v>
      </c>
      <c r="B30" s="10" t="s">
        <v>154</v>
      </c>
      <c r="C30" s="10" t="s">
        <v>155</v>
      </c>
      <c r="D30" s="10" t="s">
        <v>78</v>
      </c>
      <c r="E30" s="10" t="s">
        <v>100</v>
      </c>
      <c r="F30" s="10"/>
      <c r="G30" s="18"/>
      <c r="H30" s="18"/>
      <c r="I30" s="18"/>
      <c r="J30" s="10"/>
      <c r="K30" s="10"/>
      <c r="L30" s="10" t="s">
        <v>101</v>
      </c>
      <c r="M30" s="10"/>
    </row>
    <row r="31" customFormat="false" ht="15" hidden="false" customHeight="false" outlineLevel="0" collapsed="false">
      <c r="A31" s="17" t="n">
        <v>27</v>
      </c>
      <c r="B31" s="10" t="s">
        <v>156</v>
      </c>
      <c r="C31" s="10" t="s">
        <v>157</v>
      </c>
      <c r="D31" s="10" t="s">
        <v>78</v>
      </c>
      <c r="E31" s="10" t="s">
        <v>100</v>
      </c>
      <c r="F31" s="10"/>
      <c r="G31" s="18"/>
      <c r="H31" s="18"/>
      <c r="I31" s="18" t="s">
        <v>147</v>
      </c>
      <c r="J31" s="10" t="s">
        <v>151</v>
      </c>
      <c r="K31" s="10"/>
      <c r="L31" s="10" t="s">
        <v>101</v>
      </c>
      <c r="M31" s="10"/>
    </row>
    <row r="32" customFormat="false" ht="15" hidden="false" customHeight="false" outlineLevel="0" collapsed="false">
      <c r="A32" s="17" t="n">
        <v>28</v>
      </c>
      <c r="B32" s="10" t="s">
        <v>158</v>
      </c>
      <c r="C32" s="10" t="s">
        <v>159</v>
      </c>
      <c r="D32" s="10" t="s">
        <v>78</v>
      </c>
      <c r="E32" s="10" t="s">
        <v>100</v>
      </c>
      <c r="F32" s="10"/>
      <c r="G32" s="18"/>
      <c r="H32" s="18"/>
      <c r="I32" s="18" t="s">
        <v>147</v>
      </c>
      <c r="J32" s="10" t="s">
        <v>151</v>
      </c>
      <c r="K32" s="10"/>
      <c r="L32" s="10" t="s">
        <v>101</v>
      </c>
      <c r="M32" s="10"/>
    </row>
    <row r="33" customFormat="false" ht="15" hidden="false" customHeight="false" outlineLevel="0" collapsed="false">
      <c r="A33" s="17" t="n">
        <v>29</v>
      </c>
      <c r="B33" s="10" t="s">
        <v>160</v>
      </c>
      <c r="C33" s="10" t="s">
        <v>161</v>
      </c>
      <c r="D33" s="10" t="s">
        <v>78</v>
      </c>
      <c r="E33" s="10" t="s">
        <v>100</v>
      </c>
      <c r="F33" s="10"/>
      <c r="G33" s="18"/>
      <c r="H33" s="18"/>
      <c r="I33" s="18" t="s">
        <v>147</v>
      </c>
      <c r="J33" s="10" t="s">
        <v>151</v>
      </c>
      <c r="K33" s="10"/>
      <c r="L33" s="10" t="s">
        <v>101</v>
      </c>
      <c r="M33" s="10"/>
    </row>
    <row r="34" customFormat="false" ht="15" hidden="false" customHeight="false" outlineLevel="0" collapsed="false">
      <c r="A34" s="17" t="n">
        <v>30</v>
      </c>
      <c r="B34" s="10" t="s">
        <v>162</v>
      </c>
      <c r="C34" s="10" t="s">
        <v>163</v>
      </c>
      <c r="D34" s="10" t="s">
        <v>78</v>
      </c>
      <c r="E34" s="10" t="s">
        <v>100</v>
      </c>
      <c r="F34" s="10"/>
      <c r="G34" s="18"/>
      <c r="H34" s="18"/>
      <c r="I34" s="18" t="s">
        <v>147</v>
      </c>
      <c r="J34" s="10" t="s">
        <v>151</v>
      </c>
      <c r="K34" s="10"/>
      <c r="L34" s="10" t="s">
        <v>101</v>
      </c>
      <c r="M34" s="10"/>
    </row>
    <row r="35" customFormat="false" ht="15" hidden="false" customHeight="false" outlineLevel="0" collapsed="false">
      <c r="A35" s="17" t="n">
        <v>31</v>
      </c>
      <c r="B35" s="10" t="s">
        <v>164</v>
      </c>
      <c r="C35" s="10" t="s">
        <v>165</v>
      </c>
      <c r="D35" s="10" t="s">
        <v>78</v>
      </c>
      <c r="E35" s="10" t="s">
        <v>100</v>
      </c>
      <c r="F35" s="10"/>
      <c r="G35" s="18"/>
      <c r="H35" s="18"/>
      <c r="I35" s="18" t="s">
        <v>147</v>
      </c>
      <c r="J35" s="10" t="s">
        <v>151</v>
      </c>
      <c r="K35" s="10"/>
      <c r="L35" s="10" t="s">
        <v>101</v>
      </c>
      <c r="M35" s="10"/>
    </row>
    <row r="36" customFormat="false" ht="15" hidden="false" customHeight="false" outlineLevel="0" collapsed="false">
      <c r="A36" s="17" t="n">
        <v>32</v>
      </c>
      <c r="B36" s="10" t="s">
        <v>166</v>
      </c>
      <c r="C36" s="10" t="s">
        <v>167</v>
      </c>
      <c r="D36" s="10" t="s">
        <v>78</v>
      </c>
      <c r="E36" s="10" t="s">
        <v>100</v>
      </c>
      <c r="F36" s="10"/>
      <c r="G36" s="18"/>
      <c r="H36" s="18"/>
      <c r="I36" s="18" t="s">
        <v>147</v>
      </c>
      <c r="J36" s="10" t="s">
        <v>151</v>
      </c>
      <c r="K36" s="10"/>
      <c r="L36" s="10" t="s">
        <v>101</v>
      </c>
      <c r="M36" s="10"/>
    </row>
    <row r="37" customFormat="false" ht="15" hidden="false" customHeight="false" outlineLevel="0" collapsed="false">
      <c r="A37" s="17" t="n">
        <v>33</v>
      </c>
      <c r="B37" s="10" t="s">
        <v>168</v>
      </c>
      <c r="C37" s="10" t="s">
        <v>169</v>
      </c>
      <c r="D37" s="10" t="s">
        <v>78</v>
      </c>
      <c r="E37" s="10" t="s">
        <v>100</v>
      </c>
      <c r="F37" s="10"/>
      <c r="G37" s="18"/>
      <c r="H37" s="18"/>
      <c r="I37" s="18" t="s">
        <v>170</v>
      </c>
      <c r="J37" s="10" t="s">
        <v>148</v>
      </c>
      <c r="K37" s="10"/>
      <c r="L37" s="10" t="s">
        <v>101</v>
      </c>
      <c r="M37" s="10"/>
    </row>
    <row r="38" customFormat="false" ht="15" hidden="false" customHeight="false" outlineLevel="0" collapsed="false">
      <c r="A38" s="17" t="n">
        <v>34</v>
      </c>
      <c r="B38" s="10" t="s">
        <v>171</v>
      </c>
      <c r="C38" s="10" t="s">
        <v>172</v>
      </c>
      <c r="D38" s="10" t="s">
        <v>78</v>
      </c>
      <c r="E38" s="10" t="s">
        <v>100</v>
      </c>
      <c r="F38" s="10"/>
      <c r="G38" s="18"/>
      <c r="H38" s="18"/>
      <c r="I38" s="18" t="s">
        <v>173</v>
      </c>
      <c r="J38" s="10" t="s">
        <v>151</v>
      </c>
      <c r="K38" s="10"/>
      <c r="L38" s="10" t="s">
        <v>101</v>
      </c>
      <c r="M38" s="10"/>
    </row>
    <row r="39" customFormat="false" ht="15" hidden="false" customHeight="false" outlineLevel="0" collapsed="false">
      <c r="A39" s="17" t="n">
        <v>35</v>
      </c>
      <c r="B39" s="10" t="s">
        <v>174</v>
      </c>
      <c r="C39" s="10" t="s">
        <v>175</v>
      </c>
      <c r="D39" s="10" t="s">
        <v>78</v>
      </c>
      <c r="E39" s="10" t="s">
        <v>100</v>
      </c>
      <c r="F39" s="10"/>
      <c r="G39" s="18"/>
      <c r="H39" s="18"/>
      <c r="I39" s="18" t="s">
        <v>170</v>
      </c>
      <c r="J39" s="10" t="s">
        <v>151</v>
      </c>
      <c r="K39" s="10"/>
      <c r="L39" s="10" t="s">
        <v>101</v>
      </c>
      <c r="M39" s="10"/>
    </row>
    <row r="40" customFormat="false" ht="15" hidden="false" customHeight="false" outlineLevel="0" collapsed="false">
      <c r="A40" s="17" t="n">
        <v>36</v>
      </c>
      <c r="B40" s="10" t="s">
        <v>176</v>
      </c>
      <c r="C40" s="10" t="s">
        <v>177</v>
      </c>
      <c r="D40" s="10" t="s">
        <v>78</v>
      </c>
      <c r="E40" s="10" t="s">
        <v>100</v>
      </c>
      <c r="F40" s="10"/>
      <c r="G40" s="18"/>
      <c r="H40" s="18"/>
      <c r="I40" s="18" t="s">
        <v>170</v>
      </c>
      <c r="J40" s="10" t="s">
        <v>151</v>
      </c>
      <c r="K40" s="10"/>
      <c r="L40" s="10" t="s">
        <v>101</v>
      </c>
      <c r="M40" s="10"/>
    </row>
    <row r="41" customFormat="false" ht="15" hidden="false" customHeight="false" outlineLevel="0" collapsed="false">
      <c r="A41" s="17" t="n">
        <v>37</v>
      </c>
      <c r="B41" s="10" t="s">
        <v>178</v>
      </c>
      <c r="C41" s="10" t="s">
        <v>179</v>
      </c>
      <c r="D41" s="10" t="s">
        <v>78</v>
      </c>
      <c r="E41" s="10" t="s">
        <v>100</v>
      </c>
      <c r="F41" s="10"/>
      <c r="G41" s="18"/>
      <c r="H41" s="18"/>
      <c r="I41" s="18"/>
      <c r="J41" s="10"/>
      <c r="K41" s="10"/>
      <c r="L41" s="10" t="s">
        <v>101</v>
      </c>
      <c r="M41" s="10"/>
    </row>
    <row r="42" customFormat="false" ht="15" hidden="false" customHeight="false" outlineLevel="0" collapsed="false">
      <c r="A42" s="17" t="n">
        <v>38</v>
      </c>
      <c r="B42" s="10" t="s">
        <v>180</v>
      </c>
      <c r="C42" s="10" t="s">
        <v>181</v>
      </c>
      <c r="D42" s="10" t="s">
        <v>78</v>
      </c>
      <c r="E42" s="10" t="s">
        <v>100</v>
      </c>
      <c r="F42" s="10"/>
      <c r="G42" s="18"/>
      <c r="H42" s="18"/>
      <c r="I42" s="18" t="s">
        <v>170</v>
      </c>
      <c r="J42" s="10" t="s">
        <v>151</v>
      </c>
      <c r="K42" s="10"/>
      <c r="L42" s="10" t="s">
        <v>101</v>
      </c>
      <c r="M42" s="10"/>
    </row>
    <row r="43" customFormat="false" ht="15" hidden="false" customHeight="false" outlineLevel="0" collapsed="false">
      <c r="A43" s="17" t="n">
        <v>39</v>
      </c>
      <c r="B43" s="10" t="s">
        <v>182</v>
      </c>
      <c r="C43" s="10" t="s">
        <v>183</v>
      </c>
      <c r="D43" s="10" t="s">
        <v>78</v>
      </c>
      <c r="E43" s="10" t="s">
        <v>100</v>
      </c>
      <c r="F43" s="10"/>
      <c r="G43" s="18"/>
      <c r="H43" s="18"/>
      <c r="I43" s="18" t="s">
        <v>170</v>
      </c>
      <c r="J43" s="10" t="s">
        <v>151</v>
      </c>
      <c r="K43" s="10"/>
      <c r="L43" s="10" t="s">
        <v>101</v>
      </c>
      <c r="M43" s="10"/>
    </row>
    <row r="44" customFormat="false" ht="15" hidden="false" customHeight="false" outlineLevel="0" collapsed="false">
      <c r="A44" s="17" t="n">
        <v>40</v>
      </c>
      <c r="B44" s="10" t="s">
        <v>184</v>
      </c>
      <c r="C44" s="10" t="s">
        <v>185</v>
      </c>
      <c r="D44" s="10" t="s">
        <v>78</v>
      </c>
      <c r="E44" s="10" t="s">
        <v>100</v>
      </c>
      <c r="F44" s="10"/>
      <c r="G44" s="18"/>
      <c r="H44" s="18"/>
      <c r="I44" s="18" t="s">
        <v>170</v>
      </c>
      <c r="J44" s="10" t="s">
        <v>151</v>
      </c>
      <c r="K44" s="10"/>
      <c r="L44" s="10" t="s">
        <v>101</v>
      </c>
      <c r="M44" s="10"/>
    </row>
    <row r="45" customFormat="false" ht="15" hidden="false" customHeight="false" outlineLevel="0" collapsed="false">
      <c r="A45" s="17" t="n">
        <v>41</v>
      </c>
      <c r="B45" s="10" t="s">
        <v>186</v>
      </c>
      <c r="C45" s="10" t="s">
        <v>187</v>
      </c>
      <c r="D45" s="10" t="s">
        <v>78</v>
      </c>
      <c r="E45" s="10" t="s">
        <v>100</v>
      </c>
      <c r="F45" s="10"/>
      <c r="G45" s="18"/>
      <c r="H45" s="18"/>
      <c r="I45" s="18" t="s">
        <v>170</v>
      </c>
      <c r="J45" s="10" t="s">
        <v>151</v>
      </c>
      <c r="K45" s="10"/>
      <c r="L45" s="10" t="s">
        <v>101</v>
      </c>
      <c r="M45" s="10"/>
    </row>
    <row r="46" customFormat="false" ht="15" hidden="false" customHeight="false" outlineLevel="0" collapsed="false">
      <c r="A46" s="17" t="n">
        <v>42</v>
      </c>
      <c r="B46" s="10" t="s">
        <v>188</v>
      </c>
      <c r="C46" s="10" t="s">
        <v>189</v>
      </c>
      <c r="D46" s="10" t="s">
        <v>78</v>
      </c>
      <c r="E46" s="10" t="s">
        <v>100</v>
      </c>
      <c r="F46" s="10"/>
      <c r="G46" s="18"/>
      <c r="H46" s="18"/>
      <c r="I46" s="18" t="s">
        <v>170</v>
      </c>
      <c r="J46" s="10" t="s">
        <v>151</v>
      </c>
      <c r="K46" s="10"/>
      <c r="L46" s="10" t="s">
        <v>101</v>
      </c>
      <c r="M46" s="10"/>
    </row>
    <row r="47" customFormat="false" ht="15" hidden="false" customHeight="false" outlineLevel="0" collapsed="false">
      <c r="A47" s="17" t="n">
        <v>43</v>
      </c>
      <c r="B47" s="10" t="s">
        <v>190</v>
      </c>
      <c r="C47" s="10" t="s">
        <v>191</v>
      </c>
      <c r="D47" s="10" t="s">
        <v>78</v>
      </c>
      <c r="E47" s="10" t="s">
        <v>100</v>
      </c>
      <c r="F47" s="10"/>
      <c r="G47" s="18"/>
      <c r="H47" s="18"/>
      <c r="I47" s="18" t="s">
        <v>173</v>
      </c>
      <c r="J47" s="10" t="s">
        <v>148</v>
      </c>
      <c r="K47" s="10"/>
      <c r="L47" s="10" t="s">
        <v>101</v>
      </c>
      <c r="M47" s="10"/>
    </row>
    <row r="48" customFormat="false" ht="15" hidden="false" customHeight="false" outlineLevel="0" collapsed="false">
      <c r="A48" s="17" t="n">
        <v>44</v>
      </c>
      <c r="B48" s="10" t="s">
        <v>192</v>
      </c>
      <c r="C48" s="10" t="s">
        <v>193</v>
      </c>
      <c r="D48" s="10" t="s">
        <v>78</v>
      </c>
      <c r="E48" s="10" t="s">
        <v>100</v>
      </c>
      <c r="F48" s="10"/>
      <c r="G48" s="18"/>
      <c r="H48" s="18"/>
      <c r="I48" s="18"/>
      <c r="J48" s="10"/>
      <c r="K48" s="10"/>
      <c r="L48" s="10" t="s">
        <v>101</v>
      </c>
      <c r="M48" s="10"/>
    </row>
    <row r="49" customFormat="false" ht="15" hidden="false" customHeight="false" outlineLevel="0" collapsed="false">
      <c r="A49" s="17" t="n">
        <v>45</v>
      </c>
      <c r="B49" s="10" t="s">
        <v>194</v>
      </c>
      <c r="C49" s="10" t="s">
        <v>195</v>
      </c>
      <c r="D49" s="10" t="s">
        <v>78</v>
      </c>
      <c r="E49" s="10" t="s">
        <v>100</v>
      </c>
      <c r="F49" s="10"/>
      <c r="G49" s="18"/>
      <c r="H49" s="18"/>
      <c r="I49" s="18" t="s">
        <v>173</v>
      </c>
      <c r="J49" s="10" t="s">
        <v>151</v>
      </c>
      <c r="K49" s="10"/>
      <c r="L49" s="10" t="s">
        <v>101</v>
      </c>
      <c r="M49" s="10"/>
    </row>
    <row r="50" customFormat="false" ht="15" hidden="false" customHeight="false" outlineLevel="0" collapsed="false">
      <c r="A50" s="17" t="n">
        <v>46</v>
      </c>
      <c r="B50" s="10" t="s">
        <v>196</v>
      </c>
      <c r="C50" s="10" t="s">
        <v>197</v>
      </c>
      <c r="D50" s="10" t="s">
        <v>78</v>
      </c>
      <c r="E50" s="10" t="s">
        <v>100</v>
      </c>
      <c r="F50" s="10"/>
      <c r="G50" s="18"/>
      <c r="H50" s="18"/>
      <c r="I50" s="18" t="s">
        <v>173</v>
      </c>
      <c r="J50" s="10" t="s">
        <v>151</v>
      </c>
      <c r="K50" s="10"/>
      <c r="L50" s="10" t="s">
        <v>101</v>
      </c>
      <c r="M50" s="10"/>
    </row>
    <row r="51" customFormat="false" ht="15" hidden="false" customHeight="false" outlineLevel="0" collapsed="false">
      <c r="A51" s="17" t="n">
        <v>47</v>
      </c>
      <c r="B51" s="10" t="s">
        <v>198</v>
      </c>
      <c r="C51" s="10" t="s">
        <v>199</v>
      </c>
      <c r="D51" s="10" t="s">
        <v>78</v>
      </c>
      <c r="E51" s="10" t="s">
        <v>100</v>
      </c>
      <c r="F51" s="10"/>
      <c r="G51" s="18"/>
      <c r="H51" s="18"/>
      <c r="I51" s="18" t="s">
        <v>173</v>
      </c>
      <c r="J51" s="10" t="s">
        <v>151</v>
      </c>
      <c r="K51" s="10"/>
      <c r="L51" s="10" t="s">
        <v>101</v>
      </c>
      <c r="M51" s="10"/>
    </row>
    <row r="52" customFormat="false" ht="15" hidden="false" customHeight="false" outlineLevel="0" collapsed="false">
      <c r="A52" s="17" t="n">
        <v>48</v>
      </c>
      <c r="B52" s="10" t="s">
        <v>200</v>
      </c>
      <c r="C52" s="10" t="s">
        <v>201</v>
      </c>
      <c r="D52" s="10" t="s">
        <v>78</v>
      </c>
      <c r="E52" s="10" t="s">
        <v>100</v>
      </c>
      <c r="F52" s="10"/>
      <c r="G52" s="18"/>
      <c r="H52" s="18"/>
      <c r="I52" s="18" t="s">
        <v>173</v>
      </c>
      <c r="J52" s="10" t="s">
        <v>151</v>
      </c>
      <c r="K52" s="10"/>
      <c r="L52" s="10" t="s">
        <v>101</v>
      </c>
      <c r="M52" s="10"/>
    </row>
    <row r="53" customFormat="false" ht="15" hidden="false" customHeight="false" outlineLevel="0" collapsed="false">
      <c r="A53" s="17" t="n">
        <v>49</v>
      </c>
      <c r="B53" s="10" t="s">
        <v>202</v>
      </c>
      <c r="C53" s="10" t="s">
        <v>203</v>
      </c>
      <c r="D53" s="10" t="s">
        <v>78</v>
      </c>
      <c r="E53" s="10" t="s">
        <v>100</v>
      </c>
      <c r="F53" s="10"/>
      <c r="G53" s="18"/>
      <c r="H53" s="18"/>
      <c r="I53" s="18" t="s">
        <v>173</v>
      </c>
      <c r="J53" s="10" t="s">
        <v>151</v>
      </c>
      <c r="K53" s="10"/>
      <c r="L53" s="10" t="s">
        <v>101</v>
      </c>
      <c r="M53" s="10"/>
    </row>
    <row r="54" customFormat="false" ht="15" hidden="false" customHeight="false" outlineLevel="0" collapsed="false">
      <c r="A54" s="17" t="n">
        <v>50</v>
      </c>
      <c r="B54" s="10" t="s">
        <v>204</v>
      </c>
      <c r="C54" s="10" t="s">
        <v>205</v>
      </c>
      <c r="D54" s="10" t="s">
        <v>78</v>
      </c>
      <c r="E54" s="10" t="s">
        <v>100</v>
      </c>
      <c r="F54" s="10"/>
      <c r="G54" s="18"/>
      <c r="H54" s="18"/>
      <c r="I54" s="18"/>
      <c r="J54" s="10"/>
      <c r="K54" s="10"/>
      <c r="L54" s="10" t="s">
        <v>101</v>
      </c>
      <c r="M54" s="10"/>
    </row>
    <row r="55" customFormat="false" ht="15" hidden="false" customHeight="false" outlineLevel="0" collapsed="false">
      <c r="A55" s="17" t="n">
        <v>51</v>
      </c>
      <c r="B55" s="10" t="s">
        <v>206</v>
      </c>
      <c r="C55" s="10" t="s">
        <v>207</v>
      </c>
      <c r="D55" s="10" t="s">
        <v>78</v>
      </c>
      <c r="E55" s="10" t="s">
        <v>100</v>
      </c>
      <c r="F55" s="10"/>
      <c r="G55" s="18"/>
      <c r="H55" s="18"/>
      <c r="I55" s="18" t="s">
        <v>173</v>
      </c>
      <c r="J55" s="10" t="s">
        <v>151</v>
      </c>
      <c r="K55" s="10"/>
      <c r="L55" s="10" t="s">
        <v>101</v>
      </c>
      <c r="M55" s="10"/>
    </row>
    <row r="56" customFormat="false" ht="15" hidden="false" customHeight="false" outlineLevel="0" collapsed="false">
      <c r="A56" s="17" t="n">
        <v>52</v>
      </c>
      <c r="B56" s="10" t="s">
        <v>208</v>
      </c>
      <c r="C56" s="10" t="s">
        <v>209</v>
      </c>
      <c r="D56" s="10" t="s">
        <v>78</v>
      </c>
      <c r="E56" s="10" t="s">
        <v>100</v>
      </c>
      <c r="F56" s="10"/>
      <c r="G56" s="18"/>
      <c r="H56" s="18"/>
      <c r="I56" s="18" t="s">
        <v>173</v>
      </c>
      <c r="J56" s="10" t="s">
        <v>151</v>
      </c>
      <c r="K56" s="10"/>
      <c r="L56" s="10" t="s">
        <v>101</v>
      </c>
      <c r="M56" s="10"/>
    </row>
    <row r="57" customFormat="false" ht="15" hidden="false" customHeight="false" outlineLevel="0" collapsed="false">
      <c r="A57" s="17" t="n">
        <v>53</v>
      </c>
      <c r="B57" s="10" t="s">
        <v>210</v>
      </c>
      <c r="C57" s="10" t="s">
        <v>155</v>
      </c>
      <c r="D57" s="10" t="s">
        <v>78</v>
      </c>
      <c r="E57" s="10" t="s">
        <v>100</v>
      </c>
      <c r="F57" s="10"/>
      <c r="G57" s="18"/>
      <c r="H57" s="18"/>
      <c r="I57" s="18"/>
      <c r="J57" s="10"/>
      <c r="K57" s="10"/>
      <c r="L57" s="10" t="s">
        <v>101</v>
      </c>
      <c r="M57" s="10" t="s">
        <v>211</v>
      </c>
    </row>
    <row r="58" customFormat="false" ht="15" hidden="false" customHeight="false" outlineLevel="0" collapsed="false">
      <c r="A58" s="17" t="n">
        <v>54</v>
      </c>
      <c r="B58" s="10" t="s">
        <v>212</v>
      </c>
      <c r="C58" s="10" t="s">
        <v>213</v>
      </c>
      <c r="D58" s="10" t="s">
        <v>81</v>
      </c>
      <c r="E58" s="10" t="s">
        <v>214</v>
      </c>
      <c r="F58" s="10"/>
      <c r="G58" s="18" t="n">
        <v>4500000</v>
      </c>
      <c r="H58" s="18" t="n">
        <v>90000</v>
      </c>
      <c r="I58" s="18"/>
      <c r="J58" s="10"/>
      <c r="K58" s="10"/>
      <c r="L58" s="10" t="s">
        <v>101</v>
      </c>
      <c r="M58" s="10" t="s">
        <v>215</v>
      </c>
    </row>
    <row r="59" customFormat="false" ht="15" hidden="false" customHeight="false" outlineLevel="0" collapsed="false">
      <c r="A59" s="17" t="n">
        <v>55</v>
      </c>
      <c r="B59" s="10" t="s">
        <v>216</v>
      </c>
      <c r="C59" s="10" t="s">
        <v>217</v>
      </c>
      <c r="D59" s="10" t="s">
        <v>81</v>
      </c>
      <c r="E59" s="10" t="s">
        <v>214</v>
      </c>
      <c r="F59" s="10"/>
      <c r="G59" s="18" t="n">
        <v>3000000</v>
      </c>
      <c r="H59" s="18"/>
      <c r="I59" s="18"/>
      <c r="J59" s="10"/>
      <c r="K59" s="10"/>
      <c r="L59" s="10" t="s">
        <v>101</v>
      </c>
      <c r="M59" s="10"/>
    </row>
    <row r="60" customFormat="false" ht="15" hidden="false" customHeight="false" outlineLevel="0" collapsed="false">
      <c r="A60" s="17" t="n">
        <v>56</v>
      </c>
      <c r="B60" s="10" t="s">
        <v>218</v>
      </c>
      <c r="C60" s="10" t="s">
        <v>219</v>
      </c>
      <c r="D60" s="10" t="s">
        <v>81</v>
      </c>
      <c r="E60" s="10" t="s">
        <v>220</v>
      </c>
      <c r="F60" s="10"/>
      <c r="G60" s="18" t="n">
        <v>2000000</v>
      </c>
      <c r="H60" s="18"/>
      <c r="I60" s="18"/>
      <c r="J60" s="10"/>
      <c r="K60" s="10"/>
      <c r="L60" s="10" t="s">
        <v>101</v>
      </c>
      <c r="M60" s="10" t="s">
        <v>221</v>
      </c>
    </row>
    <row r="61" customFormat="false" ht="15" hidden="false" customHeight="false" outlineLevel="0" collapsed="false">
      <c r="A61" s="17" t="n">
        <v>57</v>
      </c>
      <c r="B61" s="10" t="s">
        <v>222</v>
      </c>
      <c r="C61" s="10" t="s">
        <v>223</v>
      </c>
      <c r="D61" s="10" t="s">
        <v>81</v>
      </c>
      <c r="E61" s="10" t="s">
        <v>214</v>
      </c>
      <c r="F61" s="10"/>
      <c r="G61" s="18" t="n">
        <v>10000000</v>
      </c>
      <c r="H61" s="18"/>
      <c r="I61" s="18"/>
      <c r="J61" s="10"/>
      <c r="K61" s="10"/>
      <c r="L61" s="10" t="s">
        <v>101</v>
      </c>
      <c r="M61" s="10" t="s">
        <v>224</v>
      </c>
    </row>
    <row r="62" customFormat="false" ht="15" hidden="false" customHeight="false" outlineLevel="0" collapsed="false">
      <c r="A62" s="17" t="n">
        <v>58</v>
      </c>
      <c r="B62" s="10" t="s">
        <v>225</v>
      </c>
      <c r="C62" s="10" t="s">
        <v>226</v>
      </c>
      <c r="D62" s="10" t="s">
        <v>81</v>
      </c>
      <c r="E62" s="10" t="s">
        <v>214</v>
      </c>
      <c r="F62" s="10"/>
      <c r="G62" s="18" t="n">
        <v>6000000</v>
      </c>
      <c r="H62" s="18"/>
      <c r="I62" s="18"/>
      <c r="J62" s="10"/>
      <c r="K62" s="10"/>
      <c r="L62" s="10" t="s">
        <v>101</v>
      </c>
      <c r="M62" s="10" t="s">
        <v>227</v>
      </c>
    </row>
    <row r="63" customFormat="false" ht="15" hidden="false" customHeight="false" outlineLevel="0" collapsed="false">
      <c r="A63" s="17" t="n">
        <v>59</v>
      </c>
      <c r="B63" s="10" t="s">
        <v>228</v>
      </c>
      <c r="C63" s="10" t="s">
        <v>229</v>
      </c>
      <c r="D63" s="10" t="s">
        <v>81</v>
      </c>
      <c r="E63" s="10" t="s">
        <v>100</v>
      </c>
      <c r="F63" s="10" t="n">
        <v>115000</v>
      </c>
      <c r="G63" s="18"/>
      <c r="H63" s="18"/>
      <c r="I63" s="18"/>
      <c r="J63" s="10"/>
      <c r="K63" s="10"/>
      <c r="L63" s="10" t="s">
        <v>101</v>
      </c>
      <c r="M63" s="10" t="s">
        <v>230</v>
      </c>
    </row>
    <row r="64" customFormat="false" ht="15" hidden="false" customHeight="false" outlineLevel="0" collapsed="false">
      <c r="A64" s="17"/>
      <c r="B64" s="16"/>
      <c r="C64" s="16"/>
      <c r="D64" s="16"/>
      <c r="E64" s="16"/>
      <c r="F64" s="16"/>
      <c r="G64" s="16"/>
      <c r="H64" s="16"/>
      <c r="I64" s="16"/>
      <c r="J64" s="16"/>
      <c r="K64" s="16"/>
      <c r="L64" s="16"/>
      <c r="M64" s="16"/>
    </row>
    <row r="65" customFormat="false" ht="15" hidden="false" customHeight="false" outlineLevel="0" collapsed="false">
      <c r="A65" s="17"/>
      <c r="B65" s="16"/>
      <c r="C65" s="16"/>
      <c r="D65" s="16"/>
      <c r="E65" s="16"/>
      <c r="F65" s="16"/>
      <c r="G65" s="16"/>
      <c r="H65" s="16"/>
      <c r="I65" s="16"/>
      <c r="J65" s="16"/>
      <c r="K65" s="16"/>
      <c r="L65" s="16"/>
      <c r="M65" s="16"/>
    </row>
    <row r="66" customFormat="false" ht="15" hidden="false" customHeight="false" outlineLevel="0" collapsed="false">
      <c r="A66" s="17"/>
      <c r="B66" s="16"/>
      <c r="C66" s="16"/>
      <c r="D66" s="16"/>
      <c r="E66" s="16"/>
      <c r="F66" s="16"/>
      <c r="G66" s="16"/>
      <c r="H66" s="16"/>
      <c r="I66" s="16"/>
      <c r="J66" s="16"/>
      <c r="K66" s="16"/>
      <c r="L66" s="16"/>
      <c r="M66" s="16"/>
    </row>
    <row r="67" customFormat="false" ht="15" hidden="false" customHeight="false" outlineLevel="0" collapsed="false">
      <c r="A67" s="17"/>
      <c r="B67" s="16"/>
      <c r="C67" s="16"/>
      <c r="D67" s="16"/>
      <c r="E67" s="16"/>
      <c r="F67" s="16"/>
      <c r="G67" s="16"/>
      <c r="H67" s="16"/>
      <c r="I67" s="16"/>
      <c r="J67" s="16"/>
      <c r="K67" s="16"/>
      <c r="L67" s="16"/>
      <c r="M67" s="16"/>
    </row>
    <row r="68" customFormat="false" ht="15" hidden="false" customHeight="false" outlineLevel="0" collapsed="false">
      <c r="A68" s="17"/>
      <c r="B68" s="16"/>
      <c r="C68" s="16"/>
      <c r="D68" s="16"/>
      <c r="E68" s="16"/>
      <c r="F68" s="16"/>
      <c r="G68" s="16"/>
      <c r="H68" s="16"/>
      <c r="I68" s="16"/>
      <c r="J68" s="16"/>
      <c r="K68" s="16"/>
      <c r="L68" s="16"/>
      <c r="M68" s="16"/>
    </row>
    <row r="69" customFormat="false" ht="15" hidden="false" customHeight="false" outlineLevel="0" collapsed="false">
      <c r="A69" s="17"/>
      <c r="B69" s="16"/>
      <c r="C69" s="16"/>
      <c r="D69" s="16"/>
      <c r="E69" s="16"/>
      <c r="F69" s="16"/>
      <c r="G69" s="16"/>
      <c r="H69" s="16"/>
      <c r="I69" s="16"/>
      <c r="J69" s="16"/>
      <c r="K69" s="16"/>
      <c r="L69" s="16"/>
      <c r="M69" s="16"/>
    </row>
    <row r="70" customFormat="false" ht="15" hidden="false" customHeight="false" outlineLevel="0" collapsed="false">
      <c r="A70" s="17"/>
      <c r="B70" s="16"/>
      <c r="C70" s="16"/>
      <c r="D70" s="16"/>
      <c r="E70" s="16"/>
      <c r="F70" s="16"/>
      <c r="G70" s="16"/>
      <c r="H70" s="16"/>
      <c r="I70" s="16"/>
      <c r="J70" s="16"/>
      <c r="K70" s="16"/>
      <c r="L70" s="16"/>
      <c r="M70" s="16"/>
    </row>
    <row r="71" customFormat="false" ht="15" hidden="false" customHeight="false" outlineLevel="0" collapsed="false">
      <c r="A71" s="17"/>
      <c r="B71" s="16"/>
      <c r="C71" s="16"/>
      <c r="D71" s="16"/>
      <c r="E71" s="16"/>
      <c r="F71" s="16"/>
      <c r="G71" s="16"/>
      <c r="H71" s="16"/>
      <c r="I71" s="16"/>
      <c r="J71" s="16"/>
      <c r="K71" s="16"/>
      <c r="L71" s="16"/>
      <c r="M71" s="16"/>
    </row>
    <row r="72" customFormat="false" ht="15" hidden="false" customHeight="false" outlineLevel="0" collapsed="false">
      <c r="A72" s="17"/>
      <c r="B72" s="16"/>
      <c r="C72" s="16"/>
      <c r="D72" s="16"/>
      <c r="E72" s="16"/>
      <c r="F72" s="16"/>
      <c r="G72" s="16"/>
      <c r="H72" s="16"/>
      <c r="I72" s="16"/>
      <c r="J72" s="16"/>
      <c r="K72" s="16"/>
      <c r="L72" s="16"/>
      <c r="M72" s="16"/>
    </row>
    <row r="73" customFormat="false" ht="15" hidden="false" customHeight="false" outlineLevel="0" collapsed="false">
      <c r="A73" s="17"/>
      <c r="B73" s="16"/>
      <c r="C73" s="16"/>
      <c r="D73" s="16"/>
      <c r="E73" s="16"/>
      <c r="F73" s="16"/>
      <c r="G73" s="16"/>
      <c r="H73" s="16"/>
      <c r="I73" s="16"/>
      <c r="J73" s="16"/>
      <c r="K73" s="16"/>
      <c r="L73" s="16"/>
      <c r="M73" s="16"/>
    </row>
    <row r="74" customFormat="false" ht="15" hidden="false" customHeight="false" outlineLevel="0" collapsed="false">
      <c r="A74" s="17"/>
      <c r="B74" s="16"/>
      <c r="C74" s="16"/>
      <c r="D74" s="16"/>
      <c r="E74" s="16"/>
      <c r="F74" s="16"/>
      <c r="G74" s="16"/>
      <c r="H74" s="16"/>
      <c r="I74" s="16"/>
      <c r="J74" s="16"/>
      <c r="K74" s="16"/>
      <c r="L74" s="16"/>
      <c r="M74" s="16"/>
    </row>
    <row r="75" customFormat="false" ht="15" hidden="false" customHeight="false" outlineLevel="0" collapsed="false">
      <c r="A75" s="17"/>
      <c r="B75" s="16"/>
      <c r="C75" s="16"/>
      <c r="D75" s="16"/>
      <c r="E75" s="16"/>
      <c r="F75" s="16"/>
      <c r="G75" s="16"/>
      <c r="H75" s="16"/>
      <c r="I75" s="16"/>
      <c r="J75" s="16"/>
      <c r="K75" s="16"/>
      <c r="L75" s="16"/>
      <c r="M75" s="16"/>
    </row>
    <row r="76" customFormat="false" ht="15" hidden="false" customHeight="false" outlineLevel="0" collapsed="false">
      <c r="A76" s="17"/>
      <c r="B76" s="16"/>
      <c r="C76" s="16"/>
      <c r="D76" s="16"/>
      <c r="E76" s="16"/>
      <c r="F76" s="16"/>
      <c r="G76" s="16"/>
      <c r="H76" s="16"/>
      <c r="I76" s="16"/>
      <c r="J76" s="16"/>
      <c r="K76" s="16"/>
      <c r="L76" s="16"/>
      <c r="M76" s="16"/>
    </row>
    <row r="77" customFormat="false" ht="15" hidden="false" customHeight="false" outlineLevel="0" collapsed="false">
      <c r="A77" s="17"/>
      <c r="B77" s="16"/>
      <c r="C77" s="16"/>
      <c r="D77" s="16"/>
      <c r="E77" s="16"/>
      <c r="F77" s="16"/>
      <c r="G77" s="16"/>
      <c r="H77" s="16"/>
      <c r="I77" s="16"/>
      <c r="J77" s="16"/>
      <c r="K77" s="16"/>
      <c r="L77" s="16"/>
      <c r="M77" s="16"/>
    </row>
    <row r="78" customFormat="false" ht="15" hidden="false" customHeight="false" outlineLevel="0" collapsed="false">
      <c r="A78" s="17"/>
      <c r="B78" s="16"/>
      <c r="C78" s="16"/>
      <c r="D78" s="16"/>
      <c r="E78" s="16"/>
      <c r="F78" s="16"/>
      <c r="G78" s="16"/>
      <c r="H78" s="16"/>
      <c r="I78" s="16"/>
      <c r="J78" s="16"/>
      <c r="K78" s="16"/>
      <c r="L78" s="16"/>
      <c r="M78" s="16"/>
    </row>
    <row r="79" customFormat="false" ht="15" hidden="false" customHeight="false" outlineLevel="0" collapsed="false">
      <c r="A79" s="17"/>
      <c r="B79" s="16"/>
      <c r="C79" s="16"/>
      <c r="D79" s="16"/>
      <c r="E79" s="16"/>
      <c r="F79" s="16"/>
      <c r="G79" s="16"/>
      <c r="H79" s="16"/>
      <c r="I79" s="16"/>
      <c r="J79" s="16"/>
      <c r="K79" s="16"/>
      <c r="L79" s="16"/>
      <c r="M79" s="16"/>
    </row>
    <row r="80" customFormat="false" ht="15" hidden="false" customHeight="false" outlineLevel="0" collapsed="false">
      <c r="A80" s="17"/>
      <c r="B80" s="16"/>
      <c r="C80" s="16"/>
      <c r="D80" s="16"/>
      <c r="E80" s="16"/>
      <c r="F80" s="16"/>
      <c r="G80" s="16"/>
      <c r="H80" s="16"/>
      <c r="I80" s="16"/>
      <c r="J80" s="16"/>
      <c r="K80" s="16"/>
      <c r="L80" s="16"/>
      <c r="M80" s="16"/>
    </row>
    <row r="81" customFormat="false" ht="15" hidden="false" customHeight="false" outlineLevel="0" collapsed="false">
      <c r="A81" s="17"/>
      <c r="B81" s="16"/>
      <c r="C81" s="16"/>
      <c r="D81" s="16"/>
      <c r="E81" s="16"/>
      <c r="F81" s="16"/>
      <c r="G81" s="16"/>
      <c r="H81" s="16"/>
      <c r="I81" s="16"/>
      <c r="J81" s="16"/>
      <c r="K81" s="16"/>
      <c r="L81" s="16"/>
      <c r="M81" s="16"/>
    </row>
    <row r="82" customFormat="false" ht="15" hidden="false" customHeight="false" outlineLevel="0" collapsed="false">
      <c r="A82" s="17"/>
      <c r="B82" s="16"/>
      <c r="C82" s="16"/>
      <c r="D82" s="16"/>
      <c r="E82" s="16"/>
      <c r="F82" s="16"/>
      <c r="G82" s="16"/>
      <c r="H82" s="16"/>
      <c r="I82" s="16"/>
      <c r="J82" s="16"/>
      <c r="K82" s="16"/>
      <c r="L82" s="16"/>
      <c r="M82" s="16"/>
    </row>
    <row r="83" customFormat="false" ht="15" hidden="false" customHeight="false" outlineLevel="0" collapsed="false">
      <c r="A83" s="17"/>
      <c r="B83" s="16"/>
      <c r="C83" s="16"/>
      <c r="D83" s="16"/>
      <c r="E83" s="16"/>
      <c r="F83" s="16"/>
      <c r="G83" s="16"/>
      <c r="H83" s="16"/>
      <c r="I83" s="16"/>
      <c r="J83" s="16"/>
      <c r="K83" s="16"/>
      <c r="L83" s="16"/>
      <c r="M83" s="16"/>
    </row>
    <row r="84" customFormat="false" ht="15" hidden="false" customHeight="false" outlineLevel="0" collapsed="false">
      <c r="A84" s="17"/>
      <c r="B84" s="16"/>
      <c r="C84" s="16"/>
      <c r="D84" s="16"/>
      <c r="E84" s="16"/>
      <c r="F84" s="16"/>
      <c r="G84" s="16"/>
      <c r="H84" s="16"/>
      <c r="I84" s="16"/>
      <c r="J84" s="16"/>
      <c r="K84" s="16"/>
      <c r="L84" s="16"/>
      <c r="M84" s="16"/>
    </row>
    <row r="85" customFormat="false" ht="15" hidden="false" customHeight="false" outlineLevel="0" collapsed="false">
      <c r="A85" s="17"/>
      <c r="B85" s="16"/>
      <c r="C85" s="16"/>
      <c r="D85" s="16"/>
      <c r="E85" s="16"/>
      <c r="F85" s="16"/>
      <c r="G85" s="16"/>
      <c r="H85" s="16"/>
      <c r="I85" s="16"/>
      <c r="J85" s="16"/>
      <c r="K85" s="16"/>
      <c r="L85" s="16"/>
      <c r="M85" s="16"/>
    </row>
    <row r="86" customFormat="false" ht="15" hidden="false" customHeight="false" outlineLevel="0" collapsed="false">
      <c r="A86" s="17"/>
      <c r="B86" s="16"/>
      <c r="C86" s="16"/>
      <c r="D86" s="16"/>
      <c r="E86" s="16"/>
      <c r="F86" s="16"/>
      <c r="G86" s="16"/>
      <c r="H86" s="16"/>
      <c r="I86" s="16"/>
      <c r="J86" s="16"/>
      <c r="K86" s="16"/>
      <c r="L86" s="16"/>
      <c r="M86" s="16"/>
    </row>
    <row r="87" customFormat="false" ht="15" hidden="false" customHeight="false" outlineLevel="0" collapsed="false">
      <c r="A87" s="17"/>
      <c r="B87" s="16"/>
      <c r="C87" s="16"/>
      <c r="D87" s="16"/>
      <c r="E87" s="16"/>
      <c r="F87" s="16"/>
      <c r="G87" s="16"/>
      <c r="H87" s="16"/>
      <c r="I87" s="16"/>
      <c r="J87" s="16"/>
      <c r="K87" s="16"/>
      <c r="L87" s="16"/>
      <c r="M87" s="16"/>
    </row>
    <row r="88" customFormat="false" ht="15" hidden="false" customHeight="false" outlineLevel="0" collapsed="false">
      <c r="A88" s="17"/>
      <c r="B88" s="16"/>
      <c r="C88" s="16"/>
      <c r="D88" s="16"/>
      <c r="E88" s="16"/>
      <c r="F88" s="16"/>
      <c r="G88" s="16"/>
      <c r="H88" s="16"/>
      <c r="I88" s="16"/>
      <c r="J88" s="16"/>
      <c r="K88" s="16"/>
      <c r="L88" s="16"/>
      <c r="M88" s="16"/>
    </row>
    <row r="89" customFormat="false" ht="15" hidden="false" customHeight="false" outlineLevel="0" collapsed="false">
      <c r="A89" s="17"/>
      <c r="B89" s="16"/>
      <c r="C89" s="16"/>
      <c r="D89" s="16"/>
      <c r="E89" s="16"/>
      <c r="F89" s="16"/>
      <c r="G89" s="16"/>
      <c r="H89" s="16"/>
      <c r="I89" s="16"/>
      <c r="J89" s="16"/>
      <c r="K89" s="16"/>
      <c r="L89" s="16"/>
      <c r="M89" s="16"/>
    </row>
    <row r="90" customFormat="false" ht="15" hidden="false" customHeight="false" outlineLevel="0" collapsed="false">
      <c r="A90" s="17"/>
      <c r="B90" s="16"/>
      <c r="C90" s="16"/>
      <c r="D90" s="16"/>
      <c r="E90" s="16"/>
      <c r="F90" s="16"/>
      <c r="G90" s="16"/>
      <c r="H90" s="16"/>
      <c r="I90" s="16"/>
      <c r="J90" s="16"/>
      <c r="K90" s="16"/>
      <c r="L90" s="16"/>
      <c r="M90" s="16"/>
    </row>
    <row r="91" customFormat="false" ht="15" hidden="false" customHeight="false" outlineLevel="0" collapsed="false">
      <c r="A91" s="17"/>
      <c r="B91" s="16"/>
      <c r="C91" s="16"/>
      <c r="D91" s="16"/>
      <c r="E91" s="16"/>
      <c r="F91" s="16"/>
      <c r="G91" s="16"/>
      <c r="H91" s="16"/>
      <c r="I91" s="16"/>
      <c r="J91" s="16"/>
      <c r="K91" s="16"/>
      <c r="L91" s="16"/>
      <c r="M91" s="16"/>
    </row>
    <row r="92" customFormat="false" ht="15" hidden="false" customHeight="false" outlineLevel="0" collapsed="false">
      <c r="A92" s="17"/>
      <c r="B92" s="16"/>
      <c r="C92" s="16"/>
      <c r="D92" s="16"/>
      <c r="E92" s="16"/>
      <c r="F92" s="16"/>
      <c r="G92" s="16"/>
      <c r="H92" s="16"/>
      <c r="I92" s="16"/>
      <c r="J92" s="16"/>
      <c r="K92" s="16"/>
      <c r="L92" s="16"/>
      <c r="M92" s="16"/>
    </row>
    <row r="93" customFormat="false" ht="15" hidden="false" customHeight="false" outlineLevel="0" collapsed="false">
      <c r="A93" s="17"/>
      <c r="B93" s="16"/>
      <c r="C93" s="16"/>
      <c r="D93" s="16"/>
      <c r="E93" s="16"/>
      <c r="F93" s="16"/>
      <c r="G93" s="16"/>
      <c r="H93" s="16"/>
      <c r="I93" s="16"/>
      <c r="J93" s="16"/>
      <c r="K93" s="16"/>
      <c r="L93" s="16"/>
      <c r="M93" s="16"/>
    </row>
    <row r="94" customFormat="false" ht="15" hidden="false" customHeight="false" outlineLevel="0" collapsed="false">
      <c r="A94" s="17"/>
      <c r="B94" s="16"/>
      <c r="C94" s="16"/>
      <c r="D94" s="16"/>
      <c r="E94" s="16"/>
      <c r="F94" s="16"/>
      <c r="G94" s="16"/>
      <c r="H94" s="16"/>
      <c r="I94" s="16"/>
      <c r="J94" s="16"/>
      <c r="K94" s="16"/>
      <c r="L94" s="16"/>
      <c r="M94" s="16"/>
    </row>
    <row r="95" customFormat="false" ht="15" hidden="false" customHeight="false" outlineLevel="0" collapsed="false">
      <c r="A95" s="17"/>
      <c r="B95" s="16"/>
      <c r="C95" s="16"/>
      <c r="D95" s="16"/>
      <c r="E95" s="16"/>
      <c r="F95" s="16"/>
      <c r="G95" s="16"/>
      <c r="H95" s="16"/>
      <c r="I95" s="16"/>
      <c r="J95" s="16"/>
      <c r="K95" s="16"/>
      <c r="L95" s="16"/>
      <c r="M95" s="16"/>
    </row>
    <row r="96" customFormat="false" ht="15" hidden="false" customHeight="false" outlineLevel="0" collapsed="false">
      <c r="A96" s="17"/>
      <c r="B96" s="16"/>
      <c r="C96" s="16"/>
      <c r="D96" s="16"/>
      <c r="E96" s="16"/>
      <c r="F96" s="16"/>
      <c r="G96" s="16"/>
      <c r="H96" s="16"/>
      <c r="I96" s="16"/>
      <c r="J96" s="16"/>
      <c r="K96" s="16"/>
      <c r="L96" s="16"/>
      <c r="M96" s="16"/>
    </row>
    <row r="97" customFormat="false" ht="15" hidden="false" customHeight="false" outlineLevel="0" collapsed="false">
      <c r="A97" s="17"/>
      <c r="B97" s="16"/>
      <c r="C97" s="16"/>
      <c r="D97" s="16"/>
      <c r="E97" s="16"/>
      <c r="F97" s="16"/>
      <c r="G97" s="16"/>
      <c r="H97" s="16"/>
      <c r="I97" s="16"/>
      <c r="J97" s="16"/>
      <c r="K97" s="16"/>
      <c r="L97" s="16"/>
      <c r="M97" s="16"/>
    </row>
    <row r="98" customFormat="false" ht="15" hidden="false" customHeight="false" outlineLevel="0" collapsed="false">
      <c r="A98" s="17"/>
      <c r="B98" s="16"/>
      <c r="C98" s="16"/>
      <c r="D98" s="16"/>
      <c r="E98" s="16"/>
      <c r="F98" s="16"/>
      <c r="G98" s="16"/>
      <c r="H98" s="16"/>
      <c r="I98" s="16"/>
      <c r="J98" s="16"/>
      <c r="K98" s="16"/>
      <c r="L98" s="16"/>
      <c r="M98" s="16"/>
    </row>
    <row r="99" customFormat="false" ht="15" hidden="false" customHeight="false" outlineLevel="0" collapsed="false">
      <c r="A99" s="17"/>
      <c r="B99" s="16"/>
      <c r="C99" s="16"/>
      <c r="D99" s="16"/>
      <c r="E99" s="16"/>
      <c r="F99" s="16"/>
      <c r="G99" s="16"/>
      <c r="H99" s="16"/>
      <c r="I99" s="16"/>
      <c r="J99" s="16"/>
      <c r="K99" s="16"/>
      <c r="L99" s="16"/>
      <c r="M99" s="16"/>
    </row>
    <row r="100" customFormat="false" ht="15" hidden="false" customHeight="false" outlineLevel="0" collapsed="false">
      <c r="A100" s="17"/>
      <c r="B100" s="16"/>
      <c r="C100" s="16"/>
      <c r="D100" s="16"/>
      <c r="E100" s="16"/>
      <c r="F100" s="16"/>
      <c r="G100" s="16"/>
      <c r="H100" s="16"/>
      <c r="I100" s="16"/>
      <c r="J100" s="16"/>
      <c r="K100" s="16"/>
      <c r="L100" s="16"/>
      <c r="M100" s="16"/>
    </row>
    <row r="101" customFormat="false" ht="15" hidden="false" customHeight="false" outlineLevel="0" collapsed="false">
      <c r="A101" s="17"/>
      <c r="B101" s="16"/>
      <c r="C101" s="16"/>
      <c r="D101" s="16"/>
      <c r="E101" s="16"/>
      <c r="F101" s="16"/>
      <c r="G101" s="16"/>
      <c r="H101" s="16"/>
      <c r="I101" s="16"/>
      <c r="J101" s="16"/>
      <c r="K101" s="16"/>
      <c r="L101" s="16"/>
      <c r="M101" s="16"/>
    </row>
    <row r="102" customFormat="false" ht="15" hidden="false" customHeight="false" outlineLevel="0" collapsed="false">
      <c r="A102" s="17"/>
      <c r="B102" s="16"/>
      <c r="C102" s="16"/>
      <c r="D102" s="16"/>
      <c r="E102" s="16"/>
      <c r="F102" s="16"/>
      <c r="G102" s="16"/>
      <c r="H102" s="16"/>
      <c r="I102" s="16"/>
      <c r="J102" s="16"/>
      <c r="K102" s="16"/>
      <c r="L102" s="16"/>
      <c r="M102" s="16"/>
    </row>
    <row r="103" customFormat="false" ht="15" hidden="false" customHeight="false" outlineLevel="0" collapsed="false">
      <c r="A103" s="17"/>
      <c r="B103" s="16"/>
      <c r="C103" s="16"/>
      <c r="D103" s="16"/>
      <c r="E103" s="16"/>
      <c r="F103" s="16"/>
      <c r="G103" s="16"/>
      <c r="H103" s="16"/>
      <c r="I103" s="16"/>
      <c r="J103" s="16"/>
      <c r="K103" s="16"/>
      <c r="L103" s="16"/>
      <c r="M103" s="16"/>
    </row>
    <row r="104" customFormat="false" ht="15" hidden="false" customHeight="false" outlineLevel="0" collapsed="false">
      <c r="A104" s="17"/>
      <c r="B104" s="16"/>
      <c r="C104" s="16"/>
      <c r="D104" s="16"/>
      <c r="E104" s="16"/>
      <c r="F104" s="16"/>
      <c r="G104" s="16"/>
      <c r="H104" s="16"/>
      <c r="I104" s="16"/>
      <c r="J104" s="16"/>
      <c r="K104" s="16"/>
      <c r="L104" s="16"/>
      <c r="M104" s="16"/>
    </row>
    <row r="105" customFormat="false" ht="15" hidden="false" customHeight="false" outlineLevel="0" collapsed="false">
      <c r="A105" s="17"/>
      <c r="B105" s="16"/>
      <c r="C105" s="16"/>
      <c r="D105" s="16"/>
      <c r="E105" s="16"/>
      <c r="F105" s="16"/>
      <c r="G105" s="16"/>
      <c r="H105" s="16"/>
      <c r="I105" s="16"/>
      <c r="J105" s="16"/>
      <c r="K105" s="16"/>
      <c r="L105" s="16"/>
      <c r="M105" s="16"/>
    </row>
    <row r="106" customFormat="false" ht="15" hidden="false" customHeight="false" outlineLevel="0" collapsed="false">
      <c r="A106" s="17"/>
      <c r="B106" s="16"/>
      <c r="C106" s="16"/>
      <c r="D106" s="16"/>
      <c r="E106" s="16"/>
      <c r="F106" s="16"/>
      <c r="G106" s="16"/>
      <c r="H106" s="16"/>
      <c r="I106" s="16"/>
      <c r="J106" s="16"/>
      <c r="K106" s="16"/>
      <c r="L106" s="16"/>
      <c r="M106" s="16"/>
    </row>
    <row r="107" customFormat="false" ht="15" hidden="false" customHeight="false" outlineLevel="0" collapsed="false">
      <c r="A107" s="17"/>
      <c r="B107" s="16"/>
      <c r="C107" s="16"/>
      <c r="D107" s="16"/>
      <c r="E107" s="16"/>
      <c r="F107" s="16"/>
      <c r="G107" s="16"/>
      <c r="H107" s="16"/>
      <c r="I107" s="16"/>
      <c r="J107" s="16"/>
      <c r="K107" s="16"/>
      <c r="L107" s="16"/>
      <c r="M107" s="16"/>
    </row>
    <row r="108" customFormat="false" ht="15" hidden="false" customHeight="false" outlineLevel="0" collapsed="false">
      <c r="A108" s="17"/>
      <c r="B108" s="16"/>
      <c r="C108" s="16"/>
      <c r="D108" s="16"/>
      <c r="E108" s="16"/>
      <c r="F108" s="16"/>
      <c r="G108" s="16"/>
      <c r="H108" s="16"/>
      <c r="I108" s="16"/>
      <c r="J108" s="16"/>
      <c r="K108" s="16"/>
      <c r="L108" s="16"/>
      <c r="M108" s="16"/>
    </row>
    <row r="109" customFormat="false" ht="15" hidden="false" customHeight="false" outlineLevel="0" collapsed="false">
      <c r="A109" s="17"/>
      <c r="B109" s="16"/>
      <c r="C109" s="16"/>
      <c r="D109" s="16"/>
      <c r="E109" s="16"/>
      <c r="F109" s="16"/>
      <c r="G109" s="16"/>
      <c r="H109" s="16"/>
      <c r="I109" s="16"/>
      <c r="J109" s="16"/>
      <c r="K109" s="16"/>
      <c r="L109" s="16"/>
      <c r="M109" s="16"/>
    </row>
    <row r="110" customFormat="false" ht="15" hidden="false" customHeight="false" outlineLevel="0" collapsed="false">
      <c r="A110" s="17"/>
      <c r="B110" s="16"/>
      <c r="C110" s="16"/>
      <c r="D110" s="16"/>
      <c r="E110" s="16"/>
      <c r="F110" s="16"/>
      <c r="G110" s="16"/>
      <c r="H110" s="16"/>
      <c r="I110" s="16"/>
      <c r="J110" s="16"/>
      <c r="K110" s="16"/>
      <c r="L110" s="16"/>
      <c r="M110" s="16"/>
    </row>
    <row r="111" customFormat="false" ht="15" hidden="false" customHeight="false" outlineLevel="0" collapsed="false">
      <c r="A111" s="17"/>
      <c r="B111" s="16"/>
      <c r="C111" s="16"/>
      <c r="D111" s="16"/>
      <c r="E111" s="16"/>
      <c r="F111" s="16"/>
      <c r="G111" s="16"/>
      <c r="H111" s="16"/>
      <c r="I111" s="16"/>
      <c r="J111" s="16"/>
      <c r="K111" s="16"/>
      <c r="L111" s="16"/>
      <c r="M111" s="16"/>
    </row>
    <row r="112" customFormat="false" ht="15" hidden="false" customHeight="false" outlineLevel="0" collapsed="false">
      <c r="A112" s="17"/>
      <c r="B112" s="16"/>
      <c r="C112" s="16"/>
      <c r="D112" s="16"/>
      <c r="E112" s="16"/>
      <c r="F112" s="16"/>
      <c r="G112" s="16"/>
      <c r="H112" s="16"/>
      <c r="I112" s="16"/>
      <c r="J112" s="16"/>
      <c r="K112" s="16"/>
      <c r="L112" s="16"/>
      <c r="M112" s="16"/>
    </row>
    <row r="113" customFormat="false" ht="15" hidden="false" customHeight="false" outlineLevel="0" collapsed="false">
      <c r="A113" s="17"/>
      <c r="B113" s="16"/>
      <c r="C113" s="16"/>
      <c r="D113" s="16"/>
      <c r="E113" s="16"/>
      <c r="F113" s="16"/>
      <c r="G113" s="16"/>
      <c r="H113" s="16"/>
      <c r="I113" s="16"/>
      <c r="J113" s="16"/>
      <c r="K113" s="16"/>
      <c r="L113" s="16"/>
      <c r="M113" s="16"/>
    </row>
    <row r="114" customFormat="false" ht="15" hidden="false" customHeight="false" outlineLevel="0" collapsed="false">
      <c r="A114" s="17"/>
      <c r="B114" s="16"/>
      <c r="C114" s="16"/>
      <c r="D114" s="16"/>
      <c r="E114" s="16"/>
      <c r="F114" s="16"/>
      <c r="G114" s="16"/>
      <c r="H114" s="16"/>
      <c r="I114" s="16"/>
      <c r="J114" s="16"/>
      <c r="K114" s="16"/>
      <c r="L114" s="16"/>
      <c r="M114" s="16"/>
    </row>
    <row r="115" customFormat="false" ht="15" hidden="false" customHeight="false" outlineLevel="0" collapsed="false">
      <c r="A115" s="17"/>
      <c r="B115" s="16"/>
      <c r="C115" s="16"/>
      <c r="D115" s="16"/>
      <c r="E115" s="16"/>
      <c r="F115" s="16"/>
      <c r="G115" s="16"/>
      <c r="H115" s="16"/>
      <c r="I115" s="16"/>
      <c r="J115" s="16"/>
      <c r="K115" s="16"/>
      <c r="L115" s="16"/>
      <c r="M115" s="16"/>
    </row>
    <row r="116" customFormat="false" ht="15" hidden="false" customHeight="false" outlineLevel="0" collapsed="false">
      <c r="A116" s="17"/>
      <c r="B116" s="16"/>
      <c r="C116" s="16"/>
      <c r="D116" s="16"/>
      <c r="E116" s="16"/>
      <c r="F116" s="16"/>
      <c r="G116" s="16"/>
      <c r="H116" s="16"/>
      <c r="I116" s="16"/>
      <c r="J116" s="16"/>
      <c r="K116" s="16"/>
      <c r="L116" s="16"/>
      <c r="M116" s="16"/>
    </row>
    <row r="117" customFormat="false" ht="15" hidden="false" customHeight="false" outlineLevel="0" collapsed="false">
      <c r="A117" s="17"/>
      <c r="B117" s="16"/>
      <c r="C117" s="16"/>
      <c r="D117" s="16"/>
      <c r="E117" s="16"/>
      <c r="F117" s="16"/>
      <c r="G117" s="16"/>
      <c r="H117" s="16"/>
      <c r="I117" s="16"/>
      <c r="J117" s="16"/>
      <c r="K117" s="16"/>
      <c r="L117" s="16"/>
      <c r="M117" s="16"/>
    </row>
    <row r="118" customFormat="false" ht="15" hidden="false" customHeight="false" outlineLevel="0" collapsed="false">
      <c r="A118" s="17"/>
      <c r="B118" s="16"/>
      <c r="C118" s="16"/>
      <c r="D118" s="16"/>
      <c r="E118" s="16"/>
      <c r="F118" s="16"/>
      <c r="G118" s="16"/>
      <c r="H118" s="16"/>
      <c r="I118" s="16"/>
      <c r="J118" s="16"/>
      <c r="K118" s="16"/>
      <c r="L118" s="16"/>
      <c r="M118" s="16"/>
    </row>
    <row r="119" customFormat="false" ht="15" hidden="false" customHeight="false" outlineLevel="0" collapsed="false">
      <c r="A119" s="17"/>
      <c r="B119" s="16"/>
      <c r="C119" s="16"/>
      <c r="D119" s="16"/>
      <c r="E119" s="16"/>
      <c r="F119" s="16"/>
      <c r="G119" s="16"/>
      <c r="H119" s="16"/>
      <c r="I119" s="16"/>
      <c r="J119" s="16"/>
      <c r="K119" s="16"/>
      <c r="L119" s="16"/>
      <c r="M119" s="16"/>
    </row>
    <row r="120" customFormat="false" ht="15" hidden="false" customHeight="false" outlineLevel="0" collapsed="false">
      <c r="A120" s="17"/>
      <c r="B120" s="16"/>
      <c r="C120" s="16"/>
      <c r="D120" s="16"/>
      <c r="E120" s="16"/>
      <c r="F120" s="16"/>
      <c r="G120" s="16"/>
      <c r="H120" s="16"/>
      <c r="I120" s="16"/>
      <c r="J120" s="16"/>
      <c r="K120" s="16"/>
      <c r="L120" s="16"/>
      <c r="M120" s="16"/>
    </row>
    <row r="121" customFormat="false" ht="15" hidden="false" customHeight="false" outlineLevel="0" collapsed="false">
      <c r="A121" s="17"/>
      <c r="B121" s="16"/>
      <c r="C121" s="16"/>
      <c r="D121" s="16"/>
      <c r="E121" s="16"/>
      <c r="F121" s="16"/>
      <c r="G121" s="16"/>
      <c r="H121" s="16"/>
      <c r="I121" s="16"/>
      <c r="J121" s="16"/>
      <c r="K121" s="16"/>
      <c r="L121" s="16"/>
      <c r="M121" s="16"/>
    </row>
    <row r="122" customFormat="false" ht="15" hidden="false" customHeight="false" outlineLevel="0" collapsed="false">
      <c r="A122" s="17"/>
      <c r="B122" s="16"/>
      <c r="C122" s="16"/>
      <c r="D122" s="16"/>
      <c r="E122" s="16"/>
      <c r="F122" s="16"/>
      <c r="G122" s="16"/>
      <c r="H122" s="16"/>
      <c r="I122" s="16"/>
      <c r="J122" s="16"/>
      <c r="K122" s="16"/>
      <c r="L122" s="16"/>
      <c r="M122" s="16"/>
    </row>
    <row r="123" customFormat="false" ht="15" hidden="false" customHeight="false" outlineLevel="0" collapsed="false">
      <c r="A123" s="17"/>
      <c r="B123" s="16"/>
      <c r="C123" s="16"/>
      <c r="D123" s="16"/>
      <c r="E123" s="16"/>
      <c r="F123" s="16"/>
      <c r="G123" s="16"/>
      <c r="H123" s="16"/>
      <c r="I123" s="16"/>
      <c r="J123" s="16"/>
      <c r="K123" s="16"/>
      <c r="L123" s="16"/>
      <c r="M123" s="16"/>
    </row>
    <row r="124" customFormat="false" ht="15" hidden="false" customHeight="false" outlineLevel="0" collapsed="false">
      <c r="A124" s="17"/>
      <c r="B124" s="16"/>
      <c r="C124" s="16"/>
      <c r="D124" s="16"/>
      <c r="E124" s="16"/>
      <c r="F124" s="16"/>
      <c r="G124" s="16"/>
      <c r="H124" s="16"/>
      <c r="I124" s="16"/>
      <c r="J124" s="16"/>
      <c r="K124" s="16"/>
      <c r="L124" s="16"/>
      <c r="M124" s="16"/>
    </row>
    <row r="125" customFormat="false" ht="15" hidden="false" customHeight="false" outlineLevel="0" collapsed="false">
      <c r="A125" s="17"/>
      <c r="B125" s="16"/>
      <c r="C125" s="16"/>
      <c r="D125" s="16"/>
      <c r="E125" s="16"/>
      <c r="F125" s="16"/>
      <c r="G125" s="16"/>
      <c r="H125" s="16"/>
      <c r="I125" s="16"/>
      <c r="J125" s="16"/>
      <c r="K125" s="16"/>
      <c r="L125" s="16"/>
      <c r="M125" s="16"/>
    </row>
    <row r="126" customFormat="false" ht="15" hidden="false" customHeight="false" outlineLevel="0" collapsed="false">
      <c r="A126" s="17"/>
      <c r="B126" s="16"/>
      <c r="C126" s="16"/>
      <c r="D126" s="16"/>
      <c r="E126" s="16"/>
      <c r="F126" s="16"/>
      <c r="G126" s="16"/>
      <c r="H126" s="16"/>
      <c r="I126" s="16"/>
      <c r="J126" s="16"/>
      <c r="K126" s="16"/>
      <c r="L126" s="16"/>
      <c r="M126" s="16"/>
    </row>
    <row r="127" customFormat="false" ht="15" hidden="false" customHeight="false" outlineLevel="0" collapsed="false">
      <c r="A127" s="17"/>
      <c r="B127" s="16"/>
      <c r="C127" s="16"/>
      <c r="D127" s="16"/>
      <c r="E127" s="16"/>
      <c r="F127" s="16"/>
      <c r="G127" s="16"/>
      <c r="H127" s="16"/>
      <c r="I127" s="16"/>
      <c r="J127" s="16"/>
      <c r="K127" s="16"/>
      <c r="L127" s="16"/>
      <c r="M127" s="16"/>
    </row>
    <row r="128" customFormat="false" ht="15" hidden="false" customHeight="false" outlineLevel="0" collapsed="false">
      <c r="A128" s="17"/>
      <c r="B128" s="16"/>
      <c r="C128" s="16"/>
      <c r="D128" s="16"/>
      <c r="E128" s="16"/>
      <c r="F128" s="16"/>
      <c r="G128" s="16"/>
      <c r="H128" s="16"/>
      <c r="I128" s="16"/>
      <c r="J128" s="16"/>
      <c r="K128" s="16"/>
      <c r="L128" s="16"/>
      <c r="M128" s="16"/>
    </row>
    <row r="129" customFormat="false" ht="15" hidden="false" customHeight="false" outlineLevel="0" collapsed="false">
      <c r="A129" s="17"/>
      <c r="B129" s="16"/>
      <c r="C129" s="16"/>
      <c r="D129" s="16"/>
      <c r="E129" s="16"/>
      <c r="F129" s="16"/>
      <c r="G129" s="16"/>
      <c r="H129" s="16"/>
      <c r="I129" s="16"/>
      <c r="J129" s="16"/>
      <c r="K129" s="16"/>
      <c r="L129" s="16"/>
      <c r="M129" s="16"/>
    </row>
    <row r="130" customFormat="false" ht="15" hidden="false" customHeight="false" outlineLevel="0" collapsed="false">
      <c r="A130" s="17"/>
      <c r="B130" s="16"/>
      <c r="C130" s="16"/>
      <c r="D130" s="16"/>
      <c r="E130" s="16"/>
      <c r="F130" s="16"/>
      <c r="G130" s="16"/>
      <c r="H130" s="16"/>
      <c r="I130" s="16"/>
      <c r="J130" s="16"/>
      <c r="K130" s="16"/>
      <c r="L130" s="16"/>
      <c r="M130" s="16"/>
    </row>
    <row r="131" customFormat="false" ht="15" hidden="false" customHeight="false" outlineLevel="0" collapsed="false">
      <c r="A131" s="17"/>
      <c r="B131" s="16"/>
      <c r="C131" s="16"/>
      <c r="D131" s="16"/>
      <c r="E131" s="16"/>
      <c r="F131" s="16"/>
      <c r="G131" s="16"/>
      <c r="H131" s="16"/>
      <c r="I131" s="16"/>
      <c r="J131" s="16"/>
      <c r="K131" s="16"/>
      <c r="L131" s="16"/>
      <c r="M131" s="16"/>
    </row>
    <row r="132" customFormat="false" ht="15" hidden="false" customHeight="false" outlineLevel="0" collapsed="false">
      <c r="A132" s="17"/>
      <c r="B132" s="16"/>
      <c r="C132" s="16"/>
      <c r="D132" s="16"/>
      <c r="E132" s="16"/>
      <c r="F132" s="16"/>
      <c r="G132" s="16"/>
      <c r="H132" s="16"/>
      <c r="I132" s="16"/>
      <c r="J132" s="16"/>
      <c r="K132" s="16"/>
      <c r="L132" s="16"/>
      <c r="M132" s="16"/>
    </row>
    <row r="133" customFormat="false" ht="15" hidden="false" customHeight="false" outlineLevel="0" collapsed="false">
      <c r="A133" s="17"/>
      <c r="B133" s="16"/>
      <c r="C133" s="16"/>
      <c r="D133" s="16"/>
      <c r="E133" s="16"/>
      <c r="F133" s="16"/>
      <c r="G133" s="16"/>
      <c r="H133" s="16"/>
      <c r="I133" s="16"/>
      <c r="J133" s="16"/>
      <c r="K133" s="16"/>
      <c r="L133" s="16"/>
      <c r="M133" s="16"/>
    </row>
    <row r="134" customFormat="false" ht="15" hidden="false" customHeight="false" outlineLevel="0" collapsed="false">
      <c r="A134" s="17"/>
      <c r="B134" s="16"/>
      <c r="C134" s="16"/>
      <c r="D134" s="16"/>
      <c r="E134" s="16"/>
      <c r="F134" s="16"/>
      <c r="G134" s="16"/>
      <c r="H134" s="16"/>
      <c r="I134" s="16"/>
      <c r="J134" s="16"/>
      <c r="K134" s="16"/>
      <c r="L134" s="16"/>
      <c r="M134" s="16"/>
    </row>
    <row r="135" customFormat="false" ht="15" hidden="false" customHeight="false" outlineLevel="0" collapsed="false">
      <c r="A135" s="17"/>
      <c r="B135" s="16"/>
      <c r="C135" s="16"/>
      <c r="D135" s="16"/>
      <c r="E135" s="16"/>
      <c r="F135" s="16"/>
      <c r="G135" s="16"/>
      <c r="H135" s="16"/>
      <c r="I135" s="16"/>
      <c r="J135" s="16"/>
      <c r="K135" s="16"/>
      <c r="L135" s="16"/>
      <c r="M135" s="16"/>
    </row>
    <row r="136" customFormat="false" ht="15" hidden="false" customHeight="false" outlineLevel="0" collapsed="false">
      <c r="A136" s="17"/>
      <c r="B136" s="16"/>
      <c r="C136" s="16"/>
      <c r="D136" s="16"/>
      <c r="E136" s="16"/>
      <c r="F136" s="16"/>
      <c r="G136" s="16"/>
      <c r="H136" s="16"/>
      <c r="I136" s="16"/>
      <c r="J136" s="16"/>
      <c r="K136" s="16"/>
      <c r="L136" s="16"/>
      <c r="M136" s="16"/>
    </row>
    <row r="137" customFormat="false" ht="15" hidden="false" customHeight="false" outlineLevel="0" collapsed="false">
      <c r="A137" s="17"/>
      <c r="B137" s="16"/>
      <c r="C137" s="16"/>
      <c r="D137" s="16"/>
      <c r="E137" s="16"/>
      <c r="F137" s="16"/>
      <c r="G137" s="16"/>
      <c r="H137" s="16"/>
      <c r="I137" s="16"/>
      <c r="J137" s="16"/>
      <c r="K137" s="16"/>
      <c r="L137" s="16"/>
      <c r="M137" s="16"/>
    </row>
    <row r="138" customFormat="false" ht="15" hidden="false" customHeight="false" outlineLevel="0" collapsed="false">
      <c r="A138" s="17"/>
      <c r="B138" s="16"/>
      <c r="C138" s="16"/>
      <c r="D138" s="16"/>
      <c r="E138" s="16"/>
      <c r="F138" s="16"/>
      <c r="G138" s="16"/>
      <c r="H138" s="16"/>
      <c r="I138" s="16"/>
      <c r="J138" s="16"/>
      <c r="K138" s="16"/>
      <c r="L138" s="16"/>
      <c r="M138" s="16"/>
    </row>
    <row r="139" customFormat="false" ht="15" hidden="false" customHeight="false" outlineLevel="0" collapsed="false">
      <c r="A139" s="17"/>
      <c r="B139" s="16"/>
      <c r="C139" s="16"/>
      <c r="D139" s="16"/>
      <c r="E139" s="16"/>
      <c r="F139" s="16"/>
      <c r="G139" s="16"/>
      <c r="H139" s="16"/>
      <c r="I139" s="16"/>
      <c r="J139" s="16"/>
      <c r="K139" s="16"/>
      <c r="L139" s="16"/>
      <c r="M139" s="16"/>
    </row>
    <row r="140" customFormat="false" ht="15" hidden="false" customHeight="false" outlineLevel="0" collapsed="false">
      <c r="A140" s="17"/>
      <c r="B140" s="16"/>
      <c r="C140" s="16"/>
      <c r="D140" s="16"/>
      <c r="E140" s="16"/>
      <c r="F140" s="16"/>
      <c r="G140" s="16"/>
      <c r="H140" s="16"/>
      <c r="I140" s="16"/>
      <c r="J140" s="16"/>
      <c r="K140" s="16"/>
      <c r="L140" s="16"/>
      <c r="M140" s="16"/>
    </row>
    <row r="141" customFormat="false" ht="15" hidden="false" customHeight="false" outlineLevel="0" collapsed="false">
      <c r="A141" s="17"/>
      <c r="B141" s="16"/>
      <c r="C141" s="16"/>
      <c r="D141" s="16"/>
      <c r="E141" s="16"/>
      <c r="F141" s="16"/>
      <c r="G141" s="16"/>
      <c r="H141" s="16"/>
      <c r="I141" s="16"/>
      <c r="J141" s="16"/>
      <c r="K141" s="16"/>
      <c r="L141" s="16"/>
      <c r="M141" s="16"/>
    </row>
    <row r="142" customFormat="false" ht="15" hidden="false" customHeight="false" outlineLevel="0" collapsed="false">
      <c r="A142" s="17"/>
      <c r="B142" s="16"/>
      <c r="C142" s="16"/>
      <c r="D142" s="16"/>
      <c r="E142" s="16"/>
      <c r="F142" s="16"/>
      <c r="G142" s="16"/>
      <c r="H142" s="16"/>
      <c r="I142" s="16"/>
      <c r="J142" s="16"/>
      <c r="K142" s="16"/>
      <c r="L142" s="16"/>
      <c r="M142" s="16"/>
    </row>
    <row r="143" customFormat="false" ht="15" hidden="false" customHeight="false" outlineLevel="0" collapsed="false">
      <c r="A143" s="17"/>
      <c r="B143" s="16"/>
      <c r="C143" s="16"/>
      <c r="D143" s="16"/>
      <c r="E143" s="16"/>
      <c r="F143" s="16"/>
      <c r="G143" s="16"/>
      <c r="H143" s="16"/>
      <c r="I143" s="16"/>
      <c r="J143" s="16"/>
      <c r="K143" s="16"/>
      <c r="L143" s="16"/>
      <c r="M143" s="16"/>
    </row>
    <row r="144" customFormat="false" ht="15" hidden="false" customHeight="false" outlineLevel="0" collapsed="false">
      <c r="A144" s="17"/>
      <c r="B144" s="16"/>
      <c r="C144" s="16"/>
      <c r="D144" s="16"/>
      <c r="E144" s="16"/>
      <c r="F144" s="16"/>
      <c r="G144" s="16"/>
      <c r="H144" s="16"/>
      <c r="I144" s="16"/>
      <c r="J144" s="16"/>
      <c r="K144" s="16"/>
      <c r="L144" s="16"/>
      <c r="M144" s="16"/>
    </row>
    <row r="145" customFormat="false" ht="15" hidden="false" customHeight="false" outlineLevel="0" collapsed="false">
      <c r="A145" s="17"/>
      <c r="B145" s="16"/>
      <c r="C145" s="16"/>
      <c r="D145" s="16"/>
      <c r="E145" s="16"/>
      <c r="F145" s="16"/>
      <c r="G145" s="16"/>
      <c r="H145" s="16"/>
      <c r="I145" s="16"/>
      <c r="J145" s="16"/>
      <c r="K145" s="16"/>
      <c r="L145" s="16"/>
      <c r="M145" s="16"/>
    </row>
    <row r="146" customFormat="false" ht="15" hidden="false" customHeight="false" outlineLevel="0" collapsed="false">
      <c r="A146" s="17"/>
      <c r="B146" s="16"/>
      <c r="C146" s="16"/>
      <c r="D146" s="16"/>
      <c r="E146" s="16"/>
      <c r="F146" s="16"/>
      <c r="G146" s="16"/>
      <c r="H146" s="16"/>
      <c r="I146" s="16"/>
      <c r="J146" s="16"/>
      <c r="K146" s="16"/>
      <c r="L146" s="16"/>
      <c r="M146" s="16"/>
    </row>
    <row r="147" customFormat="false" ht="15" hidden="false" customHeight="false" outlineLevel="0" collapsed="false">
      <c r="A147" s="17"/>
      <c r="B147" s="16"/>
      <c r="C147" s="16"/>
      <c r="D147" s="16"/>
      <c r="E147" s="16"/>
      <c r="F147" s="16"/>
      <c r="G147" s="16"/>
      <c r="H147" s="16"/>
      <c r="I147" s="16"/>
      <c r="J147" s="16"/>
      <c r="K147" s="16"/>
      <c r="L147" s="16"/>
      <c r="M147" s="16"/>
    </row>
    <row r="148" customFormat="false" ht="15" hidden="false" customHeight="false" outlineLevel="0" collapsed="false">
      <c r="A148" s="17"/>
      <c r="B148" s="16"/>
      <c r="C148" s="16"/>
      <c r="D148" s="16"/>
      <c r="E148" s="16"/>
      <c r="F148" s="16"/>
      <c r="G148" s="16"/>
      <c r="H148" s="16"/>
      <c r="I148" s="16"/>
      <c r="J148" s="16"/>
      <c r="K148" s="16"/>
      <c r="L148" s="16"/>
      <c r="M148" s="16"/>
    </row>
    <row r="149" customFormat="false" ht="15" hidden="false" customHeight="false" outlineLevel="0" collapsed="false">
      <c r="A149" s="17"/>
      <c r="B149" s="16"/>
      <c r="C149" s="16"/>
      <c r="D149" s="16"/>
      <c r="E149" s="16"/>
      <c r="F149" s="16"/>
      <c r="G149" s="16"/>
      <c r="H149" s="16"/>
      <c r="I149" s="16"/>
      <c r="J149" s="16"/>
      <c r="K149" s="16"/>
      <c r="L149" s="16"/>
      <c r="M149" s="16"/>
    </row>
    <row r="150" customFormat="false" ht="15" hidden="false" customHeight="false" outlineLevel="0" collapsed="false">
      <c r="A150" s="17"/>
      <c r="B150" s="16"/>
      <c r="C150" s="16"/>
      <c r="D150" s="16"/>
      <c r="E150" s="16"/>
      <c r="F150" s="16"/>
      <c r="G150" s="16"/>
      <c r="H150" s="16"/>
      <c r="I150" s="16"/>
      <c r="J150" s="16"/>
      <c r="K150" s="16"/>
      <c r="L150" s="16"/>
      <c r="M150" s="16"/>
    </row>
    <row r="151" customFormat="false" ht="15" hidden="false" customHeight="false" outlineLevel="0" collapsed="false">
      <c r="A151" s="17"/>
      <c r="B151" s="16"/>
      <c r="C151" s="16"/>
      <c r="D151" s="16"/>
      <c r="E151" s="16"/>
      <c r="F151" s="16"/>
      <c r="G151" s="16"/>
      <c r="H151" s="16"/>
      <c r="I151" s="16"/>
      <c r="J151" s="16"/>
      <c r="K151" s="16"/>
      <c r="L151" s="16"/>
      <c r="M151" s="16"/>
    </row>
    <row r="152" customFormat="false" ht="15" hidden="false" customHeight="false" outlineLevel="0" collapsed="false">
      <c r="A152" s="17"/>
      <c r="B152" s="16"/>
      <c r="C152" s="16"/>
      <c r="D152" s="16"/>
      <c r="E152" s="16"/>
      <c r="F152" s="16"/>
      <c r="G152" s="16"/>
      <c r="H152" s="16"/>
      <c r="I152" s="16"/>
      <c r="J152" s="16"/>
      <c r="K152" s="16"/>
      <c r="L152" s="16"/>
      <c r="M152" s="16"/>
    </row>
    <row r="153" customFormat="false" ht="15" hidden="false" customHeight="false" outlineLevel="0" collapsed="false">
      <c r="A153" s="17"/>
      <c r="B153" s="16"/>
      <c r="C153" s="16"/>
      <c r="D153" s="16"/>
      <c r="E153" s="16"/>
      <c r="F153" s="16"/>
      <c r="G153" s="16"/>
      <c r="H153" s="16"/>
      <c r="I153" s="16"/>
      <c r="J153" s="16"/>
      <c r="K153" s="16"/>
      <c r="L153" s="16"/>
      <c r="M153" s="16"/>
    </row>
    <row r="154" customFormat="false" ht="15" hidden="false" customHeight="false" outlineLevel="0" collapsed="false">
      <c r="A154" s="17"/>
      <c r="B154" s="16"/>
      <c r="C154" s="16"/>
      <c r="D154" s="16"/>
      <c r="E154" s="16"/>
      <c r="F154" s="16"/>
      <c r="G154" s="16"/>
      <c r="H154" s="16"/>
      <c r="I154" s="16"/>
      <c r="J154" s="16"/>
      <c r="K154" s="16"/>
      <c r="L154" s="16"/>
      <c r="M154" s="16"/>
    </row>
    <row r="155" customFormat="false" ht="15" hidden="false" customHeight="false" outlineLevel="0" collapsed="false">
      <c r="A155" s="17"/>
      <c r="B155" s="16"/>
      <c r="C155" s="16"/>
      <c r="D155" s="16"/>
      <c r="E155" s="16"/>
      <c r="F155" s="16"/>
      <c r="G155" s="16"/>
      <c r="H155" s="16"/>
      <c r="I155" s="16"/>
      <c r="J155" s="16"/>
      <c r="K155" s="16"/>
      <c r="L155" s="16"/>
      <c r="M155" s="16"/>
    </row>
    <row r="156" customFormat="false" ht="15" hidden="false" customHeight="false" outlineLevel="0" collapsed="false">
      <c r="A156" s="17"/>
      <c r="B156" s="16"/>
      <c r="C156" s="16"/>
      <c r="D156" s="16"/>
      <c r="E156" s="16"/>
      <c r="F156" s="16"/>
      <c r="G156" s="16"/>
      <c r="H156" s="16"/>
      <c r="I156" s="16"/>
      <c r="J156" s="16"/>
      <c r="K156" s="16"/>
      <c r="L156" s="16"/>
      <c r="M156" s="16"/>
    </row>
    <row r="157" customFormat="false" ht="15" hidden="false" customHeight="false" outlineLevel="0" collapsed="false">
      <c r="A157" s="17"/>
      <c r="B157" s="16"/>
      <c r="C157" s="16"/>
      <c r="D157" s="16"/>
      <c r="E157" s="16"/>
      <c r="F157" s="16"/>
      <c r="G157" s="16"/>
      <c r="H157" s="16"/>
      <c r="I157" s="16"/>
      <c r="J157" s="16"/>
      <c r="K157" s="16"/>
      <c r="L157" s="16"/>
      <c r="M157" s="16"/>
    </row>
    <row r="158" customFormat="false" ht="15" hidden="false" customHeight="false" outlineLevel="0" collapsed="false">
      <c r="A158" s="17"/>
      <c r="B158" s="16"/>
      <c r="C158" s="16"/>
      <c r="D158" s="16"/>
      <c r="E158" s="16"/>
      <c r="F158" s="16"/>
      <c r="G158" s="16"/>
      <c r="H158" s="16"/>
      <c r="I158" s="16"/>
      <c r="J158" s="16"/>
      <c r="K158" s="16"/>
      <c r="L158" s="16"/>
      <c r="M158" s="16"/>
    </row>
    <row r="159" customFormat="false" ht="15" hidden="false" customHeight="false" outlineLevel="0" collapsed="false">
      <c r="A159" s="17"/>
      <c r="B159" s="16"/>
      <c r="C159" s="16"/>
      <c r="D159" s="16"/>
      <c r="E159" s="16"/>
      <c r="F159" s="16"/>
      <c r="G159" s="16"/>
      <c r="H159" s="16"/>
      <c r="I159" s="16"/>
      <c r="J159" s="16"/>
      <c r="K159" s="16"/>
      <c r="L159" s="16"/>
      <c r="M159" s="16"/>
    </row>
    <row r="160" customFormat="false" ht="15" hidden="false" customHeight="false" outlineLevel="0" collapsed="false">
      <c r="A160" s="17"/>
      <c r="B160" s="16"/>
      <c r="C160" s="16"/>
      <c r="D160" s="16"/>
      <c r="E160" s="16"/>
      <c r="F160" s="16"/>
      <c r="G160" s="16"/>
      <c r="H160" s="16"/>
      <c r="I160" s="16"/>
      <c r="J160" s="16"/>
      <c r="K160" s="16"/>
      <c r="L160" s="16"/>
      <c r="M160" s="16"/>
    </row>
    <row r="161" customFormat="false" ht="15" hidden="false" customHeight="false" outlineLevel="0" collapsed="false">
      <c r="A161" s="17"/>
      <c r="B161" s="16"/>
      <c r="C161" s="16"/>
      <c r="D161" s="16"/>
      <c r="E161" s="16"/>
      <c r="F161" s="16"/>
      <c r="G161" s="16"/>
      <c r="H161" s="16"/>
      <c r="I161" s="16"/>
      <c r="J161" s="16"/>
      <c r="K161" s="16"/>
      <c r="L161" s="16"/>
      <c r="M161" s="16"/>
    </row>
    <row r="162" customFormat="false" ht="15" hidden="false" customHeight="false" outlineLevel="0" collapsed="false">
      <c r="A162" s="17"/>
      <c r="B162" s="16"/>
      <c r="C162" s="16"/>
      <c r="D162" s="16"/>
      <c r="E162" s="16"/>
      <c r="F162" s="16"/>
      <c r="G162" s="16"/>
      <c r="H162" s="16"/>
      <c r="I162" s="16"/>
      <c r="J162" s="16"/>
      <c r="K162" s="16"/>
      <c r="L162" s="16"/>
      <c r="M162" s="16"/>
    </row>
    <row r="163" customFormat="false" ht="15" hidden="false" customHeight="false" outlineLevel="0" collapsed="false">
      <c r="A163" s="17"/>
      <c r="B163" s="16"/>
      <c r="C163" s="16"/>
      <c r="D163" s="16"/>
      <c r="E163" s="16"/>
      <c r="F163" s="16"/>
      <c r="G163" s="16"/>
      <c r="H163" s="16"/>
      <c r="I163" s="16"/>
      <c r="J163" s="16"/>
      <c r="K163" s="16"/>
      <c r="L163" s="16"/>
      <c r="M163" s="16"/>
    </row>
    <row r="164" customFormat="false" ht="15" hidden="false" customHeight="false" outlineLevel="0" collapsed="false">
      <c r="A164" s="17"/>
      <c r="B164" s="16"/>
      <c r="C164" s="16"/>
      <c r="D164" s="16"/>
      <c r="E164" s="16"/>
      <c r="F164" s="16"/>
      <c r="G164" s="16"/>
      <c r="H164" s="16"/>
      <c r="I164" s="16"/>
      <c r="J164" s="16"/>
      <c r="K164" s="16"/>
      <c r="L164" s="16"/>
      <c r="M164" s="16"/>
    </row>
    <row r="165" customFormat="false" ht="15" hidden="false" customHeight="false" outlineLevel="0" collapsed="false">
      <c r="A165" s="17"/>
      <c r="B165" s="16"/>
      <c r="C165" s="16"/>
      <c r="D165" s="16"/>
      <c r="E165" s="16"/>
      <c r="F165" s="16"/>
      <c r="G165" s="16"/>
      <c r="H165" s="16"/>
      <c r="I165" s="16"/>
      <c r="J165" s="16"/>
      <c r="K165" s="16"/>
      <c r="L165" s="16"/>
      <c r="M165" s="16"/>
    </row>
    <row r="166" customFormat="false" ht="15" hidden="false" customHeight="false" outlineLevel="0" collapsed="false">
      <c r="A166" s="17"/>
      <c r="B166" s="16"/>
      <c r="C166" s="16"/>
      <c r="D166" s="16"/>
      <c r="E166" s="16"/>
      <c r="F166" s="16"/>
      <c r="G166" s="16"/>
      <c r="H166" s="16"/>
      <c r="I166" s="16"/>
      <c r="J166" s="16"/>
      <c r="K166" s="16"/>
      <c r="L166" s="16"/>
      <c r="M166" s="16"/>
    </row>
    <row r="167" customFormat="false" ht="15" hidden="false" customHeight="false" outlineLevel="0" collapsed="false">
      <c r="A167" s="17"/>
      <c r="B167" s="16"/>
      <c r="C167" s="16"/>
      <c r="D167" s="16"/>
      <c r="E167" s="16"/>
      <c r="F167" s="16"/>
      <c r="G167" s="16"/>
      <c r="H167" s="16"/>
      <c r="I167" s="16"/>
      <c r="J167" s="16"/>
      <c r="K167" s="16"/>
      <c r="L167" s="16"/>
      <c r="M167" s="16"/>
    </row>
    <row r="168" customFormat="false" ht="15" hidden="false" customHeight="false" outlineLevel="0" collapsed="false">
      <c r="A168" s="17"/>
      <c r="B168" s="16"/>
      <c r="C168" s="16"/>
      <c r="D168" s="16"/>
      <c r="E168" s="16"/>
      <c r="F168" s="16"/>
      <c r="G168" s="16"/>
      <c r="H168" s="16"/>
      <c r="I168" s="16"/>
      <c r="J168" s="16"/>
      <c r="K168" s="16"/>
      <c r="L168" s="16"/>
      <c r="M168" s="16"/>
    </row>
    <row r="169" customFormat="false" ht="15" hidden="false" customHeight="false" outlineLevel="0" collapsed="false">
      <c r="A169" s="17"/>
      <c r="B169" s="16"/>
      <c r="C169" s="16"/>
      <c r="D169" s="16"/>
      <c r="E169" s="16"/>
      <c r="F169" s="16"/>
      <c r="G169" s="16"/>
      <c r="H169" s="16"/>
      <c r="I169" s="16"/>
      <c r="J169" s="16"/>
      <c r="K169" s="16"/>
      <c r="L169" s="16"/>
      <c r="M169" s="16"/>
    </row>
    <row r="170" customFormat="false" ht="15" hidden="false" customHeight="false" outlineLevel="0" collapsed="false">
      <c r="A170" s="17"/>
      <c r="B170" s="16"/>
      <c r="C170" s="16"/>
      <c r="D170" s="16"/>
      <c r="E170" s="16"/>
      <c r="F170" s="16"/>
      <c r="G170" s="16"/>
      <c r="H170" s="16"/>
      <c r="I170" s="16"/>
      <c r="J170" s="16"/>
      <c r="K170" s="16"/>
      <c r="L170" s="16"/>
      <c r="M170" s="16"/>
    </row>
    <row r="171" customFormat="false" ht="15" hidden="false" customHeight="false" outlineLevel="0" collapsed="false">
      <c r="A171" s="17"/>
      <c r="B171" s="16"/>
      <c r="C171" s="16"/>
      <c r="D171" s="16"/>
      <c r="E171" s="16"/>
      <c r="F171" s="16"/>
      <c r="G171" s="16"/>
      <c r="H171" s="16"/>
      <c r="I171" s="16"/>
      <c r="J171" s="16"/>
      <c r="K171" s="16"/>
      <c r="L171" s="16"/>
      <c r="M171" s="16"/>
    </row>
    <row r="172" customFormat="false" ht="15" hidden="false" customHeight="false" outlineLevel="0" collapsed="false">
      <c r="A172" s="17"/>
      <c r="B172" s="16"/>
      <c r="C172" s="16"/>
      <c r="D172" s="16"/>
      <c r="E172" s="16"/>
      <c r="F172" s="16"/>
      <c r="G172" s="16"/>
      <c r="H172" s="16"/>
      <c r="I172" s="16"/>
      <c r="J172" s="16"/>
      <c r="K172" s="16"/>
      <c r="L172" s="16"/>
      <c r="M172" s="16"/>
    </row>
    <row r="173" customFormat="false" ht="15" hidden="false" customHeight="false" outlineLevel="0" collapsed="false">
      <c r="A173" s="17"/>
      <c r="B173" s="16"/>
      <c r="C173" s="16"/>
      <c r="D173" s="16"/>
      <c r="E173" s="16"/>
      <c r="F173" s="16"/>
      <c r="G173" s="16"/>
      <c r="H173" s="16"/>
      <c r="I173" s="16"/>
      <c r="J173" s="16"/>
      <c r="K173" s="16"/>
      <c r="L173" s="16"/>
      <c r="M173" s="16"/>
    </row>
    <row r="174" customFormat="false" ht="15" hidden="false" customHeight="false" outlineLevel="0" collapsed="false">
      <c r="A174" s="17"/>
      <c r="B174" s="16"/>
      <c r="C174" s="16"/>
      <c r="D174" s="16"/>
      <c r="E174" s="16"/>
      <c r="F174" s="16"/>
      <c r="G174" s="16"/>
      <c r="H174" s="16"/>
      <c r="I174" s="16"/>
      <c r="J174" s="16"/>
      <c r="K174" s="16"/>
      <c r="L174" s="16"/>
      <c r="M174" s="16"/>
    </row>
    <row r="175" customFormat="false" ht="15" hidden="false" customHeight="false" outlineLevel="0" collapsed="false">
      <c r="A175" s="17"/>
      <c r="B175" s="16"/>
      <c r="C175" s="16"/>
      <c r="D175" s="16"/>
      <c r="E175" s="16"/>
      <c r="F175" s="16"/>
      <c r="G175" s="16"/>
      <c r="H175" s="16"/>
      <c r="I175" s="16"/>
      <c r="J175" s="16"/>
      <c r="K175" s="16"/>
      <c r="L175" s="16"/>
      <c r="M175" s="16"/>
    </row>
    <row r="176" customFormat="false" ht="15" hidden="false" customHeight="false" outlineLevel="0" collapsed="false">
      <c r="A176" s="17"/>
      <c r="B176" s="16"/>
      <c r="C176" s="16"/>
      <c r="D176" s="16"/>
      <c r="E176" s="16"/>
      <c r="F176" s="16"/>
      <c r="G176" s="16"/>
      <c r="H176" s="16"/>
      <c r="I176" s="16"/>
      <c r="J176" s="16"/>
      <c r="K176" s="16"/>
      <c r="L176" s="16"/>
      <c r="M176" s="16"/>
    </row>
    <row r="177" customFormat="false" ht="15" hidden="false" customHeight="false" outlineLevel="0" collapsed="false">
      <c r="A177" s="17"/>
      <c r="B177" s="16"/>
      <c r="C177" s="16"/>
      <c r="D177" s="16"/>
      <c r="E177" s="16"/>
      <c r="F177" s="16"/>
      <c r="G177" s="16"/>
      <c r="H177" s="16"/>
      <c r="I177" s="16"/>
      <c r="J177" s="16"/>
      <c r="K177" s="16"/>
      <c r="L177" s="16"/>
      <c r="M177" s="16"/>
    </row>
    <row r="178" customFormat="false" ht="15" hidden="false" customHeight="false" outlineLevel="0" collapsed="false">
      <c r="A178" s="17"/>
      <c r="B178" s="16"/>
      <c r="C178" s="16"/>
      <c r="D178" s="16"/>
      <c r="E178" s="16"/>
      <c r="F178" s="16"/>
      <c r="G178" s="16"/>
      <c r="H178" s="16"/>
      <c r="I178" s="16"/>
      <c r="J178" s="16"/>
      <c r="K178" s="16"/>
      <c r="L178" s="16"/>
      <c r="M178" s="16"/>
    </row>
    <row r="179" customFormat="false" ht="15" hidden="false" customHeight="false" outlineLevel="0" collapsed="false">
      <c r="A179" s="17"/>
      <c r="B179" s="16"/>
      <c r="C179" s="16"/>
      <c r="D179" s="16"/>
      <c r="E179" s="16"/>
      <c r="F179" s="16"/>
      <c r="G179" s="16"/>
      <c r="H179" s="16"/>
      <c r="I179" s="16"/>
      <c r="J179" s="16"/>
      <c r="K179" s="16"/>
      <c r="L179" s="16"/>
      <c r="M179" s="16"/>
    </row>
    <row r="180" customFormat="false" ht="15" hidden="false" customHeight="false" outlineLevel="0" collapsed="false">
      <c r="A180" s="17"/>
      <c r="B180" s="16"/>
      <c r="C180" s="16"/>
      <c r="D180" s="16"/>
      <c r="E180" s="16"/>
      <c r="F180" s="16"/>
      <c r="G180" s="16"/>
      <c r="H180" s="16"/>
      <c r="I180" s="16"/>
      <c r="J180" s="16"/>
      <c r="K180" s="16"/>
      <c r="L180" s="16"/>
      <c r="M180" s="16"/>
    </row>
    <row r="181" customFormat="false" ht="15" hidden="false" customHeight="false" outlineLevel="0" collapsed="false">
      <c r="A181" s="17"/>
      <c r="B181" s="16"/>
      <c r="C181" s="16"/>
      <c r="D181" s="16"/>
      <c r="E181" s="16"/>
      <c r="F181" s="16"/>
      <c r="G181" s="16"/>
      <c r="H181" s="16"/>
      <c r="I181" s="16"/>
      <c r="J181" s="16"/>
      <c r="K181" s="16"/>
      <c r="L181" s="16"/>
      <c r="M181" s="16"/>
    </row>
    <row r="182" customFormat="false" ht="15" hidden="false" customHeight="false" outlineLevel="0" collapsed="false">
      <c r="A182" s="17"/>
      <c r="B182" s="16"/>
      <c r="C182" s="16"/>
      <c r="D182" s="16"/>
      <c r="E182" s="16"/>
      <c r="F182" s="16"/>
      <c r="G182" s="16"/>
      <c r="H182" s="16"/>
      <c r="I182" s="16"/>
      <c r="J182" s="16"/>
      <c r="K182" s="16"/>
      <c r="L182" s="16"/>
      <c r="M182" s="16"/>
    </row>
    <row r="183" customFormat="false" ht="15" hidden="false" customHeight="false" outlineLevel="0" collapsed="false">
      <c r="A183" s="17"/>
      <c r="B183" s="16"/>
      <c r="C183" s="16"/>
      <c r="D183" s="16"/>
      <c r="E183" s="16"/>
      <c r="F183" s="16"/>
      <c r="G183" s="16"/>
      <c r="H183" s="16"/>
      <c r="I183" s="16"/>
      <c r="J183" s="16"/>
      <c r="K183" s="16"/>
      <c r="L183" s="16"/>
      <c r="M183" s="16"/>
    </row>
    <row r="184" customFormat="false" ht="15" hidden="false" customHeight="false" outlineLevel="0" collapsed="false">
      <c r="A184" s="17"/>
      <c r="B184" s="16"/>
      <c r="C184" s="16"/>
      <c r="D184" s="16"/>
      <c r="E184" s="16"/>
      <c r="F184" s="16"/>
      <c r="G184" s="16"/>
      <c r="H184" s="16"/>
      <c r="I184" s="16"/>
      <c r="J184" s="16"/>
      <c r="K184" s="16"/>
      <c r="L184" s="16"/>
      <c r="M184" s="16"/>
    </row>
    <row r="185" customFormat="false" ht="15" hidden="false" customHeight="false" outlineLevel="0" collapsed="false">
      <c r="A185" s="17"/>
      <c r="B185" s="16"/>
      <c r="C185" s="16"/>
      <c r="D185" s="16"/>
      <c r="E185" s="16"/>
      <c r="F185" s="16"/>
      <c r="G185" s="16"/>
      <c r="H185" s="16"/>
      <c r="I185" s="16"/>
      <c r="J185" s="16"/>
      <c r="K185" s="16"/>
      <c r="L185" s="16"/>
      <c r="M185" s="16"/>
    </row>
    <row r="186" customFormat="false" ht="15" hidden="false" customHeight="false" outlineLevel="0" collapsed="false">
      <c r="A186" s="17"/>
      <c r="B186" s="16"/>
      <c r="C186" s="16"/>
      <c r="D186" s="16"/>
      <c r="E186" s="16"/>
      <c r="F186" s="16"/>
      <c r="G186" s="16"/>
      <c r="H186" s="16"/>
      <c r="I186" s="16"/>
      <c r="J186" s="16"/>
      <c r="K186" s="16"/>
      <c r="L186" s="16"/>
      <c r="M186" s="16"/>
    </row>
    <row r="187" customFormat="false" ht="15" hidden="false" customHeight="false" outlineLevel="0" collapsed="false">
      <c r="A187" s="17"/>
      <c r="B187" s="16"/>
      <c r="C187" s="16"/>
      <c r="D187" s="16"/>
      <c r="E187" s="16"/>
      <c r="F187" s="16"/>
      <c r="G187" s="16"/>
      <c r="H187" s="16"/>
      <c r="I187" s="16"/>
      <c r="J187" s="16"/>
      <c r="K187" s="16"/>
      <c r="L187" s="16"/>
      <c r="M187" s="16"/>
    </row>
    <row r="188" customFormat="false" ht="15" hidden="false" customHeight="false" outlineLevel="0" collapsed="false">
      <c r="A188" s="17"/>
      <c r="B188" s="16"/>
      <c r="C188" s="16"/>
      <c r="D188" s="16"/>
      <c r="E188" s="16"/>
      <c r="F188" s="16"/>
      <c r="G188" s="16"/>
      <c r="H188" s="16"/>
      <c r="I188" s="16"/>
      <c r="J188" s="16"/>
      <c r="K188" s="16"/>
      <c r="L188" s="16"/>
      <c r="M188" s="16"/>
    </row>
    <row r="189" customFormat="false" ht="15" hidden="false" customHeight="false" outlineLevel="0" collapsed="false">
      <c r="A189" s="17"/>
      <c r="B189" s="16"/>
      <c r="C189" s="16"/>
      <c r="D189" s="16"/>
      <c r="E189" s="16"/>
      <c r="F189" s="16"/>
      <c r="G189" s="16"/>
      <c r="H189" s="16"/>
      <c r="I189" s="16"/>
      <c r="J189" s="16"/>
      <c r="K189" s="16"/>
      <c r="L189" s="16"/>
      <c r="M189" s="16"/>
    </row>
    <row r="190" customFormat="false" ht="15" hidden="false" customHeight="false" outlineLevel="0" collapsed="false">
      <c r="A190" s="17"/>
      <c r="B190" s="16"/>
      <c r="C190" s="16"/>
      <c r="D190" s="16"/>
      <c r="E190" s="16"/>
      <c r="F190" s="16"/>
      <c r="G190" s="16"/>
      <c r="H190" s="16"/>
      <c r="I190" s="16"/>
      <c r="J190" s="16"/>
      <c r="K190" s="16"/>
      <c r="L190" s="16"/>
      <c r="M190" s="16"/>
    </row>
    <row r="191" customFormat="false" ht="15" hidden="false" customHeight="false" outlineLevel="0" collapsed="false">
      <c r="A191" s="17"/>
      <c r="B191" s="16"/>
      <c r="C191" s="16"/>
      <c r="D191" s="16"/>
      <c r="E191" s="16"/>
      <c r="F191" s="16"/>
      <c r="G191" s="16"/>
      <c r="H191" s="16"/>
      <c r="I191" s="16"/>
      <c r="J191" s="16"/>
      <c r="K191" s="16"/>
      <c r="L191" s="16"/>
      <c r="M191" s="16"/>
    </row>
    <row r="192" customFormat="false" ht="15" hidden="false" customHeight="false" outlineLevel="0" collapsed="false">
      <c r="A192" s="17"/>
      <c r="B192" s="16"/>
      <c r="C192" s="16"/>
      <c r="D192" s="16"/>
      <c r="E192" s="16"/>
      <c r="F192" s="16"/>
      <c r="G192" s="16"/>
      <c r="H192" s="16"/>
      <c r="I192" s="16"/>
      <c r="J192" s="16"/>
      <c r="K192" s="16"/>
      <c r="L192" s="16"/>
      <c r="M192" s="16"/>
    </row>
    <row r="193" customFormat="false" ht="15" hidden="false" customHeight="false" outlineLevel="0" collapsed="false">
      <c r="A193" s="17"/>
      <c r="B193" s="16"/>
      <c r="C193" s="16"/>
      <c r="D193" s="16"/>
      <c r="E193" s="16"/>
      <c r="F193" s="16"/>
      <c r="G193" s="16"/>
      <c r="H193" s="16"/>
      <c r="I193" s="16"/>
      <c r="J193" s="16"/>
      <c r="K193" s="16"/>
      <c r="L193" s="16"/>
      <c r="M193" s="16"/>
    </row>
    <row r="194" customFormat="false" ht="15" hidden="false" customHeight="false" outlineLevel="0" collapsed="false">
      <c r="A194" s="17"/>
      <c r="B194" s="16"/>
      <c r="C194" s="16"/>
      <c r="D194" s="16"/>
      <c r="E194" s="16"/>
      <c r="F194" s="16"/>
      <c r="G194" s="16"/>
      <c r="H194" s="16"/>
      <c r="I194" s="16"/>
      <c r="J194" s="16"/>
      <c r="K194" s="16"/>
      <c r="L194" s="16"/>
      <c r="M194" s="16"/>
    </row>
    <row r="195" customFormat="false" ht="15" hidden="false" customHeight="false" outlineLevel="0" collapsed="false">
      <c r="A195" s="17"/>
      <c r="B195" s="16"/>
      <c r="C195" s="16"/>
      <c r="D195" s="16"/>
      <c r="E195" s="16"/>
      <c r="F195" s="16"/>
      <c r="G195" s="16"/>
      <c r="H195" s="16"/>
      <c r="I195" s="16"/>
      <c r="J195" s="16"/>
      <c r="K195" s="16"/>
      <c r="L195" s="16"/>
      <c r="M195" s="16"/>
    </row>
    <row r="196" customFormat="false" ht="15" hidden="false" customHeight="false" outlineLevel="0" collapsed="false">
      <c r="A196" s="17"/>
      <c r="B196" s="16"/>
      <c r="C196" s="16"/>
      <c r="D196" s="16"/>
      <c r="E196" s="16"/>
      <c r="F196" s="16"/>
      <c r="G196" s="16"/>
      <c r="H196" s="16"/>
      <c r="I196" s="16"/>
      <c r="J196" s="16"/>
      <c r="K196" s="16"/>
      <c r="L196" s="16"/>
      <c r="M196" s="16"/>
    </row>
    <row r="197" customFormat="false" ht="15" hidden="false" customHeight="false" outlineLevel="0" collapsed="false">
      <c r="A197" s="17"/>
      <c r="B197" s="16"/>
      <c r="C197" s="16"/>
      <c r="D197" s="16"/>
      <c r="E197" s="16"/>
      <c r="F197" s="16"/>
      <c r="G197" s="16"/>
      <c r="H197" s="16"/>
      <c r="I197" s="16"/>
      <c r="J197" s="16"/>
      <c r="K197" s="16"/>
      <c r="L197" s="16"/>
      <c r="M197" s="16"/>
    </row>
    <row r="198" customFormat="false" ht="15" hidden="false" customHeight="false" outlineLevel="0" collapsed="false">
      <c r="A198" s="17"/>
      <c r="B198" s="16"/>
      <c r="C198" s="16"/>
      <c r="D198" s="16"/>
      <c r="E198" s="16"/>
      <c r="F198" s="16"/>
      <c r="G198" s="16"/>
      <c r="H198" s="16"/>
      <c r="I198" s="16"/>
      <c r="J198" s="16"/>
      <c r="K198" s="16"/>
      <c r="L198" s="16"/>
      <c r="M198" s="16"/>
    </row>
    <row r="199" customFormat="false" ht="15" hidden="false" customHeight="false" outlineLevel="0" collapsed="false">
      <c r="A199" s="17"/>
      <c r="B199" s="16"/>
      <c r="C199" s="16"/>
      <c r="D199" s="16"/>
      <c r="E199" s="16"/>
      <c r="F199" s="16"/>
      <c r="G199" s="16"/>
      <c r="H199" s="16"/>
      <c r="I199" s="16"/>
      <c r="J199" s="16"/>
      <c r="K199" s="16"/>
      <c r="L199" s="16"/>
      <c r="M199" s="16"/>
    </row>
  </sheetData>
  <sheetProtection sheet="true" formatColumns="false" formatRows="false"/>
  <dataValidations count="4">
    <dataValidation allowBlank="true" errorStyle="stop" operator="between" showDropDown="false" showErrorMessage="false" showInputMessage="false" sqref="E5:E300" type="list">
      <formula1>"Lương ngày,Lương ca,Lương tháng,Khoán tháng"</formula1>
      <formula2>0</formula2>
    </dataValidation>
    <dataValidation allowBlank="true" errorStyle="stop" operator="between" showDropDown="false" showErrorMessage="false" showInputMessage="false" sqref="K5:K300" type="list">
      <formula1>"Trưởng tổ,Thành viên"</formula1>
      <formula2>0</formula2>
    </dataValidation>
    <dataValidation allowBlank="true" errorStyle="stop" operator="between" showDropDown="false" showErrorMessage="false" showInputMessage="false" sqref="M5:M300" type="list">
      <formula1>"Thời vụ,Đã nghỉ"</formula1>
      <formula2>0</formula2>
    </dataValidation>
    <dataValidation allowBlank="true" errorStyle="stop" operator="between" showDropDown="false" showErrorMessage="false" showInputMessage="false" sqref="D5:D300" type="list">
      <formula1>NH_TEN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22"/>
    <col collapsed="false" customWidth="true" hidden="false" outlineLevel="0" max="4" min="4" style="0" width="13"/>
    <col collapsed="false" customWidth="true" hidden="false" outlineLevel="0" max="5" min="5" style="0" width="11"/>
    <col collapsed="false" customWidth="true" hidden="false" outlineLevel="0" max="6" min="6" style="0" width="7"/>
    <col collapsed="false" customWidth="true" hidden="false" outlineLevel="0" max="37" min="7" style="0" width="4.8"/>
    <col collapsed="false" customWidth="true" hidden="false" outlineLevel="0" max="40" min="38" style="0" width="8"/>
    <col collapsed="false" customWidth="true" hidden="false" outlineLevel="0" max="42" min="41" style="0" width="11"/>
    <col collapsed="false" customWidth="true" hidden="false" outlineLevel="0" max="43" min="43" style="0" width="28"/>
    <col collapsed="false" customWidth="true" hidden="false" outlineLevel="0" max="44" min="44" style="0" width="8"/>
  </cols>
  <sheetData>
    <row r="1" customFormat="false" ht="17.35" hidden="false" customHeight="false" outlineLevel="0" collapsed="false">
      <c r="A1" s="1" t="s">
        <v>231</v>
      </c>
    </row>
    <row r="2" customFormat="false" ht="15" hidden="false" customHeight="false" outlineLevel="0" collapsed="false">
      <c r="A2" s="2" t="s">
        <v>232</v>
      </c>
    </row>
    <row r="3" customFormat="false" ht="15" hidden="false" customHeight="false" outlineLevel="0" collapsed="false">
      <c r="G3" s="19" t="n">
        <f aca="false">IF(0&lt;DAY(EOMONTH(DATE(NAM,THANG,1),0)),DATE(NAM,THANG,1)+0,"")</f>
        <v>46235</v>
      </c>
      <c r="H3" s="19" t="n">
        <f aca="false">IF(1&lt;DAY(EOMONTH(DATE(NAM,THANG,1),0)),DATE(NAM,THANG,1)+1,"")</f>
        <v>46236</v>
      </c>
      <c r="I3" s="19" t="n">
        <f aca="false">IF(2&lt;DAY(EOMONTH(DATE(NAM,THANG,1),0)),DATE(NAM,THANG,1)+2,"")</f>
        <v>46237</v>
      </c>
      <c r="J3" s="19" t="n">
        <f aca="false">IF(3&lt;DAY(EOMONTH(DATE(NAM,THANG,1),0)),DATE(NAM,THANG,1)+3,"")</f>
        <v>46238</v>
      </c>
      <c r="K3" s="19" t="n">
        <f aca="false">IF(4&lt;DAY(EOMONTH(DATE(NAM,THANG,1),0)),DATE(NAM,THANG,1)+4,"")</f>
        <v>46239</v>
      </c>
      <c r="L3" s="19" t="n">
        <f aca="false">IF(5&lt;DAY(EOMONTH(DATE(NAM,THANG,1),0)),DATE(NAM,THANG,1)+5,"")</f>
        <v>46240</v>
      </c>
      <c r="M3" s="19" t="n">
        <f aca="false">IF(6&lt;DAY(EOMONTH(DATE(NAM,THANG,1),0)),DATE(NAM,THANG,1)+6,"")</f>
        <v>46241</v>
      </c>
      <c r="N3" s="19" t="n">
        <f aca="false">IF(7&lt;DAY(EOMONTH(DATE(NAM,THANG,1),0)),DATE(NAM,THANG,1)+7,"")</f>
        <v>46242</v>
      </c>
      <c r="O3" s="19" t="n">
        <f aca="false">IF(8&lt;DAY(EOMONTH(DATE(NAM,THANG,1),0)),DATE(NAM,THANG,1)+8,"")</f>
        <v>46243</v>
      </c>
      <c r="P3" s="19" t="n">
        <f aca="false">IF(9&lt;DAY(EOMONTH(DATE(NAM,THANG,1),0)),DATE(NAM,THANG,1)+9,"")</f>
        <v>46244</v>
      </c>
      <c r="Q3" s="19" t="n">
        <f aca="false">IF(10&lt;DAY(EOMONTH(DATE(NAM,THANG,1),0)),DATE(NAM,THANG,1)+10,"")</f>
        <v>46245</v>
      </c>
      <c r="R3" s="19" t="n">
        <f aca="false">IF(11&lt;DAY(EOMONTH(DATE(NAM,THANG,1),0)),DATE(NAM,THANG,1)+11,"")</f>
        <v>46246</v>
      </c>
      <c r="S3" s="19" t="n">
        <f aca="false">IF(12&lt;DAY(EOMONTH(DATE(NAM,THANG,1),0)),DATE(NAM,THANG,1)+12,"")</f>
        <v>46247</v>
      </c>
      <c r="T3" s="19" t="n">
        <f aca="false">IF(13&lt;DAY(EOMONTH(DATE(NAM,THANG,1),0)),DATE(NAM,THANG,1)+13,"")</f>
        <v>46248</v>
      </c>
      <c r="U3" s="19" t="n">
        <f aca="false">IF(14&lt;DAY(EOMONTH(DATE(NAM,THANG,1),0)),DATE(NAM,THANG,1)+14,"")</f>
        <v>46249</v>
      </c>
      <c r="V3" s="19" t="n">
        <f aca="false">IF(15&lt;DAY(EOMONTH(DATE(NAM,THANG,1),0)),DATE(NAM,THANG,1)+15,"")</f>
        <v>46250</v>
      </c>
      <c r="W3" s="19" t="n">
        <f aca="false">IF(16&lt;DAY(EOMONTH(DATE(NAM,THANG,1),0)),DATE(NAM,THANG,1)+16,"")</f>
        <v>46251</v>
      </c>
      <c r="X3" s="19" t="n">
        <f aca="false">IF(17&lt;DAY(EOMONTH(DATE(NAM,THANG,1),0)),DATE(NAM,THANG,1)+17,"")</f>
        <v>46252</v>
      </c>
      <c r="Y3" s="19" t="n">
        <f aca="false">IF(18&lt;DAY(EOMONTH(DATE(NAM,THANG,1),0)),DATE(NAM,THANG,1)+18,"")</f>
        <v>46253</v>
      </c>
      <c r="Z3" s="19" t="n">
        <f aca="false">IF(19&lt;DAY(EOMONTH(DATE(NAM,THANG,1),0)),DATE(NAM,THANG,1)+19,"")</f>
        <v>46254</v>
      </c>
      <c r="AA3" s="19" t="n">
        <f aca="false">IF(20&lt;DAY(EOMONTH(DATE(NAM,THANG,1),0)),DATE(NAM,THANG,1)+20,"")</f>
        <v>46255</v>
      </c>
      <c r="AB3" s="19" t="n">
        <f aca="false">IF(21&lt;DAY(EOMONTH(DATE(NAM,THANG,1),0)),DATE(NAM,THANG,1)+21,"")</f>
        <v>46256</v>
      </c>
      <c r="AC3" s="19" t="n">
        <f aca="false">IF(22&lt;DAY(EOMONTH(DATE(NAM,THANG,1),0)),DATE(NAM,THANG,1)+22,"")</f>
        <v>46257</v>
      </c>
      <c r="AD3" s="19" t="n">
        <f aca="false">IF(23&lt;DAY(EOMONTH(DATE(NAM,THANG,1),0)),DATE(NAM,THANG,1)+23,"")</f>
        <v>46258</v>
      </c>
      <c r="AE3" s="19" t="n">
        <f aca="false">IF(24&lt;DAY(EOMONTH(DATE(NAM,THANG,1),0)),DATE(NAM,THANG,1)+24,"")</f>
        <v>46259</v>
      </c>
      <c r="AF3" s="19" t="n">
        <f aca="false">IF(25&lt;DAY(EOMONTH(DATE(NAM,THANG,1),0)),DATE(NAM,THANG,1)+25,"")</f>
        <v>46260</v>
      </c>
      <c r="AG3" s="19" t="n">
        <f aca="false">IF(26&lt;DAY(EOMONTH(DATE(NAM,THANG,1),0)),DATE(NAM,THANG,1)+26,"")</f>
        <v>46261</v>
      </c>
      <c r="AH3" s="19" t="n">
        <f aca="false">IF(27&lt;DAY(EOMONTH(DATE(NAM,THANG,1),0)),DATE(NAM,THANG,1)+27,"")</f>
        <v>46262</v>
      </c>
      <c r="AI3" s="19" t="n">
        <f aca="false">IF(28&lt;DAY(EOMONTH(DATE(NAM,THANG,1),0)),DATE(NAM,THANG,1)+28,"")</f>
        <v>46263</v>
      </c>
      <c r="AJ3" s="19" t="n">
        <f aca="false">IF(29&lt;DAY(EOMONTH(DATE(NAM,THANG,1),0)),DATE(NAM,THANG,1)+29,"")</f>
        <v>46264</v>
      </c>
      <c r="AK3" s="19" t="n">
        <f aca="false">IF(30&lt;DAY(EOMONTH(DATE(NAM,THANG,1),0)),DATE(NAM,THANG,1)+30,"")</f>
        <v>46265</v>
      </c>
    </row>
    <row r="4" customFormat="false" ht="15" hidden="false" customHeight="false" outlineLevel="0" collapsed="false">
      <c r="G4" s="20" t="str">
        <f aca="false">IF(G3="","",CHOOSE(WEEKDAY(G3),"CN","T2","T3","T4","T5","T6","T7"))</f>
        <v>T7</v>
      </c>
      <c r="H4" s="20" t="str">
        <f aca="false">IF(H3="","",CHOOSE(WEEKDAY(H3),"CN","T2","T3","T4","T5","T6","T7"))</f>
        <v>CN</v>
      </c>
      <c r="I4" s="20" t="str">
        <f aca="false">IF(I3="","",CHOOSE(WEEKDAY(I3),"CN","T2","T3","T4","T5","T6","T7"))</f>
        <v>T2</v>
      </c>
      <c r="J4" s="20" t="str">
        <f aca="false">IF(J3="","",CHOOSE(WEEKDAY(J3),"CN","T2","T3","T4","T5","T6","T7"))</f>
        <v>T3</v>
      </c>
      <c r="K4" s="20" t="str">
        <f aca="false">IF(K3="","",CHOOSE(WEEKDAY(K3),"CN","T2","T3","T4","T5","T6","T7"))</f>
        <v>T4</v>
      </c>
      <c r="L4" s="20" t="str">
        <f aca="false">IF(L3="","",CHOOSE(WEEKDAY(L3),"CN","T2","T3","T4","T5","T6","T7"))</f>
        <v>T5</v>
      </c>
      <c r="M4" s="20" t="str">
        <f aca="false">IF(M3="","",CHOOSE(WEEKDAY(M3),"CN","T2","T3","T4","T5","T6","T7"))</f>
        <v>T6</v>
      </c>
      <c r="N4" s="20" t="str">
        <f aca="false">IF(N3="","",CHOOSE(WEEKDAY(N3),"CN","T2","T3","T4","T5","T6","T7"))</f>
        <v>T7</v>
      </c>
      <c r="O4" s="20" t="str">
        <f aca="false">IF(O3="","",CHOOSE(WEEKDAY(O3),"CN","T2","T3","T4","T5","T6","T7"))</f>
        <v>CN</v>
      </c>
      <c r="P4" s="20" t="str">
        <f aca="false">IF(P3="","",CHOOSE(WEEKDAY(P3),"CN","T2","T3","T4","T5","T6","T7"))</f>
        <v>T2</v>
      </c>
      <c r="Q4" s="20" t="str">
        <f aca="false">IF(Q3="","",CHOOSE(WEEKDAY(Q3),"CN","T2","T3","T4","T5","T6","T7"))</f>
        <v>T3</v>
      </c>
      <c r="R4" s="20" t="str">
        <f aca="false">IF(R3="","",CHOOSE(WEEKDAY(R3),"CN","T2","T3","T4","T5","T6","T7"))</f>
        <v>T4</v>
      </c>
      <c r="S4" s="20" t="str">
        <f aca="false">IF(S3="","",CHOOSE(WEEKDAY(S3),"CN","T2","T3","T4","T5","T6","T7"))</f>
        <v>T5</v>
      </c>
      <c r="T4" s="20" t="str">
        <f aca="false">IF(T3="","",CHOOSE(WEEKDAY(T3),"CN","T2","T3","T4","T5","T6","T7"))</f>
        <v>T6</v>
      </c>
      <c r="U4" s="20" t="str">
        <f aca="false">IF(U3="","",CHOOSE(WEEKDAY(U3),"CN","T2","T3","T4","T5","T6","T7"))</f>
        <v>T7</v>
      </c>
      <c r="V4" s="20" t="str">
        <f aca="false">IF(V3="","",CHOOSE(WEEKDAY(V3),"CN","T2","T3","T4","T5","T6","T7"))</f>
        <v>CN</v>
      </c>
      <c r="W4" s="20" t="str">
        <f aca="false">IF(W3="","",CHOOSE(WEEKDAY(W3),"CN","T2","T3","T4","T5","T6","T7"))</f>
        <v>T2</v>
      </c>
      <c r="X4" s="20" t="str">
        <f aca="false">IF(X3="","",CHOOSE(WEEKDAY(X3),"CN","T2","T3","T4","T5","T6","T7"))</f>
        <v>T3</v>
      </c>
      <c r="Y4" s="20" t="str">
        <f aca="false">IF(Y3="","",CHOOSE(WEEKDAY(Y3),"CN","T2","T3","T4","T5","T6","T7"))</f>
        <v>T4</v>
      </c>
      <c r="Z4" s="20" t="str">
        <f aca="false">IF(Z3="","",CHOOSE(WEEKDAY(Z3),"CN","T2","T3","T4","T5","T6","T7"))</f>
        <v>T5</v>
      </c>
      <c r="AA4" s="20" t="str">
        <f aca="false">IF(AA3="","",CHOOSE(WEEKDAY(AA3),"CN","T2","T3","T4","T5","T6","T7"))</f>
        <v>T6</v>
      </c>
      <c r="AB4" s="20" t="str">
        <f aca="false">IF(AB3="","",CHOOSE(WEEKDAY(AB3),"CN","T2","T3","T4","T5","T6","T7"))</f>
        <v>T7</v>
      </c>
      <c r="AC4" s="20" t="str">
        <f aca="false">IF(AC3="","",CHOOSE(WEEKDAY(AC3),"CN","T2","T3","T4","T5","T6","T7"))</f>
        <v>CN</v>
      </c>
      <c r="AD4" s="20" t="str">
        <f aca="false">IF(AD3="","",CHOOSE(WEEKDAY(AD3),"CN","T2","T3","T4","T5","T6","T7"))</f>
        <v>T2</v>
      </c>
      <c r="AE4" s="20" t="str">
        <f aca="false">IF(AE3="","",CHOOSE(WEEKDAY(AE3),"CN","T2","T3","T4","T5","T6","T7"))</f>
        <v>T3</v>
      </c>
      <c r="AF4" s="20" t="str">
        <f aca="false">IF(AF3="","",CHOOSE(WEEKDAY(AF3),"CN","T2","T3","T4","T5","T6","T7"))</f>
        <v>T4</v>
      </c>
      <c r="AG4" s="20" t="str">
        <f aca="false">IF(AG3="","",CHOOSE(WEEKDAY(AG3),"CN","T2","T3","T4","T5","T6","T7"))</f>
        <v>T5</v>
      </c>
      <c r="AH4" s="20" t="str">
        <f aca="false">IF(AH3="","",CHOOSE(WEEKDAY(AH3),"CN","T2","T3","T4","T5","T6","T7"))</f>
        <v>T6</v>
      </c>
      <c r="AI4" s="20" t="str">
        <f aca="false">IF(AI3="","",CHOOSE(WEEKDAY(AI3),"CN","T2","T3","T4","T5","T6","T7"))</f>
        <v>T7</v>
      </c>
      <c r="AJ4" s="20" t="str">
        <f aca="false">IF(AJ3="","",CHOOSE(WEEKDAY(AJ3),"CN","T2","T3","T4","T5","T6","T7"))</f>
        <v>CN</v>
      </c>
      <c r="AK4" s="20" t="str">
        <f aca="false">IF(AK3="","",CHOOSE(WEEKDAY(AK3),"CN","T2","T3","T4","T5","T6","T7"))</f>
        <v>T2</v>
      </c>
    </row>
    <row r="5" customFormat="false" ht="39.75" hidden="false" customHeight="true" outlineLevel="0" collapsed="false">
      <c r="A5" s="14" t="s">
        <v>85</v>
      </c>
      <c r="B5" s="14" t="s">
        <v>86</v>
      </c>
      <c r="C5" s="14" t="s">
        <v>87</v>
      </c>
      <c r="D5" s="14" t="s">
        <v>56</v>
      </c>
      <c r="E5" s="14" t="s">
        <v>233</v>
      </c>
      <c r="F5" s="14" t="s">
        <v>234</v>
      </c>
      <c r="G5" s="14" t="s">
        <v>235</v>
      </c>
      <c r="H5" s="14" t="s">
        <v>236</v>
      </c>
      <c r="I5" s="14" t="s">
        <v>237</v>
      </c>
      <c r="J5" s="14" t="s">
        <v>238</v>
      </c>
      <c r="K5" s="14" t="s">
        <v>239</v>
      </c>
      <c r="L5" s="14" t="s">
        <v>240</v>
      </c>
      <c r="M5" s="14" t="s">
        <v>241</v>
      </c>
      <c r="N5" s="14" t="s">
        <v>242</v>
      </c>
      <c r="O5" s="14" t="s">
        <v>243</v>
      </c>
      <c r="P5" s="14" t="s">
        <v>244</v>
      </c>
      <c r="Q5" s="14" t="s">
        <v>245</v>
      </c>
      <c r="R5" s="14" t="s">
        <v>246</v>
      </c>
      <c r="S5" s="14" t="s">
        <v>247</v>
      </c>
      <c r="T5" s="14" t="s">
        <v>248</v>
      </c>
      <c r="U5" s="14" t="s">
        <v>249</v>
      </c>
      <c r="V5" s="14" t="s">
        <v>250</v>
      </c>
      <c r="W5" s="14" t="s">
        <v>251</v>
      </c>
      <c r="X5" s="14" t="s">
        <v>252</v>
      </c>
      <c r="Y5" s="14" t="s">
        <v>253</v>
      </c>
      <c r="Z5" s="14" t="s">
        <v>254</v>
      </c>
      <c r="AA5" s="14" t="s">
        <v>255</v>
      </c>
      <c r="AB5" s="14" t="s">
        <v>256</v>
      </c>
      <c r="AC5" s="14" t="s">
        <v>257</v>
      </c>
      <c r="AD5" s="14" t="s">
        <v>258</v>
      </c>
      <c r="AE5" s="14" t="s">
        <v>259</v>
      </c>
      <c r="AF5" s="14" t="s">
        <v>260</v>
      </c>
      <c r="AG5" s="14" t="s">
        <v>261</v>
      </c>
      <c r="AH5" s="14" t="s">
        <v>262</v>
      </c>
      <c r="AI5" s="14" t="s">
        <v>263</v>
      </c>
      <c r="AJ5" s="14" t="s">
        <v>264</v>
      </c>
      <c r="AK5" s="14" t="s">
        <v>265</v>
      </c>
      <c r="AL5" s="14" t="s">
        <v>266</v>
      </c>
      <c r="AM5" s="14" t="s">
        <v>267</v>
      </c>
      <c r="AN5" s="14" t="s">
        <v>268</v>
      </c>
      <c r="AO5" s="14" t="s">
        <v>269</v>
      </c>
      <c r="AP5" s="14" t="s">
        <v>270</v>
      </c>
      <c r="AQ5" s="14" t="s">
        <v>97</v>
      </c>
      <c r="AR5" s="2" t="s">
        <v>271</v>
      </c>
    </row>
    <row r="6" customFormat="false" ht="15" hidden="false" customHeight="false" outlineLevel="0" collapsed="false">
      <c r="A6" s="17" t="n">
        <v>1</v>
      </c>
      <c r="B6" s="10" t="s">
        <v>98</v>
      </c>
      <c r="C6" s="17" t="str">
        <f aca="false">IF(B6="","",IFERROR(INDEX(NV_TEN,MATCH(B6,NV_MA,0)),"MÃ KHÔNG CÓ"))</f>
        <v>Hồ Thị Lẽ</v>
      </c>
      <c r="D6" s="10" t="s">
        <v>66</v>
      </c>
      <c r="E6" s="18"/>
      <c r="F6" s="17" t="n">
        <f aca="false">IF(D6="","",IFERROR(INDEX(NH_GIO,MATCH(D6,NH_TEN,0)),"NHÓM?"))</f>
        <v>8</v>
      </c>
      <c r="G6" s="21" t="n">
        <v>8</v>
      </c>
      <c r="H6" s="21" t="n">
        <v>8</v>
      </c>
      <c r="I6" s="21" t="n">
        <v>8</v>
      </c>
      <c r="J6" s="21"/>
      <c r="K6" s="21" t="n">
        <v>8</v>
      </c>
      <c r="L6" s="21" t="n">
        <v>8</v>
      </c>
      <c r="M6" s="21" t="n">
        <v>8</v>
      </c>
      <c r="N6" s="21" t="n">
        <v>10</v>
      </c>
      <c r="O6" s="21" t="n">
        <v>8</v>
      </c>
      <c r="P6" s="21" t="n">
        <v>8</v>
      </c>
      <c r="Q6" s="21" t="n">
        <v>4</v>
      </c>
      <c r="R6" s="21" t="n">
        <v>8</v>
      </c>
      <c r="S6" s="21" t="n">
        <v>8</v>
      </c>
      <c r="T6" s="21" t="n">
        <v>8.5</v>
      </c>
      <c r="U6" s="21" t="n">
        <v>8</v>
      </c>
      <c r="V6" s="21" t="n">
        <v>8</v>
      </c>
      <c r="W6" s="21" t="n">
        <v>8</v>
      </c>
      <c r="X6" s="21" t="n">
        <v>8</v>
      </c>
      <c r="Y6" s="21" t="n">
        <v>8</v>
      </c>
      <c r="Z6" s="21" t="n">
        <v>8</v>
      </c>
      <c r="AA6" s="21" t="n">
        <v>8</v>
      </c>
      <c r="AB6" s="21" t="n">
        <v>8</v>
      </c>
      <c r="AC6" s="21" t="n">
        <v>10</v>
      </c>
      <c r="AD6" s="21" t="n">
        <v>12.5</v>
      </c>
      <c r="AE6" s="21" t="n">
        <v>8</v>
      </c>
      <c r="AF6" s="21" t="n">
        <v>10</v>
      </c>
      <c r="AG6" s="21" t="n">
        <v>8</v>
      </c>
      <c r="AH6" s="21" t="n">
        <v>10</v>
      </c>
      <c r="AI6" s="21" t="n">
        <v>8</v>
      </c>
      <c r="AJ6" s="21" t="n">
        <v>8</v>
      </c>
      <c r="AK6" s="21" t="n">
        <v>8</v>
      </c>
      <c r="AL6" s="22" t="n">
        <f aca="false">IF(B6="","",SUMPRODUCT(IFERROR(VALUE(SUBSTITUTE(G6:AK6,"N","")),0)))</f>
        <v>249</v>
      </c>
      <c r="AM6" s="23" t="n">
        <f aca="false">IF(B6="","",AL6/F6)</f>
        <v>31.125</v>
      </c>
      <c r="AN6" s="23" t="n">
        <f aca="false">IF(B6="","",SUMPRODUCT(ISNUMBER(SEARCH("N",G6:AK6))*IFERROR(VALUE(SUBSTITUTE(G6:AK6,"N","")),0))/F6)</f>
        <v>0</v>
      </c>
      <c r="AO6" s="10"/>
      <c r="AP6" s="10"/>
      <c r="AQ6" s="10"/>
      <c r="AR6" s="24" t="n">
        <f aca="false">IF(B6="",0,MAX(SUMPRODUCT((BCC_MA=$B6)*IFERROR(VALUE(SUBSTITUTE($G$6:$G$100,"N","")),0)),SUMPRODUCT((BCC_MA=$B6)*IFERROR(VALUE(SUBSTITUTE($H$6:$H$100,"N","")),0)),SUMPRODUCT((BCC_MA=$B6)*IFERROR(VALUE(SUBSTITUTE($I$6:$I$100,"N","")),0)),SUMPRODUCT((BCC_MA=$B6)*IFERROR(VALUE(SUBSTITUTE($J$6:$J$100,"N","")),0)),SUMPRODUCT((BCC_MA=$B6)*IFERROR(VALUE(SUBSTITUTE($K$6:$K$100,"N","")),0)),SUMPRODUCT((BCC_MA=$B6)*IFERROR(VALUE(SUBSTITUTE($L$6:$L$100,"N","")),0)),SUMPRODUCT((BCC_MA=$B6)*IFERROR(VALUE(SUBSTITUTE($M$6:$M$100,"N","")),0)),SUMPRODUCT((BCC_MA=$B6)*IFERROR(VALUE(SUBSTITUTE($N$6:$N$100,"N","")),0)),SUMPRODUCT((BCC_MA=$B6)*IFERROR(VALUE(SUBSTITUTE($O$6:$O$100,"N","")),0)),SUMPRODUCT((BCC_MA=$B6)*IFERROR(VALUE(SUBSTITUTE($P$6:$P$100,"N","")),0)),SUMPRODUCT((BCC_MA=$B6)*IFERROR(VALUE(SUBSTITUTE($Q$6:$Q$100,"N","")),0)),SUMPRODUCT((BCC_MA=$B6)*IFERROR(VALUE(SUBSTITUTE($R$6:$R$100,"N","")),0)),SUMPRODUCT((BCC_MA=$B6)*IFERROR(VALUE(SUBSTITUTE($S$6:$S$100,"N","")),0)),SUMPRODUCT((BCC_MA=$B6)*IFERROR(VALUE(SUBSTITUTE($T$6:$T$100,"N","")),0)),SUMPRODUCT((BCC_MA=$B6)*IFERROR(VALUE(SUBSTITUTE($U$6:$U$100,"N","")),0)),SUMPRODUCT((BCC_MA=$B6)*IFERROR(VALUE(SUBSTITUTE($V$6:$V$100,"N","")),0)),SUMPRODUCT((BCC_MA=$B6)*IFERROR(VALUE(SUBSTITUTE($W$6:$W$100,"N","")),0)),SUMPRODUCT((BCC_MA=$B6)*IFERROR(VALUE(SUBSTITUTE($X$6:$X$100,"N","")),0)),SUMPRODUCT((BCC_MA=$B6)*IFERROR(VALUE(SUBSTITUTE($Y$6:$Y$100,"N","")),0)),SUMPRODUCT((BCC_MA=$B6)*IFERROR(VALUE(SUBSTITUTE($Z$6:$Z$100,"N","")),0)),SUMPRODUCT((BCC_MA=$B6)*IFERROR(VALUE(SUBSTITUTE($AA$6:$AA$100,"N","")),0)),SUMPRODUCT((BCC_MA=$B6)*IFERROR(VALUE(SUBSTITUTE($AB$6:$AB$100,"N","")),0)),SUMPRODUCT((BCC_MA=$B6)*IFERROR(VALUE(SUBSTITUTE($AC$6:$AC$100,"N","")),0)),SUMPRODUCT((BCC_MA=$B6)*IFERROR(VALUE(SUBSTITUTE($AD$6:$AD$100,"N","")),0)),SUMPRODUCT((BCC_MA=$B6)*IFERROR(VALUE(SUBSTITUTE($AE$6:$AE$100,"N","")),0)),SUMPRODUCT((BCC_MA=$B6)*IFERROR(VALUE(SUBSTITUTE($AF$6:$AF$100,"N","")),0)),SUMPRODUCT((BCC_MA=$B6)*IFERROR(VALUE(SUBSTITUTE($AG$6:$AG$100,"N","")),0)),SUMPRODUCT((BCC_MA=$B6)*IFERROR(VALUE(SUBSTITUTE($AH$6:$AH$100,"N","")),0)),SUMPRODUCT((BCC_MA=$B6)*IFERROR(VALUE(SUBSTITUTE($AI$6:$AI$100,"N","")),0)),SUMPRODUCT((BCC_MA=$B6)*IFERROR(VALUE(SUBSTITUTE($AJ$6:$AJ$100,"N","")),0)),SUMPRODUCT((BCC_MA=$B6)*IFERROR(VALUE(SUBSTITUTE($AK$6:$AK$100,"N","")),0))))</f>
        <v>12.5</v>
      </c>
    </row>
    <row r="7" customFormat="false" ht="15" hidden="false" customHeight="false" outlineLevel="0" collapsed="false">
      <c r="A7" s="17" t="n">
        <v>2</v>
      </c>
      <c r="B7" s="10" t="s">
        <v>102</v>
      </c>
      <c r="C7" s="17" t="str">
        <f aca="false">IF(B7="","",IFERROR(INDEX(NV_TEN,MATCH(B7,NV_MA,0)),"MÃ KHÔNG CÓ"))</f>
        <v>Thèn Thị Giang</v>
      </c>
      <c r="D7" s="10" t="s">
        <v>66</v>
      </c>
      <c r="E7" s="18"/>
      <c r="F7" s="17" t="n">
        <f aca="false">IF(D7="","",IFERROR(INDEX(NH_GIO,MATCH(D7,NH_TEN,0)),"NHÓM?"))</f>
        <v>8</v>
      </c>
      <c r="G7" s="21" t="n">
        <v>8</v>
      </c>
      <c r="H7" s="21" t="n">
        <v>8</v>
      </c>
      <c r="I7" s="21"/>
      <c r="J7" s="21"/>
      <c r="K7" s="21"/>
      <c r="L7" s="21" t="n">
        <v>8</v>
      </c>
      <c r="M7" s="21" t="n">
        <v>8</v>
      </c>
      <c r="N7" s="21"/>
      <c r="O7" s="21" t="n">
        <v>8</v>
      </c>
      <c r="P7" s="21" t="n">
        <v>8</v>
      </c>
      <c r="Q7" s="21" t="n">
        <v>8</v>
      </c>
      <c r="R7" s="21" t="n">
        <v>8</v>
      </c>
      <c r="S7" s="21" t="n">
        <v>8</v>
      </c>
      <c r="T7" s="21" t="n">
        <v>8.5</v>
      </c>
      <c r="U7" s="21" t="n">
        <v>8</v>
      </c>
      <c r="V7" s="21" t="n">
        <v>8</v>
      </c>
      <c r="W7" s="21" t="n">
        <v>8</v>
      </c>
      <c r="X7" s="21"/>
      <c r="Y7" s="21" t="n">
        <v>8</v>
      </c>
      <c r="Z7" s="21" t="n">
        <v>8</v>
      </c>
      <c r="AA7" s="21" t="n">
        <v>8</v>
      </c>
      <c r="AB7" s="21" t="n">
        <v>8</v>
      </c>
      <c r="AC7" s="21" t="n">
        <v>10</v>
      </c>
      <c r="AD7" s="21" t="n">
        <v>12.5</v>
      </c>
      <c r="AE7" s="21" t="n">
        <v>8</v>
      </c>
      <c r="AF7" s="21" t="n">
        <v>10</v>
      </c>
      <c r="AG7" s="21" t="n">
        <v>8</v>
      </c>
      <c r="AH7" s="21" t="n">
        <v>10</v>
      </c>
      <c r="AI7" s="21"/>
      <c r="AJ7" s="21" t="n">
        <v>8</v>
      </c>
      <c r="AK7" s="21" t="n">
        <v>8</v>
      </c>
      <c r="AL7" s="22" t="n">
        <f aca="false">IF(B7="","",SUMPRODUCT(IFERROR(VALUE(SUBSTITUTE(G7:AK7,"N","")),0)))</f>
        <v>211</v>
      </c>
      <c r="AM7" s="23" t="n">
        <f aca="false">IF(B7="","",AL7/F7)</f>
        <v>26.375</v>
      </c>
      <c r="AN7" s="23" t="n">
        <f aca="false">IF(B7="","",SUMPRODUCT(ISNUMBER(SEARCH("N",G7:AK7))*IFERROR(VALUE(SUBSTITUTE(G7:AK7,"N","")),0))/F7)</f>
        <v>0</v>
      </c>
      <c r="AO7" s="10"/>
      <c r="AP7" s="10"/>
      <c r="AQ7" s="10"/>
      <c r="AR7" s="24" t="n">
        <f aca="false">IF(B7="",0,MAX(SUMPRODUCT((BCC_MA=$B7)*IFERROR(VALUE(SUBSTITUTE($G$6:$G$100,"N","")),0)),SUMPRODUCT((BCC_MA=$B7)*IFERROR(VALUE(SUBSTITUTE($H$6:$H$100,"N","")),0)),SUMPRODUCT((BCC_MA=$B7)*IFERROR(VALUE(SUBSTITUTE($I$6:$I$100,"N","")),0)),SUMPRODUCT((BCC_MA=$B7)*IFERROR(VALUE(SUBSTITUTE($J$6:$J$100,"N","")),0)),SUMPRODUCT((BCC_MA=$B7)*IFERROR(VALUE(SUBSTITUTE($K$6:$K$100,"N","")),0)),SUMPRODUCT((BCC_MA=$B7)*IFERROR(VALUE(SUBSTITUTE($L$6:$L$100,"N","")),0)),SUMPRODUCT((BCC_MA=$B7)*IFERROR(VALUE(SUBSTITUTE($M$6:$M$100,"N","")),0)),SUMPRODUCT((BCC_MA=$B7)*IFERROR(VALUE(SUBSTITUTE($N$6:$N$100,"N","")),0)),SUMPRODUCT((BCC_MA=$B7)*IFERROR(VALUE(SUBSTITUTE($O$6:$O$100,"N","")),0)),SUMPRODUCT((BCC_MA=$B7)*IFERROR(VALUE(SUBSTITUTE($P$6:$P$100,"N","")),0)),SUMPRODUCT((BCC_MA=$B7)*IFERROR(VALUE(SUBSTITUTE($Q$6:$Q$100,"N","")),0)),SUMPRODUCT((BCC_MA=$B7)*IFERROR(VALUE(SUBSTITUTE($R$6:$R$100,"N","")),0)),SUMPRODUCT((BCC_MA=$B7)*IFERROR(VALUE(SUBSTITUTE($S$6:$S$100,"N","")),0)),SUMPRODUCT((BCC_MA=$B7)*IFERROR(VALUE(SUBSTITUTE($T$6:$T$100,"N","")),0)),SUMPRODUCT((BCC_MA=$B7)*IFERROR(VALUE(SUBSTITUTE($U$6:$U$100,"N","")),0)),SUMPRODUCT((BCC_MA=$B7)*IFERROR(VALUE(SUBSTITUTE($V$6:$V$100,"N","")),0)),SUMPRODUCT((BCC_MA=$B7)*IFERROR(VALUE(SUBSTITUTE($W$6:$W$100,"N","")),0)),SUMPRODUCT((BCC_MA=$B7)*IFERROR(VALUE(SUBSTITUTE($X$6:$X$100,"N","")),0)),SUMPRODUCT((BCC_MA=$B7)*IFERROR(VALUE(SUBSTITUTE($Y$6:$Y$100,"N","")),0)),SUMPRODUCT((BCC_MA=$B7)*IFERROR(VALUE(SUBSTITUTE($Z$6:$Z$100,"N","")),0)),SUMPRODUCT((BCC_MA=$B7)*IFERROR(VALUE(SUBSTITUTE($AA$6:$AA$100,"N","")),0)),SUMPRODUCT((BCC_MA=$B7)*IFERROR(VALUE(SUBSTITUTE($AB$6:$AB$100,"N","")),0)),SUMPRODUCT((BCC_MA=$B7)*IFERROR(VALUE(SUBSTITUTE($AC$6:$AC$100,"N","")),0)),SUMPRODUCT((BCC_MA=$B7)*IFERROR(VALUE(SUBSTITUTE($AD$6:$AD$100,"N","")),0)),SUMPRODUCT((BCC_MA=$B7)*IFERROR(VALUE(SUBSTITUTE($AE$6:$AE$100,"N","")),0)),SUMPRODUCT((BCC_MA=$B7)*IFERROR(VALUE(SUBSTITUTE($AF$6:$AF$100,"N","")),0)),SUMPRODUCT((BCC_MA=$B7)*IFERROR(VALUE(SUBSTITUTE($AG$6:$AG$100,"N","")),0)),SUMPRODUCT((BCC_MA=$B7)*IFERROR(VALUE(SUBSTITUTE($AH$6:$AH$100,"N","")),0)),SUMPRODUCT((BCC_MA=$B7)*IFERROR(VALUE(SUBSTITUTE($AI$6:$AI$100,"N","")),0)),SUMPRODUCT((BCC_MA=$B7)*IFERROR(VALUE(SUBSTITUTE($AJ$6:$AJ$100,"N","")),0)),SUMPRODUCT((BCC_MA=$B7)*IFERROR(VALUE(SUBSTITUTE($AK$6:$AK$100,"N","")),0))))</f>
        <v>12.5</v>
      </c>
    </row>
    <row r="8" customFormat="false" ht="15" hidden="false" customHeight="false" outlineLevel="0" collapsed="false">
      <c r="A8" s="17" t="n">
        <v>3</v>
      </c>
      <c r="B8" s="10" t="s">
        <v>104</v>
      </c>
      <c r="C8" s="17" t="str">
        <f aca="false">IF(B8="","",IFERROR(INDEX(NV_TEN,MATCH(B8,NV_MA,0)),"MÃ KHÔNG CÓ"))</f>
        <v>Lê Văn Nghị</v>
      </c>
      <c r="D8" s="10" t="s">
        <v>66</v>
      </c>
      <c r="E8" s="18" t="n">
        <v>370000</v>
      </c>
      <c r="F8" s="17" t="n">
        <f aca="false">IF(D8="","",IFERROR(INDEX(NH_GIO,MATCH(D8,NH_TEN,0)),"NHÓM?"))</f>
        <v>8</v>
      </c>
      <c r="G8" s="21" t="n">
        <v>10</v>
      </c>
      <c r="H8" s="21" t="n">
        <v>10</v>
      </c>
      <c r="I8" s="21" t="n">
        <v>8</v>
      </c>
      <c r="J8" s="21" t="n">
        <v>8</v>
      </c>
      <c r="K8" s="21" t="n">
        <v>8</v>
      </c>
      <c r="L8" s="21" t="n">
        <v>8</v>
      </c>
      <c r="M8" s="21" t="n">
        <v>8</v>
      </c>
      <c r="N8" s="21" t="n">
        <v>17</v>
      </c>
      <c r="O8" s="21" t="n">
        <v>11</v>
      </c>
      <c r="P8" s="21" t="n">
        <v>8</v>
      </c>
      <c r="Q8" s="21" t="n">
        <v>8</v>
      </c>
      <c r="R8" s="21" t="n">
        <v>8</v>
      </c>
      <c r="S8" s="21" t="n">
        <v>8</v>
      </c>
      <c r="T8" s="21" t="n">
        <v>9</v>
      </c>
      <c r="U8" s="21" t="n">
        <v>8</v>
      </c>
      <c r="V8" s="21" t="n">
        <v>18</v>
      </c>
      <c r="W8" s="21" t="n">
        <v>8</v>
      </c>
      <c r="X8" s="21" t="n">
        <v>11</v>
      </c>
      <c r="Y8" s="21" t="n">
        <v>8</v>
      </c>
      <c r="Z8" s="21" t="n">
        <v>8</v>
      </c>
      <c r="AA8" s="21" t="n">
        <v>8</v>
      </c>
      <c r="AB8" s="21" t="n">
        <v>8</v>
      </c>
      <c r="AC8" s="21" t="n">
        <v>10</v>
      </c>
      <c r="AD8" s="21" t="n">
        <v>13</v>
      </c>
      <c r="AE8" s="21" t="n">
        <v>8</v>
      </c>
      <c r="AF8" s="21" t="n">
        <v>10</v>
      </c>
      <c r="AG8" s="21" t="n">
        <v>8</v>
      </c>
      <c r="AH8" s="21" t="n">
        <v>10</v>
      </c>
      <c r="AI8" s="21" t="n">
        <v>9</v>
      </c>
      <c r="AJ8" s="21" t="n">
        <v>8</v>
      </c>
      <c r="AK8" s="21" t="n">
        <v>8</v>
      </c>
      <c r="AL8" s="22" t="n">
        <f aca="false">IF(B8="","",SUMPRODUCT(IFERROR(VALUE(SUBSTITUTE(G8:AK8,"N","")),0)))</f>
        <v>290</v>
      </c>
      <c r="AM8" s="23" t="n">
        <f aca="false">IF(B8="","",AL8/F8)</f>
        <v>36.25</v>
      </c>
      <c r="AN8" s="23" t="n">
        <f aca="false">IF(B8="","",SUMPRODUCT(ISNUMBER(SEARCH("N",G8:AK8))*IFERROR(VALUE(SUBSTITUTE(G8:AK8,"N","")),0))/F8)</f>
        <v>0</v>
      </c>
      <c r="AO8" s="10"/>
      <c r="AP8" s="10"/>
      <c r="AQ8" s="10"/>
      <c r="AR8" s="24" t="n">
        <f aca="false">IF(B8="",0,MAX(SUMPRODUCT((BCC_MA=$B8)*IFERROR(VALUE(SUBSTITUTE($G$6:$G$100,"N","")),0)),SUMPRODUCT((BCC_MA=$B8)*IFERROR(VALUE(SUBSTITUTE($H$6:$H$100,"N","")),0)),SUMPRODUCT((BCC_MA=$B8)*IFERROR(VALUE(SUBSTITUTE($I$6:$I$100,"N","")),0)),SUMPRODUCT((BCC_MA=$B8)*IFERROR(VALUE(SUBSTITUTE($J$6:$J$100,"N","")),0)),SUMPRODUCT((BCC_MA=$B8)*IFERROR(VALUE(SUBSTITUTE($K$6:$K$100,"N","")),0)),SUMPRODUCT((BCC_MA=$B8)*IFERROR(VALUE(SUBSTITUTE($L$6:$L$100,"N","")),0)),SUMPRODUCT((BCC_MA=$B8)*IFERROR(VALUE(SUBSTITUTE($M$6:$M$100,"N","")),0)),SUMPRODUCT((BCC_MA=$B8)*IFERROR(VALUE(SUBSTITUTE($N$6:$N$100,"N","")),0)),SUMPRODUCT((BCC_MA=$B8)*IFERROR(VALUE(SUBSTITUTE($O$6:$O$100,"N","")),0)),SUMPRODUCT((BCC_MA=$B8)*IFERROR(VALUE(SUBSTITUTE($P$6:$P$100,"N","")),0)),SUMPRODUCT((BCC_MA=$B8)*IFERROR(VALUE(SUBSTITUTE($Q$6:$Q$100,"N","")),0)),SUMPRODUCT((BCC_MA=$B8)*IFERROR(VALUE(SUBSTITUTE($R$6:$R$100,"N","")),0)),SUMPRODUCT((BCC_MA=$B8)*IFERROR(VALUE(SUBSTITUTE($S$6:$S$100,"N","")),0)),SUMPRODUCT((BCC_MA=$B8)*IFERROR(VALUE(SUBSTITUTE($T$6:$T$100,"N","")),0)),SUMPRODUCT((BCC_MA=$B8)*IFERROR(VALUE(SUBSTITUTE($U$6:$U$100,"N","")),0)),SUMPRODUCT((BCC_MA=$B8)*IFERROR(VALUE(SUBSTITUTE($V$6:$V$100,"N","")),0)),SUMPRODUCT((BCC_MA=$B8)*IFERROR(VALUE(SUBSTITUTE($W$6:$W$100,"N","")),0)),SUMPRODUCT((BCC_MA=$B8)*IFERROR(VALUE(SUBSTITUTE($X$6:$X$100,"N","")),0)),SUMPRODUCT((BCC_MA=$B8)*IFERROR(VALUE(SUBSTITUTE($Y$6:$Y$100,"N","")),0)),SUMPRODUCT((BCC_MA=$B8)*IFERROR(VALUE(SUBSTITUTE($Z$6:$Z$100,"N","")),0)),SUMPRODUCT((BCC_MA=$B8)*IFERROR(VALUE(SUBSTITUTE($AA$6:$AA$100,"N","")),0)),SUMPRODUCT((BCC_MA=$B8)*IFERROR(VALUE(SUBSTITUTE($AB$6:$AB$100,"N","")),0)),SUMPRODUCT((BCC_MA=$B8)*IFERROR(VALUE(SUBSTITUTE($AC$6:$AC$100,"N","")),0)),SUMPRODUCT((BCC_MA=$B8)*IFERROR(VALUE(SUBSTITUTE($AD$6:$AD$100,"N","")),0)),SUMPRODUCT((BCC_MA=$B8)*IFERROR(VALUE(SUBSTITUTE($AE$6:$AE$100,"N","")),0)),SUMPRODUCT((BCC_MA=$B8)*IFERROR(VALUE(SUBSTITUTE($AF$6:$AF$100,"N","")),0)),SUMPRODUCT((BCC_MA=$B8)*IFERROR(VALUE(SUBSTITUTE($AG$6:$AG$100,"N","")),0)),SUMPRODUCT((BCC_MA=$B8)*IFERROR(VALUE(SUBSTITUTE($AH$6:$AH$100,"N","")),0)),SUMPRODUCT((BCC_MA=$B8)*IFERROR(VALUE(SUBSTITUTE($AI$6:$AI$100,"N","")),0)),SUMPRODUCT((BCC_MA=$B8)*IFERROR(VALUE(SUBSTITUTE($AJ$6:$AJ$100,"N","")),0)),SUMPRODUCT((BCC_MA=$B8)*IFERROR(VALUE(SUBSTITUTE($AK$6:$AK$100,"N","")),0))))</f>
        <v>29</v>
      </c>
    </row>
    <row r="9" customFormat="false" ht="15" hidden="false" customHeight="false" outlineLevel="0" collapsed="false">
      <c r="A9" s="17" t="n">
        <v>4</v>
      </c>
      <c r="B9" s="10" t="s">
        <v>107</v>
      </c>
      <c r="C9" s="17" t="str">
        <f aca="false">IF(B9="","",IFERROR(INDEX(NV_TEN,MATCH(B9,NV_MA,0)),"MÃ KHÔNG CÓ"))</f>
        <v>Trần Thắng</v>
      </c>
      <c r="D9" s="10" t="s">
        <v>66</v>
      </c>
      <c r="E9" s="18"/>
      <c r="F9" s="17" t="n">
        <f aca="false">IF(D9="","",IFERROR(INDEX(NH_GIO,MATCH(D9,NH_TEN,0)),"NHÓM?"))</f>
        <v>8</v>
      </c>
      <c r="G9" s="21" t="n">
        <v>8</v>
      </c>
      <c r="H9" s="21" t="n">
        <v>8</v>
      </c>
      <c r="I9" s="21" t="n">
        <v>8</v>
      </c>
      <c r="J9" s="21" t="n">
        <v>8</v>
      </c>
      <c r="K9" s="21" t="n">
        <v>8</v>
      </c>
      <c r="L9" s="21" t="n">
        <v>8</v>
      </c>
      <c r="M9" s="21" t="n">
        <v>8</v>
      </c>
      <c r="N9" s="21" t="n">
        <v>8</v>
      </c>
      <c r="O9" s="21" t="n">
        <v>8</v>
      </c>
      <c r="P9" s="21" t="n">
        <v>8</v>
      </c>
      <c r="Q9" s="21" t="n">
        <v>8</v>
      </c>
      <c r="R9" s="21" t="n">
        <v>8</v>
      </c>
      <c r="S9" s="21" t="n">
        <v>8</v>
      </c>
      <c r="T9" s="21" t="n">
        <v>8</v>
      </c>
      <c r="U9" s="21" t="n">
        <v>8</v>
      </c>
      <c r="V9" s="21" t="n">
        <v>8</v>
      </c>
      <c r="W9" s="21" t="n">
        <v>8</v>
      </c>
      <c r="X9" s="21" t="n">
        <v>8</v>
      </c>
      <c r="Y9" s="21" t="n">
        <v>8</v>
      </c>
      <c r="Z9" s="21" t="n">
        <v>8</v>
      </c>
      <c r="AA9" s="21" t="n">
        <v>8</v>
      </c>
      <c r="AB9" s="21" t="n">
        <v>8</v>
      </c>
      <c r="AC9" s="21" t="n">
        <v>8</v>
      </c>
      <c r="AD9" s="21" t="n">
        <v>8</v>
      </c>
      <c r="AE9" s="21" t="n">
        <v>8</v>
      </c>
      <c r="AF9" s="21" t="n">
        <v>8</v>
      </c>
      <c r="AG9" s="21" t="n">
        <v>8</v>
      </c>
      <c r="AH9" s="21" t="n">
        <v>8</v>
      </c>
      <c r="AI9" s="21" t="n">
        <v>8</v>
      </c>
      <c r="AJ9" s="21" t="n">
        <v>8</v>
      </c>
      <c r="AK9" s="21" t="n">
        <v>8</v>
      </c>
      <c r="AL9" s="22" t="n">
        <f aca="false">IF(B9="","",SUMPRODUCT(IFERROR(VALUE(SUBSTITUTE(G9:AK9,"N","")),0)))</f>
        <v>248</v>
      </c>
      <c r="AM9" s="23" t="n">
        <f aca="false">IF(B9="","",AL9/F9)</f>
        <v>31</v>
      </c>
      <c r="AN9" s="23" t="n">
        <f aca="false">IF(B9="","",SUMPRODUCT(ISNUMBER(SEARCH("N",G9:AK9))*IFERROR(VALUE(SUBSTITUTE(G9:AK9,"N","")),0))/F9)</f>
        <v>0</v>
      </c>
      <c r="AO9" s="10"/>
      <c r="AP9" s="10"/>
      <c r="AQ9" s="10"/>
      <c r="AR9" s="24" t="n">
        <f aca="false">IF(B9="",0,MAX(SUMPRODUCT((BCC_MA=$B9)*IFERROR(VALUE(SUBSTITUTE($G$6:$G$100,"N","")),0)),SUMPRODUCT((BCC_MA=$B9)*IFERROR(VALUE(SUBSTITUTE($H$6:$H$100,"N","")),0)),SUMPRODUCT((BCC_MA=$B9)*IFERROR(VALUE(SUBSTITUTE($I$6:$I$100,"N","")),0)),SUMPRODUCT((BCC_MA=$B9)*IFERROR(VALUE(SUBSTITUTE($J$6:$J$100,"N","")),0)),SUMPRODUCT((BCC_MA=$B9)*IFERROR(VALUE(SUBSTITUTE($K$6:$K$100,"N","")),0)),SUMPRODUCT((BCC_MA=$B9)*IFERROR(VALUE(SUBSTITUTE($L$6:$L$100,"N","")),0)),SUMPRODUCT((BCC_MA=$B9)*IFERROR(VALUE(SUBSTITUTE($M$6:$M$100,"N","")),0)),SUMPRODUCT((BCC_MA=$B9)*IFERROR(VALUE(SUBSTITUTE($N$6:$N$100,"N","")),0)),SUMPRODUCT((BCC_MA=$B9)*IFERROR(VALUE(SUBSTITUTE($O$6:$O$100,"N","")),0)),SUMPRODUCT((BCC_MA=$B9)*IFERROR(VALUE(SUBSTITUTE($P$6:$P$100,"N","")),0)),SUMPRODUCT((BCC_MA=$B9)*IFERROR(VALUE(SUBSTITUTE($Q$6:$Q$100,"N","")),0)),SUMPRODUCT((BCC_MA=$B9)*IFERROR(VALUE(SUBSTITUTE($R$6:$R$100,"N","")),0)),SUMPRODUCT((BCC_MA=$B9)*IFERROR(VALUE(SUBSTITUTE($S$6:$S$100,"N","")),0)),SUMPRODUCT((BCC_MA=$B9)*IFERROR(VALUE(SUBSTITUTE($T$6:$T$100,"N","")),0)),SUMPRODUCT((BCC_MA=$B9)*IFERROR(VALUE(SUBSTITUTE($U$6:$U$100,"N","")),0)),SUMPRODUCT((BCC_MA=$B9)*IFERROR(VALUE(SUBSTITUTE($V$6:$V$100,"N","")),0)),SUMPRODUCT((BCC_MA=$B9)*IFERROR(VALUE(SUBSTITUTE($W$6:$W$100,"N","")),0)),SUMPRODUCT((BCC_MA=$B9)*IFERROR(VALUE(SUBSTITUTE($X$6:$X$100,"N","")),0)),SUMPRODUCT((BCC_MA=$B9)*IFERROR(VALUE(SUBSTITUTE($Y$6:$Y$100,"N","")),0)),SUMPRODUCT((BCC_MA=$B9)*IFERROR(VALUE(SUBSTITUTE($Z$6:$Z$100,"N","")),0)),SUMPRODUCT((BCC_MA=$B9)*IFERROR(VALUE(SUBSTITUTE($AA$6:$AA$100,"N","")),0)),SUMPRODUCT((BCC_MA=$B9)*IFERROR(VALUE(SUBSTITUTE($AB$6:$AB$100,"N","")),0)),SUMPRODUCT((BCC_MA=$B9)*IFERROR(VALUE(SUBSTITUTE($AC$6:$AC$100,"N","")),0)),SUMPRODUCT((BCC_MA=$B9)*IFERROR(VALUE(SUBSTITUTE($AD$6:$AD$100,"N","")),0)),SUMPRODUCT((BCC_MA=$B9)*IFERROR(VALUE(SUBSTITUTE($AE$6:$AE$100,"N","")),0)),SUMPRODUCT((BCC_MA=$B9)*IFERROR(VALUE(SUBSTITUTE($AF$6:$AF$100,"N","")),0)),SUMPRODUCT((BCC_MA=$B9)*IFERROR(VALUE(SUBSTITUTE($AG$6:$AG$100,"N","")),0)),SUMPRODUCT((BCC_MA=$B9)*IFERROR(VALUE(SUBSTITUTE($AH$6:$AH$100,"N","")),0)),SUMPRODUCT((BCC_MA=$B9)*IFERROR(VALUE(SUBSTITUTE($AI$6:$AI$100,"N","")),0)),SUMPRODUCT((BCC_MA=$B9)*IFERROR(VALUE(SUBSTITUTE($AJ$6:$AJ$100,"N","")),0)),SUMPRODUCT((BCC_MA=$B9)*IFERROR(VALUE(SUBSTITUTE($AK$6:$AK$100,"N","")),0))))</f>
        <v>20</v>
      </c>
    </row>
    <row r="10" customFormat="false" ht="15" hidden="false" customHeight="false" outlineLevel="0" collapsed="false">
      <c r="A10" s="17" t="n">
        <v>5</v>
      </c>
      <c r="B10" s="10" t="s">
        <v>109</v>
      </c>
      <c r="C10" s="17" t="str">
        <f aca="false">IF(B10="","",IFERROR(INDEX(NV_TEN,MATCH(B10,NV_MA,0)),"MÃ KHÔNG CÓ"))</f>
        <v>Trần Phước Hùng</v>
      </c>
      <c r="D10" s="10" t="s">
        <v>66</v>
      </c>
      <c r="E10" s="18"/>
      <c r="F10" s="17" t="n">
        <f aca="false">IF(D10="","",IFERROR(INDEX(NH_GIO,MATCH(D10,NH_TEN,0)),"NHÓM?"))</f>
        <v>8</v>
      </c>
      <c r="G10" s="21"/>
      <c r="H10" s="21" t="n">
        <v>8</v>
      </c>
      <c r="I10" s="21"/>
      <c r="J10" s="21"/>
      <c r="K10" s="21" t="n">
        <v>8</v>
      </c>
      <c r="L10" s="21" t="n">
        <v>8</v>
      </c>
      <c r="M10" s="21" t="n">
        <v>8</v>
      </c>
      <c r="N10" s="21" t="n">
        <v>10</v>
      </c>
      <c r="O10" s="21" t="n">
        <v>8</v>
      </c>
      <c r="P10" s="21" t="n">
        <v>8</v>
      </c>
      <c r="Q10" s="21" t="n">
        <v>10</v>
      </c>
      <c r="R10" s="21" t="n">
        <v>8</v>
      </c>
      <c r="S10" s="21" t="n">
        <v>8</v>
      </c>
      <c r="T10" s="21" t="n">
        <v>8.5</v>
      </c>
      <c r="U10" s="21" t="n">
        <v>8</v>
      </c>
      <c r="V10" s="21" t="n">
        <v>8</v>
      </c>
      <c r="W10" s="21" t="n">
        <v>8</v>
      </c>
      <c r="X10" s="21" t="n">
        <v>8</v>
      </c>
      <c r="Y10" s="21" t="n">
        <v>8</v>
      </c>
      <c r="Z10" s="21" t="n">
        <v>8</v>
      </c>
      <c r="AA10" s="21" t="n">
        <v>8</v>
      </c>
      <c r="AB10" s="21" t="n">
        <v>8</v>
      </c>
      <c r="AC10" s="21" t="n">
        <v>8</v>
      </c>
      <c r="AD10" s="21"/>
      <c r="AE10" s="21"/>
      <c r="AF10" s="21" t="n">
        <v>10</v>
      </c>
      <c r="AG10" s="21" t="n">
        <v>8</v>
      </c>
      <c r="AH10" s="21"/>
      <c r="AI10" s="21" t="n">
        <v>8</v>
      </c>
      <c r="AJ10" s="21" t="n">
        <v>8</v>
      </c>
      <c r="AK10" s="21" t="n">
        <v>8</v>
      </c>
      <c r="AL10" s="22" t="n">
        <f aca="false">IF(B10="","",SUMPRODUCT(IFERROR(VALUE(SUBSTITUTE(G10:AK10,"N","")),0)))</f>
        <v>206.5</v>
      </c>
      <c r="AM10" s="23" t="n">
        <f aca="false">IF(B10="","",AL10/F10)</f>
        <v>25.8125</v>
      </c>
      <c r="AN10" s="23" t="n">
        <f aca="false">IF(B10="","",SUMPRODUCT(ISNUMBER(SEARCH("N",G10:AK10))*IFERROR(VALUE(SUBSTITUTE(G10:AK10,"N","")),0))/F10)</f>
        <v>0</v>
      </c>
      <c r="AO10" s="10"/>
      <c r="AP10" s="10"/>
      <c r="AQ10" s="10"/>
      <c r="AR10" s="24" t="n">
        <f aca="false">IF(B10="",0,MAX(SUMPRODUCT((BCC_MA=$B10)*IFERROR(VALUE(SUBSTITUTE($G$6:$G$100,"N","")),0)),SUMPRODUCT((BCC_MA=$B10)*IFERROR(VALUE(SUBSTITUTE($H$6:$H$100,"N","")),0)),SUMPRODUCT((BCC_MA=$B10)*IFERROR(VALUE(SUBSTITUTE($I$6:$I$100,"N","")),0)),SUMPRODUCT((BCC_MA=$B10)*IFERROR(VALUE(SUBSTITUTE($J$6:$J$100,"N","")),0)),SUMPRODUCT((BCC_MA=$B10)*IFERROR(VALUE(SUBSTITUTE($K$6:$K$100,"N","")),0)),SUMPRODUCT((BCC_MA=$B10)*IFERROR(VALUE(SUBSTITUTE($L$6:$L$100,"N","")),0)),SUMPRODUCT((BCC_MA=$B10)*IFERROR(VALUE(SUBSTITUTE($M$6:$M$100,"N","")),0)),SUMPRODUCT((BCC_MA=$B10)*IFERROR(VALUE(SUBSTITUTE($N$6:$N$100,"N","")),0)),SUMPRODUCT((BCC_MA=$B10)*IFERROR(VALUE(SUBSTITUTE($O$6:$O$100,"N","")),0)),SUMPRODUCT((BCC_MA=$B10)*IFERROR(VALUE(SUBSTITUTE($P$6:$P$100,"N","")),0)),SUMPRODUCT((BCC_MA=$B10)*IFERROR(VALUE(SUBSTITUTE($Q$6:$Q$100,"N","")),0)),SUMPRODUCT((BCC_MA=$B10)*IFERROR(VALUE(SUBSTITUTE($R$6:$R$100,"N","")),0)),SUMPRODUCT((BCC_MA=$B10)*IFERROR(VALUE(SUBSTITUTE($S$6:$S$100,"N","")),0)),SUMPRODUCT((BCC_MA=$B10)*IFERROR(VALUE(SUBSTITUTE($T$6:$T$100,"N","")),0)),SUMPRODUCT((BCC_MA=$B10)*IFERROR(VALUE(SUBSTITUTE($U$6:$U$100,"N","")),0)),SUMPRODUCT((BCC_MA=$B10)*IFERROR(VALUE(SUBSTITUTE($V$6:$V$100,"N","")),0)),SUMPRODUCT((BCC_MA=$B10)*IFERROR(VALUE(SUBSTITUTE($W$6:$W$100,"N","")),0)),SUMPRODUCT((BCC_MA=$B10)*IFERROR(VALUE(SUBSTITUTE($X$6:$X$100,"N","")),0)),SUMPRODUCT((BCC_MA=$B10)*IFERROR(VALUE(SUBSTITUTE($Y$6:$Y$100,"N","")),0)),SUMPRODUCT((BCC_MA=$B10)*IFERROR(VALUE(SUBSTITUTE($Z$6:$Z$100,"N","")),0)),SUMPRODUCT((BCC_MA=$B10)*IFERROR(VALUE(SUBSTITUTE($AA$6:$AA$100,"N","")),0)),SUMPRODUCT((BCC_MA=$B10)*IFERROR(VALUE(SUBSTITUTE($AB$6:$AB$100,"N","")),0)),SUMPRODUCT((BCC_MA=$B10)*IFERROR(VALUE(SUBSTITUTE($AC$6:$AC$100,"N","")),0)),SUMPRODUCT((BCC_MA=$B10)*IFERROR(VALUE(SUBSTITUTE($AD$6:$AD$100,"N","")),0)),SUMPRODUCT((BCC_MA=$B10)*IFERROR(VALUE(SUBSTITUTE($AE$6:$AE$100,"N","")),0)),SUMPRODUCT((BCC_MA=$B10)*IFERROR(VALUE(SUBSTITUTE($AF$6:$AF$100,"N","")),0)),SUMPRODUCT((BCC_MA=$B10)*IFERROR(VALUE(SUBSTITUTE($AG$6:$AG$100,"N","")),0)),SUMPRODUCT((BCC_MA=$B10)*IFERROR(VALUE(SUBSTITUTE($AH$6:$AH$100,"N","")),0)),SUMPRODUCT((BCC_MA=$B10)*IFERROR(VALUE(SUBSTITUTE($AI$6:$AI$100,"N","")),0)),SUMPRODUCT((BCC_MA=$B10)*IFERROR(VALUE(SUBSTITUTE($AJ$6:$AJ$100,"N","")),0)),SUMPRODUCT((BCC_MA=$B10)*IFERROR(VALUE(SUBSTITUTE($AK$6:$AK$100,"N","")),0))))</f>
        <v>10</v>
      </c>
    </row>
    <row r="11" customFormat="false" ht="15" hidden="false" customHeight="false" outlineLevel="0" collapsed="false">
      <c r="A11" s="17" t="n">
        <v>6</v>
      </c>
      <c r="B11" s="10" t="s">
        <v>111</v>
      </c>
      <c r="C11" s="17" t="str">
        <f aca="false">IF(B11="","",IFERROR(INDEX(NV_TEN,MATCH(B11,NV_MA,0)),"MÃ KHÔNG CÓ"))</f>
        <v>Lê Thị Hảo</v>
      </c>
      <c r="D11" s="10" t="s">
        <v>66</v>
      </c>
      <c r="E11" s="18"/>
      <c r="F11" s="17" t="n">
        <f aca="false">IF(D11="","",IFERROR(INDEX(NH_GIO,MATCH(D11,NH_TEN,0)),"NHÓM?"))</f>
        <v>8</v>
      </c>
      <c r="G11" s="21" t="n">
        <v>8</v>
      </c>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t="n">
        <v>10</v>
      </c>
      <c r="AG11" s="21" t="n">
        <v>8</v>
      </c>
      <c r="AH11" s="21" t="n">
        <v>10</v>
      </c>
      <c r="AI11" s="21" t="n">
        <v>8</v>
      </c>
      <c r="AJ11" s="21" t="n">
        <v>8</v>
      </c>
      <c r="AK11" s="21" t="n">
        <v>8</v>
      </c>
      <c r="AL11" s="22" t="n">
        <f aca="false">IF(B11="","",SUMPRODUCT(IFERROR(VALUE(SUBSTITUTE(G11:AK11,"N","")),0)))</f>
        <v>60</v>
      </c>
      <c r="AM11" s="23" t="n">
        <f aca="false">IF(B11="","",AL11/F11)</f>
        <v>7.5</v>
      </c>
      <c r="AN11" s="23" t="n">
        <f aca="false">IF(B11="","",SUMPRODUCT(ISNUMBER(SEARCH("N",G11:AK11))*IFERROR(VALUE(SUBSTITUTE(G11:AK11,"N","")),0))/F11)</f>
        <v>0</v>
      </c>
      <c r="AO11" s="10"/>
      <c r="AP11" s="10"/>
      <c r="AQ11" s="10"/>
      <c r="AR11" s="24" t="n">
        <f aca="false">IF(B11="",0,MAX(SUMPRODUCT((BCC_MA=$B11)*IFERROR(VALUE(SUBSTITUTE($G$6:$G$100,"N","")),0)),SUMPRODUCT((BCC_MA=$B11)*IFERROR(VALUE(SUBSTITUTE($H$6:$H$100,"N","")),0)),SUMPRODUCT((BCC_MA=$B11)*IFERROR(VALUE(SUBSTITUTE($I$6:$I$100,"N","")),0)),SUMPRODUCT((BCC_MA=$B11)*IFERROR(VALUE(SUBSTITUTE($J$6:$J$100,"N","")),0)),SUMPRODUCT((BCC_MA=$B11)*IFERROR(VALUE(SUBSTITUTE($K$6:$K$100,"N","")),0)),SUMPRODUCT((BCC_MA=$B11)*IFERROR(VALUE(SUBSTITUTE($L$6:$L$100,"N","")),0)),SUMPRODUCT((BCC_MA=$B11)*IFERROR(VALUE(SUBSTITUTE($M$6:$M$100,"N","")),0)),SUMPRODUCT((BCC_MA=$B11)*IFERROR(VALUE(SUBSTITUTE($N$6:$N$100,"N","")),0)),SUMPRODUCT((BCC_MA=$B11)*IFERROR(VALUE(SUBSTITUTE($O$6:$O$100,"N","")),0)),SUMPRODUCT((BCC_MA=$B11)*IFERROR(VALUE(SUBSTITUTE($P$6:$P$100,"N","")),0)),SUMPRODUCT((BCC_MA=$B11)*IFERROR(VALUE(SUBSTITUTE($Q$6:$Q$100,"N","")),0)),SUMPRODUCT((BCC_MA=$B11)*IFERROR(VALUE(SUBSTITUTE($R$6:$R$100,"N","")),0)),SUMPRODUCT((BCC_MA=$B11)*IFERROR(VALUE(SUBSTITUTE($S$6:$S$100,"N","")),0)),SUMPRODUCT((BCC_MA=$B11)*IFERROR(VALUE(SUBSTITUTE($T$6:$T$100,"N","")),0)),SUMPRODUCT((BCC_MA=$B11)*IFERROR(VALUE(SUBSTITUTE($U$6:$U$100,"N","")),0)),SUMPRODUCT((BCC_MA=$B11)*IFERROR(VALUE(SUBSTITUTE($V$6:$V$100,"N","")),0)),SUMPRODUCT((BCC_MA=$B11)*IFERROR(VALUE(SUBSTITUTE($W$6:$W$100,"N","")),0)),SUMPRODUCT((BCC_MA=$B11)*IFERROR(VALUE(SUBSTITUTE($X$6:$X$100,"N","")),0)),SUMPRODUCT((BCC_MA=$B11)*IFERROR(VALUE(SUBSTITUTE($Y$6:$Y$100,"N","")),0)),SUMPRODUCT((BCC_MA=$B11)*IFERROR(VALUE(SUBSTITUTE($Z$6:$Z$100,"N","")),0)),SUMPRODUCT((BCC_MA=$B11)*IFERROR(VALUE(SUBSTITUTE($AA$6:$AA$100,"N","")),0)),SUMPRODUCT((BCC_MA=$B11)*IFERROR(VALUE(SUBSTITUTE($AB$6:$AB$100,"N","")),0)),SUMPRODUCT((BCC_MA=$B11)*IFERROR(VALUE(SUBSTITUTE($AC$6:$AC$100,"N","")),0)),SUMPRODUCT((BCC_MA=$B11)*IFERROR(VALUE(SUBSTITUTE($AD$6:$AD$100,"N","")),0)),SUMPRODUCT((BCC_MA=$B11)*IFERROR(VALUE(SUBSTITUTE($AE$6:$AE$100,"N","")),0)),SUMPRODUCT((BCC_MA=$B11)*IFERROR(VALUE(SUBSTITUTE($AF$6:$AF$100,"N","")),0)),SUMPRODUCT((BCC_MA=$B11)*IFERROR(VALUE(SUBSTITUTE($AG$6:$AG$100,"N","")),0)),SUMPRODUCT((BCC_MA=$B11)*IFERROR(VALUE(SUBSTITUTE($AH$6:$AH$100,"N","")),0)),SUMPRODUCT((BCC_MA=$B11)*IFERROR(VALUE(SUBSTITUTE($AI$6:$AI$100,"N","")),0)),SUMPRODUCT((BCC_MA=$B11)*IFERROR(VALUE(SUBSTITUTE($AJ$6:$AJ$100,"N","")),0)),SUMPRODUCT((BCC_MA=$B11)*IFERROR(VALUE(SUBSTITUTE($AK$6:$AK$100,"N","")),0))))</f>
        <v>10</v>
      </c>
    </row>
    <row r="12" customFormat="false" ht="15" hidden="false" customHeight="false" outlineLevel="0" collapsed="false">
      <c r="A12" s="17" t="n">
        <v>7</v>
      </c>
      <c r="B12" s="10" t="s">
        <v>113</v>
      </c>
      <c r="C12" s="17" t="str">
        <f aca="false">IF(B12="","",IFERROR(INDEX(NV_TEN,MATCH(B12,NV_MA,0)),"MÃ KHÔNG CÓ"))</f>
        <v>Dương Thị Huệ</v>
      </c>
      <c r="D12" s="10" t="s">
        <v>66</v>
      </c>
      <c r="E12" s="18"/>
      <c r="F12" s="17" t="n">
        <f aca="false">IF(D12="","",IFERROR(INDEX(NH_GIO,MATCH(D12,NH_TEN,0)),"NHÓM?"))</f>
        <v>8</v>
      </c>
      <c r="G12" s="21" t="n">
        <v>8</v>
      </c>
      <c r="H12" s="21" t="n">
        <v>8</v>
      </c>
      <c r="I12" s="21" t="n">
        <v>8</v>
      </c>
      <c r="J12" s="21"/>
      <c r="K12" s="21" t="n">
        <v>8</v>
      </c>
      <c r="L12" s="21" t="n">
        <v>8</v>
      </c>
      <c r="M12" s="21" t="n">
        <v>8</v>
      </c>
      <c r="N12" s="21" t="n">
        <v>10</v>
      </c>
      <c r="O12" s="21" t="n">
        <v>8</v>
      </c>
      <c r="P12" s="21" t="n">
        <v>8</v>
      </c>
      <c r="Q12" s="21" t="n">
        <v>8</v>
      </c>
      <c r="R12" s="21" t="n">
        <v>8</v>
      </c>
      <c r="S12" s="21" t="n">
        <v>8</v>
      </c>
      <c r="T12" s="21" t="n">
        <v>8.5</v>
      </c>
      <c r="U12" s="21" t="n">
        <v>8</v>
      </c>
      <c r="V12" s="21"/>
      <c r="W12" s="21" t="n">
        <v>8</v>
      </c>
      <c r="X12" s="21"/>
      <c r="Y12" s="21" t="n">
        <v>8</v>
      </c>
      <c r="Z12" s="21" t="n">
        <v>8</v>
      </c>
      <c r="AA12" s="21" t="n">
        <v>8</v>
      </c>
      <c r="AB12" s="21" t="n">
        <v>8</v>
      </c>
      <c r="AC12" s="21" t="n">
        <v>10</v>
      </c>
      <c r="AD12" s="21" t="n">
        <v>12.5</v>
      </c>
      <c r="AE12" s="21" t="n">
        <v>8</v>
      </c>
      <c r="AF12" s="21" t="n">
        <v>10</v>
      </c>
      <c r="AG12" s="21" t="n">
        <v>8</v>
      </c>
      <c r="AH12" s="21" t="n">
        <v>10</v>
      </c>
      <c r="AI12" s="21" t="n">
        <v>8</v>
      </c>
      <c r="AJ12" s="21"/>
      <c r="AK12" s="21"/>
      <c r="AL12" s="22" t="n">
        <f aca="false">IF(B12="","",SUMPRODUCT(IFERROR(VALUE(SUBSTITUTE(G12:AK12,"N","")),0)))</f>
        <v>221</v>
      </c>
      <c r="AM12" s="23" t="n">
        <f aca="false">IF(B12="","",AL12/F12)</f>
        <v>27.625</v>
      </c>
      <c r="AN12" s="23" t="n">
        <f aca="false">IF(B12="","",SUMPRODUCT(ISNUMBER(SEARCH("N",G12:AK12))*IFERROR(VALUE(SUBSTITUTE(G12:AK12,"N","")),0))/F12)</f>
        <v>0</v>
      </c>
      <c r="AO12" s="10"/>
      <c r="AP12" s="10"/>
      <c r="AQ12" s="10"/>
      <c r="AR12" s="24" t="n">
        <f aca="false">IF(B12="",0,MAX(SUMPRODUCT((BCC_MA=$B12)*IFERROR(VALUE(SUBSTITUTE($G$6:$G$100,"N","")),0)),SUMPRODUCT((BCC_MA=$B12)*IFERROR(VALUE(SUBSTITUTE($H$6:$H$100,"N","")),0)),SUMPRODUCT((BCC_MA=$B12)*IFERROR(VALUE(SUBSTITUTE($I$6:$I$100,"N","")),0)),SUMPRODUCT((BCC_MA=$B12)*IFERROR(VALUE(SUBSTITUTE($J$6:$J$100,"N","")),0)),SUMPRODUCT((BCC_MA=$B12)*IFERROR(VALUE(SUBSTITUTE($K$6:$K$100,"N","")),0)),SUMPRODUCT((BCC_MA=$B12)*IFERROR(VALUE(SUBSTITUTE($L$6:$L$100,"N","")),0)),SUMPRODUCT((BCC_MA=$B12)*IFERROR(VALUE(SUBSTITUTE($M$6:$M$100,"N","")),0)),SUMPRODUCT((BCC_MA=$B12)*IFERROR(VALUE(SUBSTITUTE($N$6:$N$100,"N","")),0)),SUMPRODUCT((BCC_MA=$B12)*IFERROR(VALUE(SUBSTITUTE($O$6:$O$100,"N","")),0)),SUMPRODUCT((BCC_MA=$B12)*IFERROR(VALUE(SUBSTITUTE($P$6:$P$100,"N","")),0)),SUMPRODUCT((BCC_MA=$B12)*IFERROR(VALUE(SUBSTITUTE($Q$6:$Q$100,"N","")),0)),SUMPRODUCT((BCC_MA=$B12)*IFERROR(VALUE(SUBSTITUTE($R$6:$R$100,"N","")),0)),SUMPRODUCT((BCC_MA=$B12)*IFERROR(VALUE(SUBSTITUTE($S$6:$S$100,"N","")),0)),SUMPRODUCT((BCC_MA=$B12)*IFERROR(VALUE(SUBSTITUTE($T$6:$T$100,"N","")),0)),SUMPRODUCT((BCC_MA=$B12)*IFERROR(VALUE(SUBSTITUTE($U$6:$U$100,"N","")),0)),SUMPRODUCT((BCC_MA=$B12)*IFERROR(VALUE(SUBSTITUTE($V$6:$V$100,"N","")),0)),SUMPRODUCT((BCC_MA=$B12)*IFERROR(VALUE(SUBSTITUTE($W$6:$W$100,"N","")),0)),SUMPRODUCT((BCC_MA=$B12)*IFERROR(VALUE(SUBSTITUTE($X$6:$X$100,"N","")),0)),SUMPRODUCT((BCC_MA=$B12)*IFERROR(VALUE(SUBSTITUTE($Y$6:$Y$100,"N","")),0)),SUMPRODUCT((BCC_MA=$B12)*IFERROR(VALUE(SUBSTITUTE($Z$6:$Z$100,"N","")),0)),SUMPRODUCT((BCC_MA=$B12)*IFERROR(VALUE(SUBSTITUTE($AA$6:$AA$100,"N","")),0)),SUMPRODUCT((BCC_MA=$B12)*IFERROR(VALUE(SUBSTITUTE($AB$6:$AB$100,"N","")),0)),SUMPRODUCT((BCC_MA=$B12)*IFERROR(VALUE(SUBSTITUTE($AC$6:$AC$100,"N","")),0)),SUMPRODUCT((BCC_MA=$B12)*IFERROR(VALUE(SUBSTITUTE($AD$6:$AD$100,"N","")),0)),SUMPRODUCT((BCC_MA=$B12)*IFERROR(VALUE(SUBSTITUTE($AE$6:$AE$100,"N","")),0)),SUMPRODUCT((BCC_MA=$B12)*IFERROR(VALUE(SUBSTITUTE($AF$6:$AF$100,"N","")),0)),SUMPRODUCT((BCC_MA=$B12)*IFERROR(VALUE(SUBSTITUTE($AG$6:$AG$100,"N","")),0)),SUMPRODUCT((BCC_MA=$B12)*IFERROR(VALUE(SUBSTITUTE($AH$6:$AH$100,"N","")),0)),SUMPRODUCT((BCC_MA=$B12)*IFERROR(VALUE(SUBSTITUTE($AI$6:$AI$100,"N","")),0)),SUMPRODUCT((BCC_MA=$B12)*IFERROR(VALUE(SUBSTITUTE($AJ$6:$AJ$100,"N","")),0)),SUMPRODUCT((BCC_MA=$B12)*IFERROR(VALUE(SUBSTITUTE($AK$6:$AK$100,"N","")),0))))</f>
        <v>12.5</v>
      </c>
    </row>
    <row r="13" customFormat="false" ht="15" hidden="false" customHeight="false" outlineLevel="0" collapsed="false">
      <c r="A13" s="17" t="n">
        <v>8</v>
      </c>
      <c r="B13" s="10" t="s">
        <v>115</v>
      </c>
      <c r="C13" s="17" t="str">
        <f aca="false">IF(B13="","",IFERROR(INDEX(NV_TEN,MATCH(B13,NV_MA,0)),"MÃ KHÔNG CÓ"))</f>
        <v>Lê Thị Như Ý</v>
      </c>
      <c r="D13" s="10" t="s">
        <v>66</v>
      </c>
      <c r="E13" s="18"/>
      <c r="F13" s="17" t="n">
        <f aca="false">IF(D13="","",IFERROR(INDEX(NH_GIO,MATCH(D13,NH_TEN,0)),"NHÓM?"))</f>
        <v>8</v>
      </c>
      <c r="G13" s="21" t="n">
        <v>8</v>
      </c>
      <c r="H13" s="21" t="n">
        <v>8</v>
      </c>
      <c r="I13" s="21" t="n">
        <v>8</v>
      </c>
      <c r="J13" s="21"/>
      <c r="K13" s="21" t="n">
        <v>8</v>
      </c>
      <c r="L13" s="21" t="n">
        <v>8</v>
      </c>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2" t="n">
        <f aca="false">IF(B13="","",SUMPRODUCT(IFERROR(VALUE(SUBSTITUTE(G13:AK13,"N","")),0)))</f>
        <v>40</v>
      </c>
      <c r="AM13" s="23" t="n">
        <f aca="false">IF(B13="","",AL13/F13)</f>
        <v>5</v>
      </c>
      <c r="AN13" s="23" t="n">
        <f aca="false">IF(B13="","",SUMPRODUCT(ISNUMBER(SEARCH("N",G13:AK13))*IFERROR(VALUE(SUBSTITUTE(G13:AK13,"N","")),0))/F13)</f>
        <v>0</v>
      </c>
      <c r="AO13" s="10"/>
      <c r="AP13" s="10"/>
      <c r="AQ13" s="10"/>
      <c r="AR13" s="24" t="n">
        <f aca="false">IF(B13="",0,MAX(SUMPRODUCT((BCC_MA=$B13)*IFERROR(VALUE(SUBSTITUTE($G$6:$G$100,"N","")),0)),SUMPRODUCT((BCC_MA=$B13)*IFERROR(VALUE(SUBSTITUTE($H$6:$H$100,"N","")),0)),SUMPRODUCT((BCC_MA=$B13)*IFERROR(VALUE(SUBSTITUTE($I$6:$I$100,"N","")),0)),SUMPRODUCT((BCC_MA=$B13)*IFERROR(VALUE(SUBSTITUTE($J$6:$J$100,"N","")),0)),SUMPRODUCT((BCC_MA=$B13)*IFERROR(VALUE(SUBSTITUTE($K$6:$K$100,"N","")),0)),SUMPRODUCT((BCC_MA=$B13)*IFERROR(VALUE(SUBSTITUTE($L$6:$L$100,"N","")),0)),SUMPRODUCT((BCC_MA=$B13)*IFERROR(VALUE(SUBSTITUTE($M$6:$M$100,"N","")),0)),SUMPRODUCT((BCC_MA=$B13)*IFERROR(VALUE(SUBSTITUTE($N$6:$N$100,"N","")),0)),SUMPRODUCT((BCC_MA=$B13)*IFERROR(VALUE(SUBSTITUTE($O$6:$O$100,"N","")),0)),SUMPRODUCT((BCC_MA=$B13)*IFERROR(VALUE(SUBSTITUTE($P$6:$P$100,"N","")),0)),SUMPRODUCT((BCC_MA=$B13)*IFERROR(VALUE(SUBSTITUTE($Q$6:$Q$100,"N","")),0)),SUMPRODUCT((BCC_MA=$B13)*IFERROR(VALUE(SUBSTITUTE($R$6:$R$100,"N","")),0)),SUMPRODUCT((BCC_MA=$B13)*IFERROR(VALUE(SUBSTITUTE($S$6:$S$100,"N","")),0)),SUMPRODUCT((BCC_MA=$B13)*IFERROR(VALUE(SUBSTITUTE($T$6:$T$100,"N","")),0)),SUMPRODUCT((BCC_MA=$B13)*IFERROR(VALUE(SUBSTITUTE($U$6:$U$100,"N","")),0)),SUMPRODUCT((BCC_MA=$B13)*IFERROR(VALUE(SUBSTITUTE($V$6:$V$100,"N","")),0)),SUMPRODUCT((BCC_MA=$B13)*IFERROR(VALUE(SUBSTITUTE($W$6:$W$100,"N","")),0)),SUMPRODUCT((BCC_MA=$B13)*IFERROR(VALUE(SUBSTITUTE($X$6:$X$100,"N","")),0)),SUMPRODUCT((BCC_MA=$B13)*IFERROR(VALUE(SUBSTITUTE($Y$6:$Y$100,"N","")),0)),SUMPRODUCT((BCC_MA=$B13)*IFERROR(VALUE(SUBSTITUTE($Z$6:$Z$100,"N","")),0)),SUMPRODUCT((BCC_MA=$B13)*IFERROR(VALUE(SUBSTITUTE($AA$6:$AA$100,"N","")),0)),SUMPRODUCT((BCC_MA=$B13)*IFERROR(VALUE(SUBSTITUTE($AB$6:$AB$100,"N","")),0)),SUMPRODUCT((BCC_MA=$B13)*IFERROR(VALUE(SUBSTITUTE($AC$6:$AC$100,"N","")),0)),SUMPRODUCT((BCC_MA=$B13)*IFERROR(VALUE(SUBSTITUTE($AD$6:$AD$100,"N","")),0)),SUMPRODUCT((BCC_MA=$B13)*IFERROR(VALUE(SUBSTITUTE($AE$6:$AE$100,"N","")),0)),SUMPRODUCT((BCC_MA=$B13)*IFERROR(VALUE(SUBSTITUTE($AF$6:$AF$100,"N","")),0)),SUMPRODUCT((BCC_MA=$B13)*IFERROR(VALUE(SUBSTITUTE($AG$6:$AG$100,"N","")),0)),SUMPRODUCT((BCC_MA=$B13)*IFERROR(VALUE(SUBSTITUTE($AH$6:$AH$100,"N","")),0)),SUMPRODUCT((BCC_MA=$B13)*IFERROR(VALUE(SUBSTITUTE($AI$6:$AI$100,"N","")),0)),SUMPRODUCT((BCC_MA=$B13)*IFERROR(VALUE(SUBSTITUTE($AJ$6:$AJ$100,"N","")),0)),SUMPRODUCT((BCC_MA=$B13)*IFERROR(VALUE(SUBSTITUTE($AK$6:$AK$100,"N","")),0))))</f>
        <v>8</v>
      </c>
    </row>
    <row r="14" customFormat="false" ht="15" hidden="false" customHeight="false" outlineLevel="0" collapsed="false">
      <c r="A14" s="17" t="n">
        <v>9</v>
      </c>
      <c r="B14" s="10" t="s">
        <v>117</v>
      </c>
      <c r="C14" s="17" t="str">
        <f aca="false">IF(B14="","",IFERROR(INDEX(NV_TEN,MATCH(B14,NV_MA,0)),"MÃ KHÔNG CÓ"))</f>
        <v>Nguyễn Thị Thùy Trang</v>
      </c>
      <c r="D14" s="10" t="s">
        <v>66</v>
      </c>
      <c r="E14" s="18"/>
      <c r="F14" s="17" t="n">
        <f aca="false">IF(D14="","",IFERROR(INDEX(NH_GIO,MATCH(D14,NH_TEN,0)),"NHÓM?"))</f>
        <v>8</v>
      </c>
      <c r="G14" s="21" t="n">
        <v>8</v>
      </c>
      <c r="H14" s="21" t="n">
        <v>8</v>
      </c>
      <c r="I14" s="21" t="n">
        <v>8</v>
      </c>
      <c r="J14" s="21"/>
      <c r="K14" s="21" t="n">
        <v>8</v>
      </c>
      <c r="L14" s="21" t="n">
        <v>8</v>
      </c>
      <c r="M14" s="21" t="n">
        <v>8</v>
      </c>
      <c r="N14" s="21" t="n">
        <v>10</v>
      </c>
      <c r="O14" s="21" t="n">
        <v>8</v>
      </c>
      <c r="P14" s="21" t="n">
        <v>8</v>
      </c>
      <c r="Q14" s="21" t="n">
        <v>8</v>
      </c>
      <c r="R14" s="21" t="n">
        <v>8</v>
      </c>
      <c r="S14" s="21" t="n">
        <v>8</v>
      </c>
      <c r="T14" s="21" t="n">
        <v>8.5</v>
      </c>
      <c r="U14" s="21" t="n">
        <v>8</v>
      </c>
      <c r="V14" s="21" t="n">
        <v>8</v>
      </c>
      <c r="W14" s="21" t="n">
        <v>8</v>
      </c>
      <c r="X14" s="21" t="n">
        <v>8</v>
      </c>
      <c r="Y14" s="21" t="n">
        <v>8</v>
      </c>
      <c r="Z14" s="21" t="n">
        <v>8</v>
      </c>
      <c r="AA14" s="21" t="n">
        <v>8</v>
      </c>
      <c r="AB14" s="21" t="n">
        <v>8</v>
      </c>
      <c r="AC14" s="21" t="n">
        <v>10</v>
      </c>
      <c r="AD14" s="21" t="n">
        <v>12.5</v>
      </c>
      <c r="AE14" s="21" t="n">
        <v>8</v>
      </c>
      <c r="AF14" s="21" t="n">
        <v>10</v>
      </c>
      <c r="AG14" s="21" t="n">
        <v>8</v>
      </c>
      <c r="AH14" s="21" t="n">
        <v>10</v>
      </c>
      <c r="AI14" s="21" t="n">
        <v>8</v>
      </c>
      <c r="AJ14" s="21"/>
      <c r="AK14" s="21" t="n">
        <v>8</v>
      </c>
      <c r="AL14" s="22" t="n">
        <f aca="false">IF(B14="","",SUMPRODUCT(IFERROR(VALUE(SUBSTITUTE(G14:AK14,"N","")),0)))</f>
        <v>245</v>
      </c>
      <c r="AM14" s="23" t="n">
        <f aca="false">IF(B14="","",AL14/F14)</f>
        <v>30.625</v>
      </c>
      <c r="AN14" s="23" t="n">
        <f aca="false">IF(B14="","",SUMPRODUCT(ISNUMBER(SEARCH("N",G14:AK14))*IFERROR(VALUE(SUBSTITUTE(G14:AK14,"N","")),0))/F14)</f>
        <v>0</v>
      </c>
      <c r="AO14" s="10"/>
      <c r="AP14" s="10"/>
      <c r="AQ14" s="10"/>
      <c r="AR14" s="24" t="n">
        <f aca="false">IF(B14="",0,MAX(SUMPRODUCT((BCC_MA=$B14)*IFERROR(VALUE(SUBSTITUTE($G$6:$G$100,"N","")),0)),SUMPRODUCT((BCC_MA=$B14)*IFERROR(VALUE(SUBSTITUTE($H$6:$H$100,"N","")),0)),SUMPRODUCT((BCC_MA=$B14)*IFERROR(VALUE(SUBSTITUTE($I$6:$I$100,"N","")),0)),SUMPRODUCT((BCC_MA=$B14)*IFERROR(VALUE(SUBSTITUTE($J$6:$J$100,"N","")),0)),SUMPRODUCT((BCC_MA=$B14)*IFERROR(VALUE(SUBSTITUTE($K$6:$K$100,"N","")),0)),SUMPRODUCT((BCC_MA=$B14)*IFERROR(VALUE(SUBSTITUTE($L$6:$L$100,"N","")),0)),SUMPRODUCT((BCC_MA=$B14)*IFERROR(VALUE(SUBSTITUTE($M$6:$M$100,"N","")),0)),SUMPRODUCT((BCC_MA=$B14)*IFERROR(VALUE(SUBSTITUTE($N$6:$N$100,"N","")),0)),SUMPRODUCT((BCC_MA=$B14)*IFERROR(VALUE(SUBSTITUTE($O$6:$O$100,"N","")),0)),SUMPRODUCT((BCC_MA=$B14)*IFERROR(VALUE(SUBSTITUTE($P$6:$P$100,"N","")),0)),SUMPRODUCT((BCC_MA=$B14)*IFERROR(VALUE(SUBSTITUTE($Q$6:$Q$100,"N","")),0)),SUMPRODUCT((BCC_MA=$B14)*IFERROR(VALUE(SUBSTITUTE($R$6:$R$100,"N","")),0)),SUMPRODUCT((BCC_MA=$B14)*IFERROR(VALUE(SUBSTITUTE($S$6:$S$100,"N","")),0)),SUMPRODUCT((BCC_MA=$B14)*IFERROR(VALUE(SUBSTITUTE($T$6:$T$100,"N","")),0)),SUMPRODUCT((BCC_MA=$B14)*IFERROR(VALUE(SUBSTITUTE($U$6:$U$100,"N","")),0)),SUMPRODUCT((BCC_MA=$B14)*IFERROR(VALUE(SUBSTITUTE($V$6:$V$100,"N","")),0)),SUMPRODUCT((BCC_MA=$B14)*IFERROR(VALUE(SUBSTITUTE($W$6:$W$100,"N","")),0)),SUMPRODUCT((BCC_MA=$B14)*IFERROR(VALUE(SUBSTITUTE($X$6:$X$100,"N","")),0)),SUMPRODUCT((BCC_MA=$B14)*IFERROR(VALUE(SUBSTITUTE($Y$6:$Y$100,"N","")),0)),SUMPRODUCT((BCC_MA=$B14)*IFERROR(VALUE(SUBSTITUTE($Z$6:$Z$100,"N","")),0)),SUMPRODUCT((BCC_MA=$B14)*IFERROR(VALUE(SUBSTITUTE($AA$6:$AA$100,"N","")),0)),SUMPRODUCT((BCC_MA=$B14)*IFERROR(VALUE(SUBSTITUTE($AB$6:$AB$100,"N","")),0)),SUMPRODUCT((BCC_MA=$B14)*IFERROR(VALUE(SUBSTITUTE($AC$6:$AC$100,"N","")),0)),SUMPRODUCT((BCC_MA=$B14)*IFERROR(VALUE(SUBSTITUTE($AD$6:$AD$100,"N","")),0)),SUMPRODUCT((BCC_MA=$B14)*IFERROR(VALUE(SUBSTITUTE($AE$6:$AE$100,"N","")),0)),SUMPRODUCT((BCC_MA=$B14)*IFERROR(VALUE(SUBSTITUTE($AF$6:$AF$100,"N","")),0)),SUMPRODUCT((BCC_MA=$B14)*IFERROR(VALUE(SUBSTITUTE($AG$6:$AG$100,"N","")),0)),SUMPRODUCT((BCC_MA=$B14)*IFERROR(VALUE(SUBSTITUTE($AH$6:$AH$100,"N","")),0)),SUMPRODUCT((BCC_MA=$B14)*IFERROR(VALUE(SUBSTITUTE($AI$6:$AI$100,"N","")),0)),SUMPRODUCT((BCC_MA=$B14)*IFERROR(VALUE(SUBSTITUTE($AJ$6:$AJ$100,"N","")),0)),SUMPRODUCT((BCC_MA=$B14)*IFERROR(VALUE(SUBSTITUTE($AK$6:$AK$100,"N","")),0))))</f>
        <v>12.5</v>
      </c>
    </row>
    <row r="15" customFormat="false" ht="15" hidden="false" customHeight="false" outlineLevel="0" collapsed="false">
      <c r="A15" s="17" t="n">
        <v>10</v>
      </c>
      <c r="B15" s="10" t="s">
        <v>119</v>
      </c>
      <c r="C15" s="17" t="str">
        <f aca="false">IF(B15="","",IFERROR(INDEX(NV_TEN,MATCH(B15,NV_MA,0)),"MÃ KHÔNG CÓ"))</f>
        <v>Võ Thị Ngọc Ánh</v>
      </c>
      <c r="D15" s="10" t="s">
        <v>66</v>
      </c>
      <c r="E15" s="18"/>
      <c r="F15" s="17" t="n">
        <f aca="false">IF(D15="","",IFERROR(INDEX(NH_GIO,MATCH(D15,NH_TEN,0)),"NHÓM?"))</f>
        <v>8</v>
      </c>
      <c r="G15" s="21"/>
      <c r="H15" s="21" t="n">
        <v>8</v>
      </c>
      <c r="I15" s="21" t="n">
        <v>8</v>
      </c>
      <c r="J15" s="21"/>
      <c r="K15" s="21" t="n">
        <v>8</v>
      </c>
      <c r="L15" s="21" t="n">
        <v>8</v>
      </c>
      <c r="M15" s="21" t="n">
        <v>8</v>
      </c>
      <c r="N15" s="21" t="n">
        <v>10</v>
      </c>
      <c r="O15" s="21"/>
      <c r="P15" s="21" t="n">
        <v>8</v>
      </c>
      <c r="Q15" s="21" t="n">
        <v>8</v>
      </c>
      <c r="R15" s="21" t="n">
        <v>8</v>
      </c>
      <c r="S15" s="21" t="n">
        <v>8</v>
      </c>
      <c r="T15" s="21" t="n">
        <v>8.5</v>
      </c>
      <c r="U15" s="21" t="n">
        <v>8</v>
      </c>
      <c r="V15" s="21"/>
      <c r="W15" s="21" t="n">
        <v>8</v>
      </c>
      <c r="X15" s="21" t="n">
        <v>8</v>
      </c>
      <c r="Y15" s="21" t="n">
        <v>8</v>
      </c>
      <c r="Z15" s="21" t="n">
        <v>8</v>
      </c>
      <c r="AA15" s="21" t="n">
        <v>8</v>
      </c>
      <c r="AB15" s="21" t="n">
        <v>8</v>
      </c>
      <c r="AC15" s="21" t="n">
        <v>10</v>
      </c>
      <c r="AD15" s="21" t="n">
        <v>12.5</v>
      </c>
      <c r="AE15" s="21" t="n">
        <v>8</v>
      </c>
      <c r="AF15" s="21" t="n">
        <v>10</v>
      </c>
      <c r="AG15" s="21" t="n">
        <v>4</v>
      </c>
      <c r="AH15" s="21" t="n">
        <v>10</v>
      </c>
      <c r="AI15" s="21" t="n">
        <v>8</v>
      </c>
      <c r="AJ15" s="21" t="n">
        <v>8</v>
      </c>
      <c r="AK15" s="21" t="n">
        <v>8</v>
      </c>
      <c r="AL15" s="22" t="n">
        <f aca="false">IF(B15="","",SUMPRODUCT(IFERROR(VALUE(SUBSTITUTE(G15:AK15,"N","")),0)))</f>
        <v>225</v>
      </c>
      <c r="AM15" s="23" t="n">
        <f aca="false">IF(B15="","",AL15/F15)</f>
        <v>28.125</v>
      </c>
      <c r="AN15" s="23" t="n">
        <f aca="false">IF(B15="","",SUMPRODUCT(ISNUMBER(SEARCH("N",G15:AK15))*IFERROR(VALUE(SUBSTITUTE(G15:AK15,"N","")),0))/F15)</f>
        <v>0</v>
      </c>
      <c r="AO15" s="10"/>
      <c r="AP15" s="10"/>
      <c r="AQ15" s="10"/>
      <c r="AR15" s="24" t="n">
        <f aca="false">IF(B15="",0,MAX(SUMPRODUCT((BCC_MA=$B15)*IFERROR(VALUE(SUBSTITUTE($G$6:$G$100,"N","")),0)),SUMPRODUCT((BCC_MA=$B15)*IFERROR(VALUE(SUBSTITUTE($H$6:$H$100,"N","")),0)),SUMPRODUCT((BCC_MA=$B15)*IFERROR(VALUE(SUBSTITUTE($I$6:$I$100,"N","")),0)),SUMPRODUCT((BCC_MA=$B15)*IFERROR(VALUE(SUBSTITUTE($J$6:$J$100,"N","")),0)),SUMPRODUCT((BCC_MA=$B15)*IFERROR(VALUE(SUBSTITUTE($K$6:$K$100,"N","")),0)),SUMPRODUCT((BCC_MA=$B15)*IFERROR(VALUE(SUBSTITUTE($L$6:$L$100,"N","")),0)),SUMPRODUCT((BCC_MA=$B15)*IFERROR(VALUE(SUBSTITUTE($M$6:$M$100,"N","")),0)),SUMPRODUCT((BCC_MA=$B15)*IFERROR(VALUE(SUBSTITUTE($N$6:$N$100,"N","")),0)),SUMPRODUCT((BCC_MA=$B15)*IFERROR(VALUE(SUBSTITUTE($O$6:$O$100,"N","")),0)),SUMPRODUCT((BCC_MA=$B15)*IFERROR(VALUE(SUBSTITUTE($P$6:$P$100,"N","")),0)),SUMPRODUCT((BCC_MA=$B15)*IFERROR(VALUE(SUBSTITUTE($Q$6:$Q$100,"N","")),0)),SUMPRODUCT((BCC_MA=$B15)*IFERROR(VALUE(SUBSTITUTE($R$6:$R$100,"N","")),0)),SUMPRODUCT((BCC_MA=$B15)*IFERROR(VALUE(SUBSTITUTE($S$6:$S$100,"N","")),0)),SUMPRODUCT((BCC_MA=$B15)*IFERROR(VALUE(SUBSTITUTE($T$6:$T$100,"N","")),0)),SUMPRODUCT((BCC_MA=$B15)*IFERROR(VALUE(SUBSTITUTE($U$6:$U$100,"N","")),0)),SUMPRODUCT((BCC_MA=$B15)*IFERROR(VALUE(SUBSTITUTE($V$6:$V$100,"N","")),0)),SUMPRODUCT((BCC_MA=$B15)*IFERROR(VALUE(SUBSTITUTE($W$6:$W$100,"N","")),0)),SUMPRODUCT((BCC_MA=$B15)*IFERROR(VALUE(SUBSTITUTE($X$6:$X$100,"N","")),0)),SUMPRODUCT((BCC_MA=$B15)*IFERROR(VALUE(SUBSTITUTE($Y$6:$Y$100,"N","")),0)),SUMPRODUCT((BCC_MA=$B15)*IFERROR(VALUE(SUBSTITUTE($Z$6:$Z$100,"N","")),0)),SUMPRODUCT((BCC_MA=$B15)*IFERROR(VALUE(SUBSTITUTE($AA$6:$AA$100,"N","")),0)),SUMPRODUCT((BCC_MA=$B15)*IFERROR(VALUE(SUBSTITUTE($AB$6:$AB$100,"N","")),0)),SUMPRODUCT((BCC_MA=$B15)*IFERROR(VALUE(SUBSTITUTE($AC$6:$AC$100,"N","")),0)),SUMPRODUCT((BCC_MA=$B15)*IFERROR(VALUE(SUBSTITUTE($AD$6:$AD$100,"N","")),0)),SUMPRODUCT((BCC_MA=$B15)*IFERROR(VALUE(SUBSTITUTE($AE$6:$AE$100,"N","")),0)),SUMPRODUCT((BCC_MA=$B15)*IFERROR(VALUE(SUBSTITUTE($AF$6:$AF$100,"N","")),0)),SUMPRODUCT((BCC_MA=$B15)*IFERROR(VALUE(SUBSTITUTE($AG$6:$AG$100,"N","")),0)),SUMPRODUCT((BCC_MA=$B15)*IFERROR(VALUE(SUBSTITUTE($AH$6:$AH$100,"N","")),0)),SUMPRODUCT((BCC_MA=$B15)*IFERROR(VALUE(SUBSTITUTE($AI$6:$AI$100,"N","")),0)),SUMPRODUCT((BCC_MA=$B15)*IFERROR(VALUE(SUBSTITUTE($AJ$6:$AJ$100,"N","")),0)),SUMPRODUCT((BCC_MA=$B15)*IFERROR(VALUE(SUBSTITUTE($AK$6:$AK$100,"N","")),0))))</f>
        <v>12.5</v>
      </c>
    </row>
    <row r="16" customFormat="false" ht="15" hidden="false" customHeight="false" outlineLevel="0" collapsed="false">
      <c r="A16" s="17" t="n">
        <v>11</v>
      </c>
      <c r="B16" s="10" t="s">
        <v>121</v>
      </c>
      <c r="C16" s="17" t="str">
        <f aca="false">IF(B16="","",IFERROR(INDEX(NV_TEN,MATCH(B16,NV_MA,0)),"MÃ KHÔNG CÓ"))</f>
        <v>Lê Thị Hiên</v>
      </c>
      <c r="D16" s="10" t="s">
        <v>66</v>
      </c>
      <c r="E16" s="18"/>
      <c r="F16" s="17" t="n">
        <f aca="false">IF(D16="","",IFERROR(INDEX(NH_GIO,MATCH(D16,NH_TEN,0)),"NHÓM?"))</f>
        <v>8</v>
      </c>
      <c r="G16" s="21" t="n">
        <v>8</v>
      </c>
      <c r="H16" s="21"/>
      <c r="I16" s="21" t="n">
        <v>8</v>
      </c>
      <c r="J16" s="21"/>
      <c r="K16" s="21" t="n">
        <v>8</v>
      </c>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2" t="n">
        <f aca="false">IF(B16="","",SUMPRODUCT(IFERROR(VALUE(SUBSTITUTE(G16:AK16,"N","")),0)))</f>
        <v>24</v>
      </c>
      <c r="AM16" s="23" t="n">
        <f aca="false">IF(B16="","",AL16/F16)</f>
        <v>3</v>
      </c>
      <c r="AN16" s="23" t="n">
        <f aca="false">IF(B16="","",SUMPRODUCT(ISNUMBER(SEARCH("N",G16:AK16))*IFERROR(VALUE(SUBSTITUTE(G16:AK16,"N","")),0))/F16)</f>
        <v>0</v>
      </c>
      <c r="AO16" s="10"/>
      <c r="AP16" s="10"/>
      <c r="AQ16" s="10"/>
      <c r="AR16" s="24" t="n">
        <f aca="false">IF(B16="",0,MAX(SUMPRODUCT((BCC_MA=$B16)*IFERROR(VALUE(SUBSTITUTE($G$6:$G$100,"N","")),0)),SUMPRODUCT((BCC_MA=$B16)*IFERROR(VALUE(SUBSTITUTE($H$6:$H$100,"N","")),0)),SUMPRODUCT((BCC_MA=$B16)*IFERROR(VALUE(SUBSTITUTE($I$6:$I$100,"N","")),0)),SUMPRODUCT((BCC_MA=$B16)*IFERROR(VALUE(SUBSTITUTE($J$6:$J$100,"N","")),0)),SUMPRODUCT((BCC_MA=$B16)*IFERROR(VALUE(SUBSTITUTE($K$6:$K$100,"N","")),0)),SUMPRODUCT((BCC_MA=$B16)*IFERROR(VALUE(SUBSTITUTE($L$6:$L$100,"N","")),0)),SUMPRODUCT((BCC_MA=$B16)*IFERROR(VALUE(SUBSTITUTE($M$6:$M$100,"N","")),0)),SUMPRODUCT((BCC_MA=$B16)*IFERROR(VALUE(SUBSTITUTE($N$6:$N$100,"N","")),0)),SUMPRODUCT((BCC_MA=$B16)*IFERROR(VALUE(SUBSTITUTE($O$6:$O$100,"N","")),0)),SUMPRODUCT((BCC_MA=$B16)*IFERROR(VALUE(SUBSTITUTE($P$6:$P$100,"N","")),0)),SUMPRODUCT((BCC_MA=$B16)*IFERROR(VALUE(SUBSTITUTE($Q$6:$Q$100,"N","")),0)),SUMPRODUCT((BCC_MA=$B16)*IFERROR(VALUE(SUBSTITUTE($R$6:$R$100,"N","")),0)),SUMPRODUCT((BCC_MA=$B16)*IFERROR(VALUE(SUBSTITUTE($S$6:$S$100,"N","")),0)),SUMPRODUCT((BCC_MA=$B16)*IFERROR(VALUE(SUBSTITUTE($T$6:$T$100,"N","")),0)),SUMPRODUCT((BCC_MA=$B16)*IFERROR(VALUE(SUBSTITUTE($U$6:$U$100,"N","")),0)),SUMPRODUCT((BCC_MA=$B16)*IFERROR(VALUE(SUBSTITUTE($V$6:$V$100,"N","")),0)),SUMPRODUCT((BCC_MA=$B16)*IFERROR(VALUE(SUBSTITUTE($W$6:$W$100,"N","")),0)),SUMPRODUCT((BCC_MA=$B16)*IFERROR(VALUE(SUBSTITUTE($X$6:$X$100,"N","")),0)),SUMPRODUCT((BCC_MA=$B16)*IFERROR(VALUE(SUBSTITUTE($Y$6:$Y$100,"N","")),0)),SUMPRODUCT((BCC_MA=$B16)*IFERROR(VALUE(SUBSTITUTE($Z$6:$Z$100,"N","")),0)),SUMPRODUCT((BCC_MA=$B16)*IFERROR(VALUE(SUBSTITUTE($AA$6:$AA$100,"N","")),0)),SUMPRODUCT((BCC_MA=$B16)*IFERROR(VALUE(SUBSTITUTE($AB$6:$AB$100,"N","")),0)),SUMPRODUCT((BCC_MA=$B16)*IFERROR(VALUE(SUBSTITUTE($AC$6:$AC$100,"N","")),0)),SUMPRODUCT((BCC_MA=$B16)*IFERROR(VALUE(SUBSTITUTE($AD$6:$AD$100,"N","")),0)),SUMPRODUCT((BCC_MA=$B16)*IFERROR(VALUE(SUBSTITUTE($AE$6:$AE$100,"N","")),0)),SUMPRODUCT((BCC_MA=$B16)*IFERROR(VALUE(SUBSTITUTE($AF$6:$AF$100,"N","")),0)),SUMPRODUCT((BCC_MA=$B16)*IFERROR(VALUE(SUBSTITUTE($AG$6:$AG$100,"N","")),0)),SUMPRODUCT((BCC_MA=$B16)*IFERROR(VALUE(SUBSTITUTE($AH$6:$AH$100,"N","")),0)),SUMPRODUCT((BCC_MA=$B16)*IFERROR(VALUE(SUBSTITUTE($AI$6:$AI$100,"N","")),0)),SUMPRODUCT((BCC_MA=$B16)*IFERROR(VALUE(SUBSTITUTE($AJ$6:$AJ$100,"N","")),0)),SUMPRODUCT((BCC_MA=$B16)*IFERROR(VALUE(SUBSTITUTE($AK$6:$AK$100,"N","")),0))))</f>
        <v>8</v>
      </c>
    </row>
    <row r="17" customFormat="false" ht="15" hidden="false" customHeight="false" outlineLevel="0" collapsed="false">
      <c r="A17" s="17" t="n">
        <v>12</v>
      </c>
      <c r="B17" s="10" t="s">
        <v>123</v>
      </c>
      <c r="C17" s="17" t="str">
        <f aca="false">IF(B17="","",IFERROR(INDEX(NV_TEN,MATCH(B17,NV_MA,0)),"MÃ KHÔNG CÓ"))</f>
        <v>Phan Thị Như Nghĩa</v>
      </c>
      <c r="D17" s="10" t="s">
        <v>66</v>
      </c>
      <c r="E17" s="18"/>
      <c r="F17" s="17" t="n">
        <f aca="false">IF(D17="","",IFERROR(INDEX(NH_GIO,MATCH(D17,NH_TEN,0)),"NHÓM?"))</f>
        <v>8</v>
      </c>
      <c r="G17" s="21" t="n">
        <v>8</v>
      </c>
      <c r="H17" s="21" t="n">
        <v>8</v>
      </c>
      <c r="I17" s="21" t="n">
        <v>8</v>
      </c>
      <c r="J17" s="21"/>
      <c r="K17" s="21" t="n">
        <v>4</v>
      </c>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2" t="n">
        <f aca="false">IF(B17="","",SUMPRODUCT(IFERROR(VALUE(SUBSTITUTE(G17:AK17,"N","")),0)))</f>
        <v>28</v>
      </c>
      <c r="AM17" s="23" t="n">
        <f aca="false">IF(B17="","",AL17/F17)</f>
        <v>3.5</v>
      </c>
      <c r="AN17" s="23" t="n">
        <f aca="false">IF(B17="","",SUMPRODUCT(ISNUMBER(SEARCH("N",G17:AK17))*IFERROR(VALUE(SUBSTITUTE(G17:AK17,"N","")),0))/F17)</f>
        <v>0</v>
      </c>
      <c r="AO17" s="10"/>
      <c r="AP17" s="10"/>
      <c r="AQ17" s="10"/>
      <c r="AR17" s="24" t="n">
        <f aca="false">IF(B17="",0,MAX(SUMPRODUCT((BCC_MA=$B17)*IFERROR(VALUE(SUBSTITUTE($G$6:$G$100,"N","")),0)),SUMPRODUCT((BCC_MA=$B17)*IFERROR(VALUE(SUBSTITUTE($H$6:$H$100,"N","")),0)),SUMPRODUCT((BCC_MA=$B17)*IFERROR(VALUE(SUBSTITUTE($I$6:$I$100,"N","")),0)),SUMPRODUCT((BCC_MA=$B17)*IFERROR(VALUE(SUBSTITUTE($J$6:$J$100,"N","")),0)),SUMPRODUCT((BCC_MA=$B17)*IFERROR(VALUE(SUBSTITUTE($K$6:$K$100,"N","")),0)),SUMPRODUCT((BCC_MA=$B17)*IFERROR(VALUE(SUBSTITUTE($L$6:$L$100,"N","")),0)),SUMPRODUCT((BCC_MA=$B17)*IFERROR(VALUE(SUBSTITUTE($M$6:$M$100,"N","")),0)),SUMPRODUCT((BCC_MA=$B17)*IFERROR(VALUE(SUBSTITUTE($N$6:$N$100,"N","")),0)),SUMPRODUCT((BCC_MA=$B17)*IFERROR(VALUE(SUBSTITUTE($O$6:$O$100,"N","")),0)),SUMPRODUCT((BCC_MA=$B17)*IFERROR(VALUE(SUBSTITUTE($P$6:$P$100,"N","")),0)),SUMPRODUCT((BCC_MA=$B17)*IFERROR(VALUE(SUBSTITUTE($Q$6:$Q$100,"N","")),0)),SUMPRODUCT((BCC_MA=$B17)*IFERROR(VALUE(SUBSTITUTE($R$6:$R$100,"N","")),0)),SUMPRODUCT((BCC_MA=$B17)*IFERROR(VALUE(SUBSTITUTE($S$6:$S$100,"N","")),0)),SUMPRODUCT((BCC_MA=$B17)*IFERROR(VALUE(SUBSTITUTE($T$6:$T$100,"N","")),0)),SUMPRODUCT((BCC_MA=$B17)*IFERROR(VALUE(SUBSTITUTE($U$6:$U$100,"N","")),0)),SUMPRODUCT((BCC_MA=$B17)*IFERROR(VALUE(SUBSTITUTE($V$6:$V$100,"N","")),0)),SUMPRODUCT((BCC_MA=$B17)*IFERROR(VALUE(SUBSTITUTE($W$6:$W$100,"N","")),0)),SUMPRODUCT((BCC_MA=$B17)*IFERROR(VALUE(SUBSTITUTE($X$6:$X$100,"N","")),0)),SUMPRODUCT((BCC_MA=$B17)*IFERROR(VALUE(SUBSTITUTE($Y$6:$Y$100,"N","")),0)),SUMPRODUCT((BCC_MA=$B17)*IFERROR(VALUE(SUBSTITUTE($Z$6:$Z$100,"N","")),0)),SUMPRODUCT((BCC_MA=$B17)*IFERROR(VALUE(SUBSTITUTE($AA$6:$AA$100,"N","")),0)),SUMPRODUCT((BCC_MA=$B17)*IFERROR(VALUE(SUBSTITUTE($AB$6:$AB$100,"N","")),0)),SUMPRODUCT((BCC_MA=$B17)*IFERROR(VALUE(SUBSTITUTE($AC$6:$AC$100,"N","")),0)),SUMPRODUCT((BCC_MA=$B17)*IFERROR(VALUE(SUBSTITUTE($AD$6:$AD$100,"N","")),0)),SUMPRODUCT((BCC_MA=$B17)*IFERROR(VALUE(SUBSTITUTE($AE$6:$AE$100,"N","")),0)),SUMPRODUCT((BCC_MA=$B17)*IFERROR(VALUE(SUBSTITUTE($AF$6:$AF$100,"N","")),0)),SUMPRODUCT((BCC_MA=$B17)*IFERROR(VALUE(SUBSTITUTE($AG$6:$AG$100,"N","")),0)),SUMPRODUCT((BCC_MA=$B17)*IFERROR(VALUE(SUBSTITUTE($AH$6:$AH$100,"N","")),0)),SUMPRODUCT((BCC_MA=$B17)*IFERROR(VALUE(SUBSTITUTE($AI$6:$AI$100,"N","")),0)),SUMPRODUCT((BCC_MA=$B17)*IFERROR(VALUE(SUBSTITUTE($AJ$6:$AJ$100,"N","")),0)),SUMPRODUCT((BCC_MA=$B17)*IFERROR(VALUE(SUBSTITUTE($AK$6:$AK$100,"N","")),0))))</f>
        <v>8</v>
      </c>
    </row>
    <row r="18" customFormat="false" ht="15" hidden="false" customHeight="false" outlineLevel="0" collapsed="false">
      <c r="A18" s="17" t="n">
        <v>13</v>
      </c>
      <c r="B18" s="10" t="s">
        <v>125</v>
      </c>
      <c r="C18" s="17" t="str">
        <f aca="false">IF(B18="","",IFERROR(INDEX(NV_TEN,MATCH(B18,NV_MA,0)),"MÃ KHÔNG CÓ"))</f>
        <v>Nguyễn Quyền</v>
      </c>
      <c r="D18" s="10" t="s">
        <v>66</v>
      </c>
      <c r="E18" s="18"/>
      <c r="F18" s="17" t="n">
        <f aca="false">IF(D18="","",IFERROR(INDEX(NH_GIO,MATCH(D18,NH_TEN,0)),"NHÓM?"))</f>
        <v>8</v>
      </c>
      <c r="G18" s="21" t="n">
        <v>8</v>
      </c>
      <c r="H18" s="21" t="n">
        <v>8</v>
      </c>
      <c r="I18" s="21" t="n">
        <v>8</v>
      </c>
      <c r="J18" s="21"/>
      <c r="K18" s="21" t="n">
        <v>8</v>
      </c>
      <c r="L18" s="21" t="n">
        <v>8</v>
      </c>
      <c r="M18" s="21"/>
      <c r="N18" s="21"/>
      <c r="O18" s="21"/>
      <c r="P18" s="21" t="n">
        <v>8</v>
      </c>
      <c r="Q18" s="21" t="n">
        <v>8</v>
      </c>
      <c r="R18" s="21" t="n">
        <v>8</v>
      </c>
      <c r="S18" s="21" t="n">
        <v>8</v>
      </c>
      <c r="T18" s="21" t="n">
        <v>8</v>
      </c>
      <c r="U18" s="21" t="n">
        <v>8</v>
      </c>
      <c r="V18" s="21" t="n">
        <v>8</v>
      </c>
      <c r="W18" s="21"/>
      <c r="X18" s="21" t="n">
        <v>8</v>
      </c>
      <c r="Y18" s="21" t="n">
        <v>8</v>
      </c>
      <c r="Z18" s="21"/>
      <c r="AA18" s="21"/>
      <c r="AB18" s="21"/>
      <c r="AC18" s="21"/>
      <c r="AD18" s="21"/>
      <c r="AE18" s="21"/>
      <c r="AF18" s="21"/>
      <c r="AG18" s="21"/>
      <c r="AH18" s="21"/>
      <c r="AI18" s="21"/>
      <c r="AJ18" s="21"/>
      <c r="AK18" s="21"/>
      <c r="AL18" s="22" t="n">
        <f aca="false">IF(B18="","",SUMPRODUCT(IFERROR(VALUE(SUBSTITUTE(G18:AK18,"N","")),0)))</f>
        <v>112</v>
      </c>
      <c r="AM18" s="23" t="n">
        <f aca="false">IF(B18="","",AL18/F18)</f>
        <v>14</v>
      </c>
      <c r="AN18" s="23" t="n">
        <f aca="false">IF(B18="","",SUMPRODUCT(ISNUMBER(SEARCH("N",G18:AK18))*IFERROR(VALUE(SUBSTITUTE(G18:AK18,"N","")),0))/F18)</f>
        <v>0</v>
      </c>
      <c r="AO18" s="10"/>
      <c r="AP18" s="10"/>
      <c r="AQ18" s="10"/>
      <c r="AR18" s="24" t="n">
        <f aca="false">IF(B18="",0,MAX(SUMPRODUCT((BCC_MA=$B18)*IFERROR(VALUE(SUBSTITUTE($G$6:$G$100,"N","")),0)),SUMPRODUCT((BCC_MA=$B18)*IFERROR(VALUE(SUBSTITUTE($H$6:$H$100,"N","")),0)),SUMPRODUCT((BCC_MA=$B18)*IFERROR(VALUE(SUBSTITUTE($I$6:$I$100,"N","")),0)),SUMPRODUCT((BCC_MA=$B18)*IFERROR(VALUE(SUBSTITUTE($J$6:$J$100,"N","")),0)),SUMPRODUCT((BCC_MA=$B18)*IFERROR(VALUE(SUBSTITUTE($K$6:$K$100,"N","")),0)),SUMPRODUCT((BCC_MA=$B18)*IFERROR(VALUE(SUBSTITUTE($L$6:$L$100,"N","")),0)),SUMPRODUCT((BCC_MA=$B18)*IFERROR(VALUE(SUBSTITUTE($M$6:$M$100,"N","")),0)),SUMPRODUCT((BCC_MA=$B18)*IFERROR(VALUE(SUBSTITUTE($N$6:$N$100,"N","")),0)),SUMPRODUCT((BCC_MA=$B18)*IFERROR(VALUE(SUBSTITUTE($O$6:$O$100,"N","")),0)),SUMPRODUCT((BCC_MA=$B18)*IFERROR(VALUE(SUBSTITUTE($P$6:$P$100,"N","")),0)),SUMPRODUCT((BCC_MA=$B18)*IFERROR(VALUE(SUBSTITUTE($Q$6:$Q$100,"N","")),0)),SUMPRODUCT((BCC_MA=$B18)*IFERROR(VALUE(SUBSTITUTE($R$6:$R$100,"N","")),0)),SUMPRODUCT((BCC_MA=$B18)*IFERROR(VALUE(SUBSTITUTE($S$6:$S$100,"N","")),0)),SUMPRODUCT((BCC_MA=$B18)*IFERROR(VALUE(SUBSTITUTE($T$6:$T$100,"N","")),0)),SUMPRODUCT((BCC_MA=$B18)*IFERROR(VALUE(SUBSTITUTE($U$6:$U$100,"N","")),0)),SUMPRODUCT((BCC_MA=$B18)*IFERROR(VALUE(SUBSTITUTE($V$6:$V$100,"N","")),0)),SUMPRODUCT((BCC_MA=$B18)*IFERROR(VALUE(SUBSTITUTE($W$6:$W$100,"N","")),0)),SUMPRODUCT((BCC_MA=$B18)*IFERROR(VALUE(SUBSTITUTE($X$6:$X$100,"N","")),0)),SUMPRODUCT((BCC_MA=$B18)*IFERROR(VALUE(SUBSTITUTE($Y$6:$Y$100,"N","")),0)),SUMPRODUCT((BCC_MA=$B18)*IFERROR(VALUE(SUBSTITUTE($Z$6:$Z$100,"N","")),0)),SUMPRODUCT((BCC_MA=$B18)*IFERROR(VALUE(SUBSTITUTE($AA$6:$AA$100,"N","")),0)),SUMPRODUCT((BCC_MA=$B18)*IFERROR(VALUE(SUBSTITUTE($AB$6:$AB$100,"N","")),0)),SUMPRODUCT((BCC_MA=$B18)*IFERROR(VALUE(SUBSTITUTE($AC$6:$AC$100,"N","")),0)),SUMPRODUCT((BCC_MA=$B18)*IFERROR(VALUE(SUBSTITUTE($AD$6:$AD$100,"N","")),0)),SUMPRODUCT((BCC_MA=$B18)*IFERROR(VALUE(SUBSTITUTE($AE$6:$AE$100,"N","")),0)),SUMPRODUCT((BCC_MA=$B18)*IFERROR(VALUE(SUBSTITUTE($AF$6:$AF$100,"N","")),0)),SUMPRODUCT((BCC_MA=$B18)*IFERROR(VALUE(SUBSTITUTE($AG$6:$AG$100,"N","")),0)),SUMPRODUCT((BCC_MA=$B18)*IFERROR(VALUE(SUBSTITUTE($AH$6:$AH$100,"N","")),0)),SUMPRODUCT((BCC_MA=$B18)*IFERROR(VALUE(SUBSTITUTE($AI$6:$AI$100,"N","")),0)),SUMPRODUCT((BCC_MA=$B18)*IFERROR(VALUE(SUBSTITUTE($AJ$6:$AJ$100,"N","")),0)),SUMPRODUCT((BCC_MA=$B18)*IFERROR(VALUE(SUBSTITUTE($AK$6:$AK$100,"N","")),0))))</f>
        <v>8</v>
      </c>
    </row>
    <row r="19" customFormat="false" ht="15" hidden="false" customHeight="false" outlineLevel="0" collapsed="false">
      <c r="A19" s="17" t="n">
        <v>14</v>
      </c>
      <c r="B19" s="10" t="s">
        <v>127</v>
      </c>
      <c r="C19" s="17" t="str">
        <f aca="false">IF(B19="","",IFERROR(INDEX(NV_TEN,MATCH(B19,NV_MA,0)),"MÃ KHÔNG CÓ"))</f>
        <v>Lê Quốc Vượng</v>
      </c>
      <c r="D19" s="10" t="s">
        <v>66</v>
      </c>
      <c r="E19" s="18"/>
      <c r="F19" s="17" t="n">
        <f aca="false">IF(D19="","",IFERROR(INDEX(NH_GIO,MATCH(D19,NH_TEN,0)),"NHÓM?"))</f>
        <v>8</v>
      </c>
      <c r="G19" s="21"/>
      <c r="H19" s="21" t="n">
        <v>8</v>
      </c>
      <c r="I19" s="21" t="n">
        <v>8</v>
      </c>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2" t="n">
        <f aca="false">IF(B19="","",SUMPRODUCT(IFERROR(VALUE(SUBSTITUTE(G19:AK19,"N","")),0)))</f>
        <v>16</v>
      </c>
      <c r="AM19" s="23" t="n">
        <f aca="false">IF(B19="","",AL19/F19)</f>
        <v>2</v>
      </c>
      <c r="AN19" s="23" t="n">
        <f aca="false">IF(B19="","",SUMPRODUCT(ISNUMBER(SEARCH("N",G19:AK19))*IFERROR(VALUE(SUBSTITUTE(G19:AK19,"N","")),0))/F19)</f>
        <v>0</v>
      </c>
      <c r="AO19" s="10"/>
      <c r="AP19" s="10"/>
      <c r="AQ19" s="10"/>
      <c r="AR19" s="24" t="n">
        <f aca="false">IF(B19="",0,MAX(SUMPRODUCT((BCC_MA=$B19)*IFERROR(VALUE(SUBSTITUTE($G$6:$G$100,"N","")),0)),SUMPRODUCT((BCC_MA=$B19)*IFERROR(VALUE(SUBSTITUTE($H$6:$H$100,"N","")),0)),SUMPRODUCT((BCC_MA=$B19)*IFERROR(VALUE(SUBSTITUTE($I$6:$I$100,"N","")),0)),SUMPRODUCT((BCC_MA=$B19)*IFERROR(VALUE(SUBSTITUTE($J$6:$J$100,"N","")),0)),SUMPRODUCT((BCC_MA=$B19)*IFERROR(VALUE(SUBSTITUTE($K$6:$K$100,"N","")),0)),SUMPRODUCT((BCC_MA=$B19)*IFERROR(VALUE(SUBSTITUTE($L$6:$L$100,"N","")),0)),SUMPRODUCT((BCC_MA=$B19)*IFERROR(VALUE(SUBSTITUTE($M$6:$M$100,"N","")),0)),SUMPRODUCT((BCC_MA=$B19)*IFERROR(VALUE(SUBSTITUTE($N$6:$N$100,"N","")),0)),SUMPRODUCT((BCC_MA=$B19)*IFERROR(VALUE(SUBSTITUTE($O$6:$O$100,"N","")),0)),SUMPRODUCT((BCC_MA=$B19)*IFERROR(VALUE(SUBSTITUTE($P$6:$P$100,"N","")),0)),SUMPRODUCT((BCC_MA=$B19)*IFERROR(VALUE(SUBSTITUTE($Q$6:$Q$100,"N","")),0)),SUMPRODUCT((BCC_MA=$B19)*IFERROR(VALUE(SUBSTITUTE($R$6:$R$100,"N","")),0)),SUMPRODUCT((BCC_MA=$B19)*IFERROR(VALUE(SUBSTITUTE($S$6:$S$100,"N","")),0)),SUMPRODUCT((BCC_MA=$B19)*IFERROR(VALUE(SUBSTITUTE($T$6:$T$100,"N","")),0)),SUMPRODUCT((BCC_MA=$B19)*IFERROR(VALUE(SUBSTITUTE($U$6:$U$100,"N","")),0)),SUMPRODUCT((BCC_MA=$B19)*IFERROR(VALUE(SUBSTITUTE($V$6:$V$100,"N","")),0)),SUMPRODUCT((BCC_MA=$B19)*IFERROR(VALUE(SUBSTITUTE($W$6:$W$100,"N","")),0)),SUMPRODUCT((BCC_MA=$B19)*IFERROR(VALUE(SUBSTITUTE($X$6:$X$100,"N","")),0)),SUMPRODUCT((BCC_MA=$B19)*IFERROR(VALUE(SUBSTITUTE($Y$6:$Y$100,"N","")),0)),SUMPRODUCT((BCC_MA=$B19)*IFERROR(VALUE(SUBSTITUTE($Z$6:$Z$100,"N","")),0)),SUMPRODUCT((BCC_MA=$B19)*IFERROR(VALUE(SUBSTITUTE($AA$6:$AA$100,"N","")),0)),SUMPRODUCT((BCC_MA=$B19)*IFERROR(VALUE(SUBSTITUTE($AB$6:$AB$100,"N","")),0)),SUMPRODUCT((BCC_MA=$B19)*IFERROR(VALUE(SUBSTITUTE($AC$6:$AC$100,"N","")),0)),SUMPRODUCT((BCC_MA=$B19)*IFERROR(VALUE(SUBSTITUTE($AD$6:$AD$100,"N","")),0)),SUMPRODUCT((BCC_MA=$B19)*IFERROR(VALUE(SUBSTITUTE($AE$6:$AE$100,"N","")),0)),SUMPRODUCT((BCC_MA=$B19)*IFERROR(VALUE(SUBSTITUTE($AF$6:$AF$100,"N","")),0)),SUMPRODUCT((BCC_MA=$B19)*IFERROR(VALUE(SUBSTITUTE($AG$6:$AG$100,"N","")),0)),SUMPRODUCT((BCC_MA=$B19)*IFERROR(VALUE(SUBSTITUTE($AH$6:$AH$100,"N","")),0)),SUMPRODUCT((BCC_MA=$B19)*IFERROR(VALUE(SUBSTITUTE($AI$6:$AI$100,"N","")),0)),SUMPRODUCT((BCC_MA=$B19)*IFERROR(VALUE(SUBSTITUTE($AJ$6:$AJ$100,"N","")),0)),SUMPRODUCT((BCC_MA=$B19)*IFERROR(VALUE(SUBSTITUTE($AK$6:$AK$100,"N","")),0))))</f>
        <v>8</v>
      </c>
    </row>
    <row r="20" customFormat="false" ht="15" hidden="false" customHeight="false" outlineLevel="0" collapsed="false">
      <c r="A20" s="17" t="n">
        <v>15</v>
      </c>
      <c r="B20" s="10" t="s">
        <v>129</v>
      </c>
      <c r="C20" s="17" t="str">
        <f aca="false">IF(B20="","",IFERROR(INDEX(NV_TEN,MATCH(B20,NV_MA,0)),"MÃ KHÔNG CÓ"))</f>
        <v>Ngô Quý Anh Tuấn</v>
      </c>
      <c r="D20" s="10" t="s">
        <v>66</v>
      </c>
      <c r="E20" s="18"/>
      <c r="F20" s="17" t="n">
        <f aca="false">IF(D20="","",IFERROR(INDEX(NH_GIO,MATCH(D20,NH_TEN,0)),"NHÓM?"))</f>
        <v>8</v>
      </c>
      <c r="G20" s="21" t="n">
        <v>8</v>
      </c>
      <c r="H20" s="21" t="n">
        <v>8</v>
      </c>
      <c r="I20" s="21" t="n">
        <v>8</v>
      </c>
      <c r="J20" s="21" t="n">
        <v>8</v>
      </c>
      <c r="K20" s="21" t="n">
        <v>8</v>
      </c>
      <c r="L20" s="21" t="n">
        <v>8</v>
      </c>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2" t="n">
        <f aca="false">IF(B20="","",SUMPRODUCT(IFERROR(VALUE(SUBSTITUTE(G20:AK20,"N","")),0)))</f>
        <v>48</v>
      </c>
      <c r="AM20" s="23" t="n">
        <f aca="false">IF(B20="","",AL20/F20)</f>
        <v>6</v>
      </c>
      <c r="AN20" s="23" t="n">
        <f aca="false">IF(B20="","",SUMPRODUCT(ISNUMBER(SEARCH("N",G20:AK20))*IFERROR(VALUE(SUBSTITUTE(G20:AK20,"N","")),0))/F20)</f>
        <v>0</v>
      </c>
      <c r="AO20" s="10"/>
      <c r="AP20" s="10"/>
      <c r="AQ20" s="10"/>
      <c r="AR20" s="24" t="n">
        <f aca="false">IF(B20="",0,MAX(SUMPRODUCT((BCC_MA=$B20)*IFERROR(VALUE(SUBSTITUTE($G$6:$G$100,"N","")),0)),SUMPRODUCT((BCC_MA=$B20)*IFERROR(VALUE(SUBSTITUTE($H$6:$H$100,"N","")),0)),SUMPRODUCT((BCC_MA=$B20)*IFERROR(VALUE(SUBSTITUTE($I$6:$I$100,"N","")),0)),SUMPRODUCT((BCC_MA=$B20)*IFERROR(VALUE(SUBSTITUTE($J$6:$J$100,"N","")),0)),SUMPRODUCT((BCC_MA=$B20)*IFERROR(VALUE(SUBSTITUTE($K$6:$K$100,"N","")),0)),SUMPRODUCT((BCC_MA=$B20)*IFERROR(VALUE(SUBSTITUTE($L$6:$L$100,"N","")),0)),SUMPRODUCT((BCC_MA=$B20)*IFERROR(VALUE(SUBSTITUTE($M$6:$M$100,"N","")),0)),SUMPRODUCT((BCC_MA=$B20)*IFERROR(VALUE(SUBSTITUTE($N$6:$N$100,"N","")),0)),SUMPRODUCT((BCC_MA=$B20)*IFERROR(VALUE(SUBSTITUTE($O$6:$O$100,"N","")),0)),SUMPRODUCT((BCC_MA=$B20)*IFERROR(VALUE(SUBSTITUTE($P$6:$P$100,"N","")),0)),SUMPRODUCT((BCC_MA=$B20)*IFERROR(VALUE(SUBSTITUTE($Q$6:$Q$100,"N","")),0)),SUMPRODUCT((BCC_MA=$B20)*IFERROR(VALUE(SUBSTITUTE($R$6:$R$100,"N","")),0)),SUMPRODUCT((BCC_MA=$B20)*IFERROR(VALUE(SUBSTITUTE($S$6:$S$100,"N","")),0)),SUMPRODUCT((BCC_MA=$B20)*IFERROR(VALUE(SUBSTITUTE($T$6:$T$100,"N","")),0)),SUMPRODUCT((BCC_MA=$B20)*IFERROR(VALUE(SUBSTITUTE($U$6:$U$100,"N","")),0)),SUMPRODUCT((BCC_MA=$B20)*IFERROR(VALUE(SUBSTITUTE($V$6:$V$100,"N","")),0)),SUMPRODUCT((BCC_MA=$B20)*IFERROR(VALUE(SUBSTITUTE($W$6:$W$100,"N","")),0)),SUMPRODUCT((BCC_MA=$B20)*IFERROR(VALUE(SUBSTITUTE($X$6:$X$100,"N","")),0)),SUMPRODUCT((BCC_MA=$B20)*IFERROR(VALUE(SUBSTITUTE($Y$6:$Y$100,"N","")),0)),SUMPRODUCT((BCC_MA=$B20)*IFERROR(VALUE(SUBSTITUTE($Z$6:$Z$100,"N","")),0)),SUMPRODUCT((BCC_MA=$B20)*IFERROR(VALUE(SUBSTITUTE($AA$6:$AA$100,"N","")),0)),SUMPRODUCT((BCC_MA=$B20)*IFERROR(VALUE(SUBSTITUTE($AB$6:$AB$100,"N","")),0)),SUMPRODUCT((BCC_MA=$B20)*IFERROR(VALUE(SUBSTITUTE($AC$6:$AC$100,"N","")),0)),SUMPRODUCT((BCC_MA=$B20)*IFERROR(VALUE(SUBSTITUTE($AD$6:$AD$100,"N","")),0)),SUMPRODUCT((BCC_MA=$B20)*IFERROR(VALUE(SUBSTITUTE($AE$6:$AE$100,"N","")),0)),SUMPRODUCT((BCC_MA=$B20)*IFERROR(VALUE(SUBSTITUTE($AF$6:$AF$100,"N","")),0)),SUMPRODUCT((BCC_MA=$B20)*IFERROR(VALUE(SUBSTITUTE($AG$6:$AG$100,"N","")),0)),SUMPRODUCT((BCC_MA=$B20)*IFERROR(VALUE(SUBSTITUTE($AH$6:$AH$100,"N","")),0)),SUMPRODUCT((BCC_MA=$B20)*IFERROR(VALUE(SUBSTITUTE($AI$6:$AI$100,"N","")),0)),SUMPRODUCT((BCC_MA=$B20)*IFERROR(VALUE(SUBSTITUTE($AJ$6:$AJ$100,"N","")),0)),SUMPRODUCT((BCC_MA=$B20)*IFERROR(VALUE(SUBSTITUTE($AK$6:$AK$100,"N","")),0))))</f>
        <v>8</v>
      </c>
    </row>
    <row r="21" customFormat="false" ht="15" hidden="false" customHeight="false" outlineLevel="0" collapsed="false">
      <c r="A21" s="17" t="n">
        <v>16</v>
      </c>
      <c r="B21" s="10" t="s">
        <v>104</v>
      </c>
      <c r="C21" s="17" t="str">
        <f aca="false">IF(B21="","",IFERROR(INDEX(NV_TEN,MATCH(B21,NV_MA,0)),"MÃ KHÔNG CÓ"))</f>
        <v>Lê Văn Nghị</v>
      </c>
      <c r="D21" s="10" t="s">
        <v>69</v>
      </c>
      <c r="E21" s="18"/>
      <c r="F21" s="17" t="n">
        <f aca="false">IF(D21="","",IFERROR(INDEX(NH_GIO,MATCH(D21,NH_TEN,0)),"NHÓM?"))</f>
        <v>12</v>
      </c>
      <c r="G21" s="21"/>
      <c r="H21" s="21" t="n">
        <v>12</v>
      </c>
      <c r="I21" s="21"/>
      <c r="J21" s="21" t="n">
        <v>12</v>
      </c>
      <c r="K21" s="21"/>
      <c r="L21" s="21" t="n">
        <v>12</v>
      </c>
      <c r="M21" s="21"/>
      <c r="N21" s="21" t="n">
        <v>12</v>
      </c>
      <c r="O21" s="21"/>
      <c r="P21" s="21" t="n">
        <v>12</v>
      </c>
      <c r="Q21" s="21"/>
      <c r="R21" s="21" t="n">
        <v>12</v>
      </c>
      <c r="S21" s="21"/>
      <c r="T21" s="21" t="n">
        <v>12</v>
      </c>
      <c r="U21" s="21"/>
      <c r="V21" s="21"/>
      <c r="W21" s="21" t="n">
        <v>12</v>
      </c>
      <c r="X21" s="21"/>
      <c r="Y21" s="21" t="n">
        <v>12</v>
      </c>
      <c r="Z21" s="21"/>
      <c r="AA21" s="21" t="n">
        <v>12</v>
      </c>
      <c r="AB21" s="21"/>
      <c r="AC21" s="21" t="n">
        <v>12</v>
      </c>
      <c r="AD21" s="21"/>
      <c r="AE21" s="21" t="n">
        <v>12</v>
      </c>
      <c r="AF21" s="21"/>
      <c r="AG21" s="21" t="n">
        <v>12</v>
      </c>
      <c r="AH21" s="21"/>
      <c r="AI21" s="21" t="n">
        <v>12</v>
      </c>
      <c r="AJ21" s="21"/>
      <c r="AK21" s="21" t="n">
        <v>12</v>
      </c>
      <c r="AL21" s="22" t="n">
        <f aca="false">IF(B21="","",SUMPRODUCT(IFERROR(VALUE(SUBSTITUTE(G21:AK21,"N","")),0)))</f>
        <v>180</v>
      </c>
      <c r="AM21" s="23" t="n">
        <f aca="false">IF(B21="","",AL21/F21)</f>
        <v>15</v>
      </c>
      <c r="AN21" s="23" t="n">
        <f aca="false">IF(B21="","",SUMPRODUCT(ISNUMBER(SEARCH("N",G21:AK21))*IFERROR(VALUE(SUBSTITUTE(G21:AK21,"N","")),0))/F21)</f>
        <v>0</v>
      </c>
      <c r="AO21" s="10"/>
      <c r="AP21" s="10"/>
      <c r="AQ21" s="10"/>
      <c r="AR21" s="24" t="n">
        <f aca="false">IF(B21="",0,MAX(SUMPRODUCT((BCC_MA=$B21)*IFERROR(VALUE(SUBSTITUTE($G$6:$G$100,"N","")),0)),SUMPRODUCT((BCC_MA=$B21)*IFERROR(VALUE(SUBSTITUTE($H$6:$H$100,"N","")),0)),SUMPRODUCT((BCC_MA=$B21)*IFERROR(VALUE(SUBSTITUTE($I$6:$I$100,"N","")),0)),SUMPRODUCT((BCC_MA=$B21)*IFERROR(VALUE(SUBSTITUTE($J$6:$J$100,"N","")),0)),SUMPRODUCT((BCC_MA=$B21)*IFERROR(VALUE(SUBSTITUTE($K$6:$K$100,"N","")),0)),SUMPRODUCT((BCC_MA=$B21)*IFERROR(VALUE(SUBSTITUTE($L$6:$L$100,"N","")),0)),SUMPRODUCT((BCC_MA=$B21)*IFERROR(VALUE(SUBSTITUTE($M$6:$M$100,"N","")),0)),SUMPRODUCT((BCC_MA=$B21)*IFERROR(VALUE(SUBSTITUTE($N$6:$N$100,"N","")),0)),SUMPRODUCT((BCC_MA=$B21)*IFERROR(VALUE(SUBSTITUTE($O$6:$O$100,"N","")),0)),SUMPRODUCT((BCC_MA=$B21)*IFERROR(VALUE(SUBSTITUTE($P$6:$P$100,"N","")),0)),SUMPRODUCT((BCC_MA=$B21)*IFERROR(VALUE(SUBSTITUTE($Q$6:$Q$100,"N","")),0)),SUMPRODUCT((BCC_MA=$B21)*IFERROR(VALUE(SUBSTITUTE($R$6:$R$100,"N","")),0)),SUMPRODUCT((BCC_MA=$B21)*IFERROR(VALUE(SUBSTITUTE($S$6:$S$100,"N","")),0)),SUMPRODUCT((BCC_MA=$B21)*IFERROR(VALUE(SUBSTITUTE($T$6:$T$100,"N","")),0)),SUMPRODUCT((BCC_MA=$B21)*IFERROR(VALUE(SUBSTITUTE($U$6:$U$100,"N","")),0)),SUMPRODUCT((BCC_MA=$B21)*IFERROR(VALUE(SUBSTITUTE($V$6:$V$100,"N","")),0)),SUMPRODUCT((BCC_MA=$B21)*IFERROR(VALUE(SUBSTITUTE($W$6:$W$100,"N","")),0)),SUMPRODUCT((BCC_MA=$B21)*IFERROR(VALUE(SUBSTITUTE($X$6:$X$100,"N","")),0)),SUMPRODUCT((BCC_MA=$B21)*IFERROR(VALUE(SUBSTITUTE($Y$6:$Y$100,"N","")),0)),SUMPRODUCT((BCC_MA=$B21)*IFERROR(VALUE(SUBSTITUTE($Z$6:$Z$100,"N","")),0)),SUMPRODUCT((BCC_MA=$B21)*IFERROR(VALUE(SUBSTITUTE($AA$6:$AA$100,"N","")),0)),SUMPRODUCT((BCC_MA=$B21)*IFERROR(VALUE(SUBSTITUTE($AB$6:$AB$100,"N","")),0)),SUMPRODUCT((BCC_MA=$B21)*IFERROR(VALUE(SUBSTITUTE($AC$6:$AC$100,"N","")),0)),SUMPRODUCT((BCC_MA=$B21)*IFERROR(VALUE(SUBSTITUTE($AD$6:$AD$100,"N","")),0)),SUMPRODUCT((BCC_MA=$B21)*IFERROR(VALUE(SUBSTITUTE($AE$6:$AE$100,"N","")),0)),SUMPRODUCT((BCC_MA=$B21)*IFERROR(VALUE(SUBSTITUTE($AF$6:$AF$100,"N","")),0)),SUMPRODUCT((BCC_MA=$B21)*IFERROR(VALUE(SUBSTITUTE($AG$6:$AG$100,"N","")),0)),SUMPRODUCT((BCC_MA=$B21)*IFERROR(VALUE(SUBSTITUTE($AH$6:$AH$100,"N","")),0)),SUMPRODUCT((BCC_MA=$B21)*IFERROR(VALUE(SUBSTITUTE($AI$6:$AI$100,"N","")),0)),SUMPRODUCT((BCC_MA=$B21)*IFERROR(VALUE(SUBSTITUTE($AJ$6:$AJ$100,"N","")),0)),SUMPRODUCT((BCC_MA=$B21)*IFERROR(VALUE(SUBSTITUTE($AK$6:$AK$100,"N","")),0))))</f>
        <v>29</v>
      </c>
    </row>
    <row r="22" customFormat="false" ht="15" hidden="false" customHeight="false" outlineLevel="0" collapsed="false">
      <c r="A22" s="17" t="n">
        <v>17</v>
      </c>
      <c r="B22" s="10" t="s">
        <v>107</v>
      </c>
      <c r="C22" s="17" t="str">
        <f aca="false">IF(B22="","",IFERROR(INDEX(NV_TEN,MATCH(B22,NV_MA,0)),"MÃ KHÔNG CÓ"))</f>
        <v>Trần Thắng</v>
      </c>
      <c r="D22" s="10" t="s">
        <v>69</v>
      </c>
      <c r="E22" s="18"/>
      <c r="F22" s="17" t="n">
        <f aca="false">IF(D22="","",IFERROR(INDEX(NH_GIO,MATCH(D22,NH_TEN,0)),"NHÓM?"))</f>
        <v>12</v>
      </c>
      <c r="G22" s="21" t="n">
        <v>12</v>
      </c>
      <c r="H22" s="21"/>
      <c r="I22" s="21" t="n">
        <v>12</v>
      </c>
      <c r="J22" s="21"/>
      <c r="K22" s="21" t="n">
        <v>12</v>
      </c>
      <c r="L22" s="21"/>
      <c r="M22" s="21" t="n">
        <v>12</v>
      </c>
      <c r="N22" s="21"/>
      <c r="O22" s="21" t="n">
        <v>12</v>
      </c>
      <c r="P22" s="21"/>
      <c r="Q22" s="21"/>
      <c r="R22" s="21"/>
      <c r="S22" s="21" t="n">
        <v>12</v>
      </c>
      <c r="T22" s="21"/>
      <c r="U22" s="21" t="n">
        <v>12</v>
      </c>
      <c r="V22" s="21" t="n">
        <v>12</v>
      </c>
      <c r="W22" s="21"/>
      <c r="X22" s="21" t="n">
        <v>12</v>
      </c>
      <c r="Y22" s="21"/>
      <c r="Z22" s="21" t="n">
        <v>12</v>
      </c>
      <c r="AA22" s="21"/>
      <c r="AB22" s="21" t="n">
        <v>12</v>
      </c>
      <c r="AC22" s="21"/>
      <c r="AD22" s="21" t="n">
        <v>12</v>
      </c>
      <c r="AE22" s="21"/>
      <c r="AF22" s="21" t="n">
        <v>12</v>
      </c>
      <c r="AG22" s="21"/>
      <c r="AH22" s="21" t="n">
        <v>12</v>
      </c>
      <c r="AI22" s="21"/>
      <c r="AJ22" s="21" t="n">
        <v>12</v>
      </c>
      <c r="AK22" s="21"/>
      <c r="AL22" s="22" t="n">
        <f aca="false">IF(B22="","",SUMPRODUCT(IFERROR(VALUE(SUBSTITUTE(G22:AK22,"N","")),0)))</f>
        <v>180</v>
      </c>
      <c r="AM22" s="23" t="n">
        <f aca="false">IF(B22="","",AL22/F22)</f>
        <v>15</v>
      </c>
      <c r="AN22" s="23" t="n">
        <f aca="false">IF(B22="","",SUMPRODUCT(ISNUMBER(SEARCH("N",G22:AK22))*IFERROR(VALUE(SUBSTITUTE(G22:AK22,"N","")),0))/F22)</f>
        <v>0</v>
      </c>
      <c r="AO22" s="10"/>
      <c r="AP22" s="10"/>
      <c r="AQ22" s="10"/>
      <c r="AR22" s="24" t="n">
        <f aca="false">IF(B22="",0,MAX(SUMPRODUCT((BCC_MA=$B22)*IFERROR(VALUE(SUBSTITUTE($G$6:$G$100,"N","")),0)),SUMPRODUCT((BCC_MA=$B22)*IFERROR(VALUE(SUBSTITUTE($H$6:$H$100,"N","")),0)),SUMPRODUCT((BCC_MA=$B22)*IFERROR(VALUE(SUBSTITUTE($I$6:$I$100,"N","")),0)),SUMPRODUCT((BCC_MA=$B22)*IFERROR(VALUE(SUBSTITUTE($J$6:$J$100,"N","")),0)),SUMPRODUCT((BCC_MA=$B22)*IFERROR(VALUE(SUBSTITUTE($K$6:$K$100,"N","")),0)),SUMPRODUCT((BCC_MA=$B22)*IFERROR(VALUE(SUBSTITUTE($L$6:$L$100,"N","")),0)),SUMPRODUCT((BCC_MA=$B22)*IFERROR(VALUE(SUBSTITUTE($M$6:$M$100,"N","")),0)),SUMPRODUCT((BCC_MA=$B22)*IFERROR(VALUE(SUBSTITUTE($N$6:$N$100,"N","")),0)),SUMPRODUCT((BCC_MA=$B22)*IFERROR(VALUE(SUBSTITUTE($O$6:$O$100,"N","")),0)),SUMPRODUCT((BCC_MA=$B22)*IFERROR(VALUE(SUBSTITUTE($P$6:$P$100,"N","")),0)),SUMPRODUCT((BCC_MA=$B22)*IFERROR(VALUE(SUBSTITUTE($Q$6:$Q$100,"N","")),0)),SUMPRODUCT((BCC_MA=$B22)*IFERROR(VALUE(SUBSTITUTE($R$6:$R$100,"N","")),0)),SUMPRODUCT((BCC_MA=$B22)*IFERROR(VALUE(SUBSTITUTE($S$6:$S$100,"N","")),0)),SUMPRODUCT((BCC_MA=$B22)*IFERROR(VALUE(SUBSTITUTE($T$6:$T$100,"N","")),0)),SUMPRODUCT((BCC_MA=$B22)*IFERROR(VALUE(SUBSTITUTE($U$6:$U$100,"N","")),0)),SUMPRODUCT((BCC_MA=$B22)*IFERROR(VALUE(SUBSTITUTE($V$6:$V$100,"N","")),0)),SUMPRODUCT((BCC_MA=$B22)*IFERROR(VALUE(SUBSTITUTE($W$6:$W$100,"N","")),0)),SUMPRODUCT((BCC_MA=$B22)*IFERROR(VALUE(SUBSTITUTE($X$6:$X$100,"N","")),0)),SUMPRODUCT((BCC_MA=$B22)*IFERROR(VALUE(SUBSTITUTE($Y$6:$Y$100,"N","")),0)),SUMPRODUCT((BCC_MA=$B22)*IFERROR(VALUE(SUBSTITUTE($Z$6:$Z$100,"N","")),0)),SUMPRODUCT((BCC_MA=$B22)*IFERROR(VALUE(SUBSTITUTE($AA$6:$AA$100,"N","")),0)),SUMPRODUCT((BCC_MA=$B22)*IFERROR(VALUE(SUBSTITUTE($AB$6:$AB$100,"N","")),0)),SUMPRODUCT((BCC_MA=$B22)*IFERROR(VALUE(SUBSTITUTE($AC$6:$AC$100,"N","")),0)),SUMPRODUCT((BCC_MA=$B22)*IFERROR(VALUE(SUBSTITUTE($AD$6:$AD$100,"N","")),0)),SUMPRODUCT((BCC_MA=$B22)*IFERROR(VALUE(SUBSTITUTE($AE$6:$AE$100,"N","")),0)),SUMPRODUCT((BCC_MA=$B22)*IFERROR(VALUE(SUBSTITUTE($AF$6:$AF$100,"N","")),0)),SUMPRODUCT((BCC_MA=$B22)*IFERROR(VALUE(SUBSTITUTE($AG$6:$AG$100,"N","")),0)),SUMPRODUCT((BCC_MA=$B22)*IFERROR(VALUE(SUBSTITUTE($AH$6:$AH$100,"N","")),0)),SUMPRODUCT((BCC_MA=$B22)*IFERROR(VALUE(SUBSTITUTE($AI$6:$AI$100,"N","")),0)),SUMPRODUCT((BCC_MA=$B22)*IFERROR(VALUE(SUBSTITUTE($AJ$6:$AJ$100,"N","")),0)),SUMPRODUCT((BCC_MA=$B22)*IFERROR(VALUE(SUBSTITUTE($AK$6:$AK$100,"N","")),0))))</f>
        <v>20</v>
      </c>
    </row>
    <row r="23" customFormat="false" ht="15" hidden="false" customHeight="false" outlineLevel="0" collapsed="false">
      <c r="A23" s="17" t="n">
        <v>18</v>
      </c>
      <c r="B23" s="10" t="s">
        <v>133</v>
      </c>
      <c r="C23" s="17" t="str">
        <f aca="false">IF(B23="","",IFERROR(INDEX(NV_TEN,MATCH(B23,NV_MA,0)),"MÃ KHÔNG CÓ"))</f>
        <v>Hồ Thượng Thành</v>
      </c>
      <c r="D23" s="10" t="s">
        <v>72</v>
      </c>
      <c r="E23" s="18"/>
      <c r="F23" s="17" t="n">
        <f aca="false">IF(D23="","",IFERROR(INDEX(NH_GIO,MATCH(D23,NH_TEN,0)),"NHÓM?"))</f>
        <v>8</v>
      </c>
      <c r="G23" s="21" t="n">
        <v>11</v>
      </c>
      <c r="H23" s="21"/>
      <c r="I23" s="21" t="s">
        <v>272</v>
      </c>
      <c r="J23" s="21"/>
      <c r="K23" s="21" t="n">
        <v>8</v>
      </c>
      <c r="L23" s="21" t="n">
        <v>8</v>
      </c>
      <c r="M23" s="21"/>
      <c r="N23" s="21"/>
      <c r="O23" s="21"/>
      <c r="P23" s="21"/>
      <c r="Q23" s="21" t="s">
        <v>273</v>
      </c>
      <c r="R23" s="21" t="s">
        <v>272</v>
      </c>
      <c r="S23" s="21" t="n">
        <v>8</v>
      </c>
      <c r="T23" s="21" t="n">
        <v>12</v>
      </c>
      <c r="U23" s="21"/>
      <c r="V23" s="21"/>
      <c r="W23" s="21"/>
      <c r="X23" s="21"/>
      <c r="Y23" s="21"/>
      <c r="Z23" s="21"/>
      <c r="AA23" s="21"/>
      <c r="AB23" s="21"/>
      <c r="AC23" s="21"/>
      <c r="AD23" s="21"/>
      <c r="AE23" s="21"/>
      <c r="AF23" s="21"/>
      <c r="AG23" s="21"/>
      <c r="AH23" s="21"/>
      <c r="AI23" s="21"/>
      <c r="AJ23" s="21"/>
      <c r="AK23" s="21"/>
      <c r="AL23" s="22" t="n">
        <f aca="false">IF(B23="","",SUMPRODUCT(IFERROR(VALUE(SUBSTITUTE(G23:AK23,"N","")),0)))</f>
        <v>79</v>
      </c>
      <c r="AM23" s="23" t="n">
        <f aca="false">IF(B23="","",AL23/F23)</f>
        <v>9.875</v>
      </c>
      <c r="AN23" s="23" t="n">
        <f aca="false">IF(B23="","",SUMPRODUCT(ISNUMBER(SEARCH("N",G23:AK23))*IFERROR(VALUE(SUBSTITUTE(G23:AK23,"N","")),0))/F23)</f>
        <v>4</v>
      </c>
      <c r="AO23" s="10"/>
      <c r="AP23" s="10"/>
      <c r="AQ23" s="10"/>
      <c r="AR23" s="24" t="n">
        <f aca="false">IF(B23="",0,MAX(SUMPRODUCT((BCC_MA=$B23)*IFERROR(VALUE(SUBSTITUTE($G$6:$G$100,"N","")),0)),SUMPRODUCT((BCC_MA=$B23)*IFERROR(VALUE(SUBSTITUTE($H$6:$H$100,"N","")),0)),SUMPRODUCT((BCC_MA=$B23)*IFERROR(VALUE(SUBSTITUTE($I$6:$I$100,"N","")),0)),SUMPRODUCT((BCC_MA=$B23)*IFERROR(VALUE(SUBSTITUTE($J$6:$J$100,"N","")),0)),SUMPRODUCT((BCC_MA=$B23)*IFERROR(VALUE(SUBSTITUTE($K$6:$K$100,"N","")),0)),SUMPRODUCT((BCC_MA=$B23)*IFERROR(VALUE(SUBSTITUTE($L$6:$L$100,"N","")),0)),SUMPRODUCT((BCC_MA=$B23)*IFERROR(VALUE(SUBSTITUTE($M$6:$M$100,"N","")),0)),SUMPRODUCT((BCC_MA=$B23)*IFERROR(VALUE(SUBSTITUTE($N$6:$N$100,"N","")),0)),SUMPRODUCT((BCC_MA=$B23)*IFERROR(VALUE(SUBSTITUTE($O$6:$O$100,"N","")),0)),SUMPRODUCT((BCC_MA=$B23)*IFERROR(VALUE(SUBSTITUTE($P$6:$P$100,"N","")),0)),SUMPRODUCT((BCC_MA=$B23)*IFERROR(VALUE(SUBSTITUTE($Q$6:$Q$100,"N","")),0)),SUMPRODUCT((BCC_MA=$B23)*IFERROR(VALUE(SUBSTITUTE($R$6:$R$100,"N","")),0)),SUMPRODUCT((BCC_MA=$B23)*IFERROR(VALUE(SUBSTITUTE($S$6:$S$100,"N","")),0)),SUMPRODUCT((BCC_MA=$B23)*IFERROR(VALUE(SUBSTITUTE($T$6:$T$100,"N","")),0)),SUMPRODUCT((BCC_MA=$B23)*IFERROR(VALUE(SUBSTITUTE($U$6:$U$100,"N","")),0)),SUMPRODUCT((BCC_MA=$B23)*IFERROR(VALUE(SUBSTITUTE($V$6:$V$100,"N","")),0)),SUMPRODUCT((BCC_MA=$B23)*IFERROR(VALUE(SUBSTITUTE($W$6:$W$100,"N","")),0)),SUMPRODUCT((BCC_MA=$B23)*IFERROR(VALUE(SUBSTITUTE($X$6:$X$100,"N","")),0)),SUMPRODUCT((BCC_MA=$B23)*IFERROR(VALUE(SUBSTITUTE($Y$6:$Y$100,"N","")),0)),SUMPRODUCT((BCC_MA=$B23)*IFERROR(VALUE(SUBSTITUTE($Z$6:$Z$100,"N","")),0)),SUMPRODUCT((BCC_MA=$B23)*IFERROR(VALUE(SUBSTITUTE($AA$6:$AA$100,"N","")),0)),SUMPRODUCT((BCC_MA=$B23)*IFERROR(VALUE(SUBSTITUTE($AB$6:$AB$100,"N","")),0)),SUMPRODUCT((BCC_MA=$B23)*IFERROR(VALUE(SUBSTITUTE($AC$6:$AC$100,"N","")),0)),SUMPRODUCT((BCC_MA=$B23)*IFERROR(VALUE(SUBSTITUTE($AD$6:$AD$100,"N","")),0)),SUMPRODUCT((BCC_MA=$B23)*IFERROR(VALUE(SUBSTITUTE($AE$6:$AE$100,"N","")),0)),SUMPRODUCT((BCC_MA=$B23)*IFERROR(VALUE(SUBSTITUTE($AF$6:$AF$100,"N","")),0)),SUMPRODUCT((BCC_MA=$B23)*IFERROR(VALUE(SUBSTITUTE($AG$6:$AG$100,"N","")),0)),SUMPRODUCT((BCC_MA=$B23)*IFERROR(VALUE(SUBSTITUTE($AH$6:$AH$100,"N","")),0)),SUMPRODUCT((BCC_MA=$B23)*IFERROR(VALUE(SUBSTITUTE($AI$6:$AI$100,"N","")),0)),SUMPRODUCT((BCC_MA=$B23)*IFERROR(VALUE(SUBSTITUTE($AJ$6:$AJ$100,"N","")),0)),SUMPRODUCT((BCC_MA=$B23)*IFERROR(VALUE(SUBSTITUTE($AK$6:$AK$100,"N","")),0))))</f>
        <v>24</v>
      </c>
    </row>
    <row r="24" customFormat="false" ht="15" hidden="false" customHeight="false" outlineLevel="0" collapsed="false">
      <c r="A24" s="17" t="n">
        <v>19</v>
      </c>
      <c r="B24" s="10" t="s">
        <v>135</v>
      </c>
      <c r="C24" s="17" t="str">
        <f aca="false">IF(B24="","",IFERROR(INDEX(NV_TEN,MATCH(B24,NV_MA,0)),"MÃ KHÔNG CÓ"))</f>
        <v>Hồ Thượng Thư</v>
      </c>
      <c r="D24" s="10" t="s">
        <v>72</v>
      </c>
      <c r="E24" s="18"/>
      <c r="F24" s="17" t="n">
        <f aca="false">IF(D24="","",IFERROR(INDEX(NH_GIO,MATCH(D24,NH_TEN,0)),"NHÓM?"))</f>
        <v>8</v>
      </c>
      <c r="G24" s="21" t="n">
        <v>11</v>
      </c>
      <c r="H24" s="21"/>
      <c r="I24" s="21" t="s">
        <v>272</v>
      </c>
      <c r="J24" s="21"/>
      <c r="K24" s="21" t="n">
        <v>8</v>
      </c>
      <c r="L24" s="21" t="n">
        <v>8</v>
      </c>
      <c r="M24" s="21"/>
      <c r="N24" s="21"/>
      <c r="O24" s="21"/>
      <c r="P24" s="21"/>
      <c r="Q24" s="21"/>
      <c r="R24" s="21"/>
      <c r="S24" s="21" t="n">
        <v>8</v>
      </c>
      <c r="T24" s="21" t="n">
        <v>12</v>
      </c>
      <c r="U24" s="21"/>
      <c r="V24" s="21"/>
      <c r="W24" s="21"/>
      <c r="X24" s="21"/>
      <c r="Y24" s="21"/>
      <c r="Z24" s="21"/>
      <c r="AA24" s="21"/>
      <c r="AB24" s="21"/>
      <c r="AC24" s="21"/>
      <c r="AD24" s="21"/>
      <c r="AE24" s="21"/>
      <c r="AF24" s="21"/>
      <c r="AG24" s="21"/>
      <c r="AH24" s="21"/>
      <c r="AI24" s="21"/>
      <c r="AJ24" s="21"/>
      <c r="AK24" s="21"/>
      <c r="AL24" s="22" t="n">
        <f aca="false">IF(B24="","",SUMPRODUCT(IFERROR(VALUE(SUBSTITUTE(G24:AK24,"N","")),0)))</f>
        <v>59</v>
      </c>
      <c r="AM24" s="23" t="n">
        <f aca="false">IF(B24="","",AL24/F24)</f>
        <v>7.375</v>
      </c>
      <c r="AN24" s="23" t="n">
        <f aca="false">IF(B24="","",SUMPRODUCT(ISNUMBER(SEARCH("N",G24:AK24))*IFERROR(VALUE(SUBSTITUTE(G24:AK24,"N","")),0))/F24)</f>
        <v>1.5</v>
      </c>
      <c r="AO24" s="10"/>
      <c r="AP24" s="10"/>
      <c r="AQ24" s="10"/>
      <c r="AR24" s="24" t="n">
        <f aca="false">IF(B24="",0,MAX(SUMPRODUCT((BCC_MA=$B24)*IFERROR(VALUE(SUBSTITUTE($G$6:$G$100,"N","")),0)),SUMPRODUCT((BCC_MA=$B24)*IFERROR(VALUE(SUBSTITUTE($H$6:$H$100,"N","")),0)),SUMPRODUCT((BCC_MA=$B24)*IFERROR(VALUE(SUBSTITUTE($I$6:$I$100,"N","")),0)),SUMPRODUCT((BCC_MA=$B24)*IFERROR(VALUE(SUBSTITUTE($J$6:$J$100,"N","")),0)),SUMPRODUCT((BCC_MA=$B24)*IFERROR(VALUE(SUBSTITUTE($K$6:$K$100,"N","")),0)),SUMPRODUCT((BCC_MA=$B24)*IFERROR(VALUE(SUBSTITUTE($L$6:$L$100,"N","")),0)),SUMPRODUCT((BCC_MA=$B24)*IFERROR(VALUE(SUBSTITUTE($M$6:$M$100,"N","")),0)),SUMPRODUCT((BCC_MA=$B24)*IFERROR(VALUE(SUBSTITUTE($N$6:$N$100,"N","")),0)),SUMPRODUCT((BCC_MA=$B24)*IFERROR(VALUE(SUBSTITUTE($O$6:$O$100,"N","")),0)),SUMPRODUCT((BCC_MA=$B24)*IFERROR(VALUE(SUBSTITUTE($P$6:$P$100,"N","")),0)),SUMPRODUCT((BCC_MA=$B24)*IFERROR(VALUE(SUBSTITUTE($Q$6:$Q$100,"N","")),0)),SUMPRODUCT((BCC_MA=$B24)*IFERROR(VALUE(SUBSTITUTE($R$6:$R$100,"N","")),0)),SUMPRODUCT((BCC_MA=$B24)*IFERROR(VALUE(SUBSTITUTE($S$6:$S$100,"N","")),0)),SUMPRODUCT((BCC_MA=$B24)*IFERROR(VALUE(SUBSTITUTE($T$6:$T$100,"N","")),0)),SUMPRODUCT((BCC_MA=$B24)*IFERROR(VALUE(SUBSTITUTE($U$6:$U$100,"N","")),0)),SUMPRODUCT((BCC_MA=$B24)*IFERROR(VALUE(SUBSTITUTE($V$6:$V$100,"N","")),0)),SUMPRODUCT((BCC_MA=$B24)*IFERROR(VALUE(SUBSTITUTE($W$6:$W$100,"N","")),0)),SUMPRODUCT((BCC_MA=$B24)*IFERROR(VALUE(SUBSTITUTE($X$6:$X$100,"N","")),0)),SUMPRODUCT((BCC_MA=$B24)*IFERROR(VALUE(SUBSTITUTE($Y$6:$Y$100,"N","")),0)),SUMPRODUCT((BCC_MA=$B24)*IFERROR(VALUE(SUBSTITUTE($Z$6:$Z$100,"N","")),0)),SUMPRODUCT((BCC_MA=$B24)*IFERROR(VALUE(SUBSTITUTE($AA$6:$AA$100,"N","")),0)),SUMPRODUCT((BCC_MA=$B24)*IFERROR(VALUE(SUBSTITUTE($AB$6:$AB$100,"N","")),0)),SUMPRODUCT((BCC_MA=$B24)*IFERROR(VALUE(SUBSTITUTE($AC$6:$AC$100,"N","")),0)),SUMPRODUCT((BCC_MA=$B24)*IFERROR(VALUE(SUBSTITUTE($AD$6:$AD$100,"N","")),0)),SUMPRODUCT((BCC_MA=$B24)*IFERROR(VALUE(SUBSTITUTE($AE$6:$AE$100,"N","")),0)),SUMPRODUCT((BCC_MA=$B24)*IFERROR(VALUE(SUBSTITUTE($AF$6:$AF$100,"N","")),0)),SUMPRODUCT((BCC_MA=$B24)*IFERROR(VALUE(SUBSTITUTE($AG$6:$AG$100,"N","")),0)),SUMPRODUCT((BCC_MA=$B24)*IFERROR(VALUE(SUBSTITUTE($AH$6:$AH$100,"N","")),0)),SUMPRODUCT((BCC_MA=$B24)*IFERROR(VALUE(SUBSTITUTE($AI$6:$AI$100,"N","")),0)),SUMPRODUCT((BCC_MA=$B24)*IFERROR(VALUE(SUBSTITUTE($AJ$6:$AJ$100,"N","")),0)),SUMPRODUCT((BCC_MA=$B24)*IFERROR(VALUE(SUBSTITUTE($AK$6:$AK$100,"N","")),0))))</f>
        <v>12</v>
      </c>
    </row>
    <row r="25" customFormat="false" ht="15" hidden="false" customHeight="false" outlineLevel="0" collapsed="false">
      <c r="A25" s="17" t="n">
        <v>20</v>
      </c>
      <c r="B25" s="10" t="s">
        <v>139</v>
      </c>
      <c r="C25" s="17" t="str">
        <f aca="false">IF(B25="","",IFERROR(INDEX(NV_TEN,MATCH(B25,NV_MA,0)),"MÃ KHÔNG CÓ"))</f>
        <v>Hồ Thượng Thảo</v>
      </c>
      <c r="D25" s="10" t="s">
        <v>72</v>
      </c>
      <c r="E25" s="18"/>
      <c r="F25" s="17" t="n">
        <f aca="false">IF(D25="","",IFERROR(INDEX(NH_GIO,MATCH(D25,NH_TEN,0)),"NHÓM?"))</f>
        <v>8</v>
      </c>
      <c r="G25" s="21"/>
      <c r="H25" s="21"/>
      <c r="I25" s="21" t="s">
        <v>272</v>
      </c>
      <c r="J25" s="21"/>
      <c r="K25" s="21" t="n">
        <v>16</v>
      </c>
      <c r="L25" s="21"/>
      <c r="M25" s="21" t="s">
        <v>273</v>
      </c>
      <c r="N25" s="21"/>
      <c r="O25" s="21" t="n">
        <v>5</v>
      </c>
      <c r="P25" s="21"/>
      <c r="Q25" s="21"/>
      <c r="R25" s="21"/>
      <c r="S25" s="21"/>
      <c r="T25" s="21"/>
      <c r="U25" s="21"/>
      <c r="V25" s="21"/>
      <c r="W25" s="21"/>
      <c r="X25" s="21"/>
      <c r="Y25" s="21"/>
      <c r="Z25" s="21"/>
      <c r="AA25" s="21"/>
      <c r="AB25" s="21"/>
      <c r="AC25" s="21"/>
      <c r="AD25" s="21"/>
      <c r="AE25" s="21"/>
      <c r="AF25" s="21"/>
      <c r="AG25" s="21"/>
      <c r="AH25" s="21"/>
      <c r="AI25" s="21"/>
      <c r="AJ25" s="21"/>
      <c r="AK25" s="21"/>
      <c r="AL25" s="22" t="n">
        <f aca="false">IF(B25="","",SUMPRODUCT(IFERROR(VALUE(SUBSTITUTE(G25:AK25,"N","")),0)))</f>
        <v>41</v>
      </c>
      <c r="AM25" s="23" t="n">
        <f aca="false">IF(B25="","",AL25/F25)</f>
        <v>5.125</v>
      </c>
      <c r="AN25" s="23" t="n">
        <f aca="false">IF(B25="","",SUMPRODUCT(ISNUMBER(SEARCH("N",G25:AK25))*IFERROR(VALUE(SUBSTITUTE(G25:AK25,"N","")),0))/F25)</f>
        <v>2.5</v>
      </c>
      <c r="AO25" s="10"/>
      <c r="AP25" s="10"/>
      <c r="AQ25" s="10"/>
      <c r="AR25" s="24" t="n">
        <f aca="false">IF(B25="",0,MAX(SUMPRODUCT((BCC_MA=$B25)*IFERROR(VALUE(SUBSTITUTE($G$6:$G$100,"N","")),0)),SUMPRODUCT((BCC_MA=$B25)*IFERROR(VALUE(SUBSTITUTE($H$6:$H$100,"N","")),0)),SUMPRODUCT((BCC_MA=$B25)*IFERROR(VALUE(SUBSTITUTE($I$6:$I$100,"N","")),0)),SUMPRODUCT((BCC_MA=$B25)*IFERROR(VALUE(SUBSTITUTE($J$6:$J$100,"N","")),0)),SUMPRODUCT((BCC_MA=$B25)*IFERROR(VALUE(SUBSTITUTE($K$6:$K$100,"N","")),0)),SUMPRODUCT((BCC_MA=$B25)*IFERROR(VALUE(SUBSTITUTE($L$6:$L$100,"N","")),0)),SUMPRODUCT((BCC_MA=$B25)*IFERROR(VALUE(SUBSTITUTE($M$6:$M$100,"N","")),0)),SUMPRODUCT((BCC_MA=$B25)*IFERROR(VALUE(SUBSTITUTE($N$6:$N$100,"N","")),0)),SUMPRODUCT((BCC_MA=$B25)*IFERROR(VALUE(SUBSTITUTE($O$6:$O$100,"N","")),0)),SUMPRODUCT((BCC_MA=$B25)*IFERROR(VALUE(SUBSTITUTE($P$6:$P$100,"N","")),0)),SUMPRODUCT((BCC_MA=$B25)*IFERROR(VALUE(SUBSTITUTE($Q$6:$Q$100,"N","")),0)),SUMPRODUCT((BCC_MA=$B25)*IFERROR(VALUE(SUBSTITUTE($R$6:$R$100,"N","")),0)),SUMPRODUCT((BCC_MA=$B25)*IFERROR(VALUE(SUBSTITUTE($S$6:$S$100,"N","")),0)),SUMPRODUCT((BCC_MA=$B25)*IFERROR(VALUE(SUBSTITUTE($T$6:$T$100,"N","")),0)),SUMPRODUCT((BCC_MA=$B25)*IFERROR(VALUE(SUBSTITUTE($U$6:$U$100,"N","")),0)),SUMPRODUCT((BCC_MA=$B25)*IFERROR(VALUE(SUBSTITUTE($V$6:$V$100,"N","")),0)),SUMPRODUCT((BCC_MA=$B25)*IFERROR(VALUE(SUBSTITUTE($W$6:$W$100,"N","")),0)),SUMPRODUCT((BCC_MA=$B25)*IFERROR(VALUE(SUBSTITUTE($X$6:$X$100,"N","")),0)),SUMPRODUCT((BCC_MA=$B25)*IFERROR(VALUE(SUBSTITUTE($Y$6:$Y$100,"N","")),0)),SUMPRODUCT((BCC_MA=$B25)*IFERROR(VALUE(SUBSTITUTE($Z$6:$Z$100,"N","")),0)),SUMPRODUCT((BCC_MA=$B25)*IFERROR(VALUE(SUBSTITUTE($AA$6:$AA$100,"N","")),0)),SUMPRODUCT((BCC_MA=$B25)*IFERROR(VALUE(SUBSTITUTE($AB$6:$AB$100,"N","")),0)),SUMPRODUCT((BCC_MA=$B25)*IFERROR(VALUE(SUBSTITUTE($AC$6:$AC$100,"N","")),0)),SUMPRODUCT((BCC_MA=$B25)*IFERROR(VALUE(SUBSTITUTE($AD$6:$AD$100,"N","")),0)),SUMPRODUCT((BCC_MA=$B25)*IFERROR(VALUE(SUBSTITUTE($AE$6:$AE$100,"N","")),0)),SUMPRODUCT((BCC_MA=$B25)*IFERROR(VALUE(SUBSTITUTE($AF$6:$AF$100,"N","")),0)),SUMPRODUCT((BCC_MA=$B25)*IFERROR(VALUE(SUBSTITUTE($AG$6:$AG$100,"N","")),0)),SUMPRODUCT((BCC_MA=$B25)*IFERROR(VALUE(SUBSTITUTE($AH$6:$AH$100,"N","")),0)),SUMPRODUCT((BCC_MA=$B25)*IFERROR(VALUE(SUBSTITUTE($AI$6:$AI$100,"N","")),0)),SUMPRODUCT((BCC_MA=$B25)*IFERROR(VALUE(SUBSTITUTE($AJ$6:$AJ$100,"N","")),0)),SUMPRODUCT((BCC_MA=$B25)*IFERROR(VALUE(SUBSTITUTE($AK$6:$AK$100,"N","")),0))))</f>
        <v>16</v>
      </c>
    </row>
    <row r="26" customFormat="false" ht="15" hidden="false" customHeight="false" outlineLevel="0" collapsed="false">
      <c r="A26" s="17" t="n">
        <v>21</v>
      </c>
      <c r="B26" s="10" t="s">
        <v>143</v>
      </c>
      <c r="C26" s="17" t="str">
        <f aca="false">IF(B26="","",IFERROR(INDEX(NV_TEN,MATCH(B26,NV_MA,0)),"MÃ KHÔNG CÓ"))</f>
        <v>Hồ Văn Lài</v>
      </c>
      <c r="D26" s="10" t="s">
        <v>72</v>
      </c>
      <c r="E26" s="18"/>
      <c r="F26" s="17" t="n">
        <f aca="false">IF(D26="","",IFERROR(INDEX(NH_GIO,MATCH(D26,NH_TEN,0)),"NHÓM?"))</f>
        <v>8</v>
      </c>
      <c r="G26" s="21" t="s">
        <v>272</v>
      </c>
      <c r="H26" s="21"/>
      <c r="I26" s="21" t="n">
        <v>12</v>
      </c>
      <c r="J26" s="21"/>
      <c r="K26" s="21" t="n">
        <v>16</v>
      </c>
      <c r="L26" s="21"/>
      <c r="M26" s="21" t="n">
        <v>8</v>
      </c>
      <c r="N26" s="21"/>
      <c r="O26" s="21"/>
      <c r="P26" s="21"/>
      <c r="Q26" s="21"/>
      <c r="R26" s="21"/>
      <c r="S26" s="21" t="s">
        <v>273</v>
      </c>
      <c r="T26" s="21" t="s">
        <v>272</v>
      </c>
      <c r="U26" s="21" t="s">
        <v>272</v>
      </c>
      <c r="V26" s="21"/>
      <c r="W26" s="21"/>
      <c r="X26" s="21"/>
      <c r="Y26" s="21"/>
      <c r="Z26" s="21"/>
      <c r="AA26" s="21"/>
      <c r="AB26" s="21"/>
      <c r="AC26" s="21"/>
      <c r="AD26" s="21"/>
      <c r="AE26" s="21"/>
      <c r="AF26" s="21"/>
      <c r="AG26" s="21"/>
      <c r="AH26" s="21"/>
      <c r="AI26" s="21"/>
      <c r="AJ26" s="21"/>
      <c r="AK26" s="21"/>
      <c r="AL26" s="22" t="n">
        <f aca="false">IF(B26="","",SUMPRODUCT(IFERROR(VALUE(SUBSTITUTE(G26:AK26,"N","")),0)))</f>
        <v>80</v>
      </c>
      <c r="AM26" s="23" t="n">
        <f aca="false">IF(B26="","",AL26/F26)</f>
        <v>10</v>
      </c>
      <c r="AN26" s="23" t="n">
        <f aca="false">IF(B26="","",SUMPRODUCT(ISNUMBER(SEARCH("N",G26:AK26))*IFERROR(VALUE(SUBSTITUTE(G26:AK26,"N","")),0))/F26)</f>
        <v>5.5</v>
      </c>
      <c r="AO26" s="10"/>
      <c r="AP26" s="10"/>
      <c r="AQ26" s="10"/>
      <c r="AR26" s="24" t="n">
        <f aca="false">IF(B26="",0,MAX(SUMPRODUCT((BCC_MA=$B26)*IFERROR(VALUE(SUBSTITUTE($G$6:$G$100,"N","")),0)),SUMPRODUCT((BCC_MA=$B26)*IFERROR(VALUE(SUBSTITUTE($H$6:$H$100,"N","")),0)),SUMPRODUCT((BCC_MA=$B26)*IFERROR(VALUE(SUBSTITUTE($I$6:$I$100,"N","")),0)),SUMPRODUCT((BCC_MA=$B26)*IFERROR(VALUE(SUBSTITUTE($J$6:$J$100,"N","")),0)),SUMPRODUCT((BCC_MA=$B26)*IFERROR(VALUE(SUBSTITUTE($K$6:$K$100,"N","")),0)),SUMPRODUCT((BCC_MA=$B26)*IFERROR(VALUE(SUBSTITUTE($L$6:$L$100,"N","")),0)),SUMPRODUCT((BCC_MA=$B26)*IFERROR(VALUE(SUBSTITUTE($M$6:$M$100,"N","")),0)),SUMPRODUCT((BCC_MA=$B26)*IFERROR(VALUE(SUBSTITUTE($N$6:$N$100,"N","")),0)),SUMPRODUCT((BCC_MA=$B26)*IFERROR(VALUE(SUBSTITUTE($O$6:$O$100,"N","")),0)),SUMPRODUCT((BCC_MA=$B26)*IFERROR(VALUE(SUBSTITUTE($P$6:$P$100,"N","")),0)),SUMPRODUCT((BCC_MA=$B26)*IFERROR(VALUE(SUBSTITUTE($Q$6:$Q$100,"N","")),0)),SUMPRODUCT((BCC_MA=$B26)*IFERROR(VALUE(SUBSTITUTE($R$6:$R$100,"N","")),0)),SUMPRODUCT((BCC_MA=$B26)*IFERROR(VALUE(SUBSTITUTE($S$6:$S$100,"N","")),0)),SUMPRODUCT((BCC_MA=$B26)*IFERROR(VALUE(SUBSTITUTE($T$6:$T$100,"N","")),0)),SUMPRODUCT((BCC_MA=$B26)*IFERROR(VALUE(SUBSTITUTE($U$6:$U$100,"N","")),0)),SUMPRODUCT((BCC_MA=$B26)*IFERROR(VALUE(SUBSTITUTE($V$6:$V$100,"N","")),0)),SUMPRODUCT((BCC_MA=$B26)*IFERROR(VALUE(SUBSTITUTE($W$6:$W$100,"N","")),0)),SUMPRODUCT((BCC_MA=$B26)*IFERROR(VALUE(SUBSTITUTE($X$6:$X$100,"N","")),0)),SUMPRODUCT((BCC_MA=$B26)*IFERROR(VALUE(SUBSTITUTE($Y$6:$Y$100,"N","")),0)),SUMPRODUCT((BCC_MA=$B26)*IFERROR(VALUE(SUBSTITUTE($Z$6:$Z$100,"N","")),0)),SUMPRODUCT((BCC_MA=$B26)*IFERROR(VALUE(SUBSTITUTE($AA$6:$AA$100,"N","")),0)),SUMPRODUCT((BCC_MA=$B26)*IFERROR(VALUE(SUBSTITUTE($AB$6:$AB$100,"N","")),0)),SUMPRODUCT((BCC_MA=$B26)*IFERROR(VALUE(SUBSTITUTE($AC$6:$AC$100,"N","")),0)),SUMPRODUCT((BCC_MA=$B26)*IFERROR(VALUE(SUBSTITUTE($AD$6:$AD$100,"N","")),0)),SUMPRODUCT((BCC_MA=$B26)*IFERROR(VALUE(SUBSTITUTE($AE$6:$AE$100,"N","")),0)),SUMPRODUCT((BCC_MA=$B26)*IFERROR(VALUE(SUBSTITUTE($AF$6:$AF$100,"N","")),0)),SUMPRODUCT((BCC_MA=$B26)*IFERROR(VALUE(SUBSTITUTE($AG$6:$AG$100,"N","")),0)),SUMPRODUCT((BCC_MA=$B26)*IFERROR(VALUE(SUBSTITUTE($AH$6:$AH$100,"N","")),0)),SUMPRODUCT((BCC_MA=$B26)*IFERROR(VALUE(SUBSTITUTE($AI$6:$AI$100,"N","")),0)),SUMPRODUCT((BCC_MA=$B26)*IFERROR(VALUE(SUBSTITUTE($AJ$6:$AJ$100,"N","")),0)),SUMPRODUCT((BCC_MA=$B26)*IFERROR(VALUE(SUBSTITUTE($AK$6:$AK$100,"N","")),0))))</f>
        <v>16</v>
      </c>
    </row>
    <row r="27" customFormat="false" ht="15" hidden="false" customHeight="false" outlineLevel="0" collapsed="false">
      <c r="A27" s="17" t="n">
        <v>22</v>
      </c>
      <c r="B27" s="10" t="s">
        <v>131</v>
      </c>
      <c r="C27" s="17" t="str">
        <f aca="false">IF(B27="","",IFERROR(INDEX(NV_TEN,MATCH(B27,NV_MA,0)),"MÃ KHÔNG CÓ"))</f>
        <v>Hồ Thị Thiệp</v>
      </c>
      <c r="D27" s="10" t="s">
        <v>75</v>
      </c>
      <c r="E27" s="18"/>
      <c r="F27" s="17" t="n">
        <f aca="false">IF(D27="","",IFERROR(INDEX(NH_GIO,MATCH(D27,NH_TEN,0)),"NHÓM?"))</f>
        <v>8</v>
      </c>
      <c r="G27" s="21" t="n">
        <v>8</v>
      </c>
      <c r="H27" s="21" t="n">
        <v>8</v>
      </c>
      <c r="I27" s="21" t="n">
        <v>8</v>
      </c>
      <c r="J27" s="21"/>
      <c r="K27" s="21" t="n">
        <v>8</v>
      </c>
      <c r="L27" s="21" t="n">
        <v>8</v>
      </c>
      <c r="M27" s="21"/>
      <c r="N27" s="21"/>
      <c r="O27" s="21"/>
      <c r="P27" s="21"/>
      <c r="Q27" s="21"/>
      <c r="R27" s="21"/>
      <c r="S27" s="21"/>
      <c r="T27" s="21" t="n">
        <v>8.3</v>
      </c>
      <c r="U27" s="21" t="n">
        <v>8</v>
      </c>
      <c r="V27" s="21"/>
      <c r="W27" s="21"/>
      <c r="X27" s="21"/>
      <c r="Y27" s="21"/>
      <c r="Z27" s="21"/>
      <c r="AA27" s="21"/>
      <c r="AB27" s="21"/>
      <c r="AC27" s="21"/>
      <c r="AD27" s="21"/>
      <c r="AE27" s="21"/>
      <c r="AF27" s="21"/>
      <c r="AG27" s="21"/>
      <c r="AH27" s="21"/>
      <c r="AI27" s="21"/>
      <c r="AJ27" s="21"/>
      <c r="AK27" s="21"/>
      <c r="AL27" s="22" t="n">
        <f aca="false">IF(B27="","",SUMPRODUCT(IFERROR(VALUE(SUBSTITUTE(G27:AK27,"N","")),0)))</f>
        <v>56.3</v>
      </c>
      <c r="AM27" s="23" t="n">
        <f aca="false">IF(B27="","",AL27/F27)</f>
        <v>7.0375</v>
      </c>
      <c r="AN27" s="23" t="n">
        <f aca="false">IF(B27="","",SUMPRODUCT(ISNUMBER(SEARCH("N",G27:AK27))*IFERROR(VALUE(SUBSTITUTE(G27:AK27,"N","")),0))/F27)</f>
        <v>0</v>
      </c>
      <c r="AO27" s="10"/>
      <c r="AP27" s="10"/>
      <c r="AQ27" s="10"/>
      <c r="AR27" s="24" t="n">
        <f aca="false">IF(B27="",0,MAX(SUMPRODUCT((BCC_MA=$B27)*IFERROR(VALUE(SUBSTITUTE($G$6:$G$100,"N","")),0)),SUMPRODUCT((BCC_MA=$B27)*IFERROR(VALUE(SUBSTITUTE($H$6:$H$100,"N","")),0)),SUMPRODUCT((BCC_MA=$B27)*IFERROR(VALUE(SUBSTITUTE($I$6:$I$100,"N","")),0)),SUMPRODUCT((BCC_MA=$B27)*IFERROR(VALUE(SUBSTITUTE($J$6:$J$100,"N","")),0)),SUMPRODUCT((BCC_MA=$B27)*IFERROR(VALUE(SUBSTITUTE($K$6:$K$100,"N","")),0)),SUMPRODUCT((BCC_MA=$B27)*IFERROR(VALUE(SUBSTITUTE($L$6:$L$100,"N","")),0)),SUMPRODUCT((BCC_MA=$B27)*IFERROR(VALUE(SUBSTITUTE($M$6:$M$100,"N","")),0)),SUMPRODUCT((BCC_MA=$B27)*IFERROR(VALUE(SUBSTITUTE($N$6:$N$100,"N","")),0)),SUMPRODUCT((BCC_MA=$B27)*IFERROR(VALUE(SUBSTITUTE($O$6:$O$100,"N","")),0)),SUMPRODUCT((BCC_MA=$B27)*IFERROR(VALUE(SUBSTITUTE($P$6:$P$100,"N","")),0)),SUMPRODUCT((BCC_MA=$B27)*IFERROR(VALUE(SUBSTITUTE($Q$6:$Q$100,"N","")),0)),SUMPRODUCT((BCC_MA=$B27)*IFERROR(VALUE(SUBSTITUTE($R$6:$R$100,"N","")),0)),SUMPRODUCT((BCC_MA=$B27)*IFERROR(VALUE(SUBSTITUTE($S$6:$S$100,"N","")),0)),SUMPRODUCT((BCC_MA=$B27)*IFERROR(VALUE(SUBSTITUTE($T$6:$T$100,"N","")),0)),SUMPRODUCT((BCC_MA=$B27)*IFERROR(VALUE(SUBSTITUTE($U$6:$U$100,"N","")),0)),SUMPRODUCT((BCC_MA=$B27)*IFERROR(VALUE(SUBSTITUTE($V$6:$V$100,"N","")),0)),SUMPRODUCT((BCC_MA=$B27)*IFERROR(VALUE(SUBSTITUTE($W$6:$W$100,"N","")),0)),SUMPRODUCT((BCC_MA=$B27)*IFERROR(VALUE(SUBSTITUTE($X$6:$X$100,"N","")),0)),SUMPRODUCT((BCC_MA=$B27)*IFERROR(VALUE(SUBSTITUTE($Y$6:$Y$100,"N","")),0)),SUMPRODUCT((BCC_MA=$B27)*IFERROR(VALUE(SUBSTITUTE($Z$6:$Z$100,"N","")),0)),SUMPRODUCT((BCC_MA=$B27)*IFERROR(VALUE(SUBSTITUTE($AA$6:$AA$100,"N","")),0)),SUMPRODUCT((BCC_MA=$B27)*IFERROR(VALUE(SUBSTITUTE($AB$6:$AB$100,"N","")),0)),SUMPRODUCT((BCC_MA=$B27)*IFERROR(VALUE(SUBSTITUTE($AC$6:$AC$100,"N","")),0)),SUMPRODUCT((BCC_MA=$B27)*IFERROR(VALUE(SUBSTITUTE($AD$6:$AD$100,"N","")),0)),SUMPRODUCT((BCC_MA=$B27)*IFERROR(VALUE(SUBSTITUTE($AE$6:$AE$100,"N","")),0)),SUMPRODUCT((BCC_MA=$B27)*IFERROR(VALUE(SUBSTITUTE($AF$6:$AF$100,"N","")),0)),SUMPRODUCT((BCC_MA=$B27)*IFERROR(VALUE(SUBSTITUTE($AG$6:$AG$100,"N","")),0)),SUMPRODUCT((BCC_MA=$B27)*IFERROR(VALUE(SUBSTITUTE($AH$6:$AH$100,"N","")),0)),SUMPRODUCT((BCC_MA=$B27)*IFERROR(VALUE(SUBSTITUTE($AI$6:$AI$100,"N","")),0)),SUMPRODUCT((BCC_MA=$B27)*IFERROR(VALUE(SUBSTITUTE($AJ$6:$AJ$100,"N","")),0)),SUMPRODUCT((BCC_MA=$B27)*IFERROR(VALUE(SUBSTITUTE($AK$6:$AK$100,"N","")),0))))</f>
        <v>8.3</v>
      </c>
    </row>
    <row r="28" customFormat="false" ht="15" hidden="false" customHeight="false" outlineLevel="0" collapsed="false">
      <c r="A28" s="17" t="n">
        <v>23</v>
      </c>
      <c r="B28" s="10" t="s">
        <v>133</v>
      </c>
      <c r="C28" s="17" t="str">
        <f aca="false">IF(B28="","",IFERROR(INDEX(NV_TEN,MATCH(B28,NV_MA,0)),"MÃ KHÔNG CÓ"))</f>
        <v>Hồ Thượng Thành</v>
      </c>
      <c r="D28" s="10" t="s">
        <v>75</v>
      </c>
      <c r="E28" s="18"/>
      <c r="F28" s="17" t="n">
        <f aca="false">IF(D28="","",IFERROR(INDEX(NH_GIO,MATCH(D28,NH_TEN,0)),"NHÓM?"))</f>
        <v>8</v>
      </c>
      <c r="G28" s="21"/>
      <c r="H28" s="21" t="n">
        <v>8</v>
      </c>
      <c r="I28" s="21"/>
      <c r="J28" s="21"/>
      <c r="K28" s="21"/>
      <c r="L28" s="21"/>
      <c r="M28" s="21"/>
      <c r="N28" s="21"/>
      <c r="O28" s="21"/>
      <c r="P28" s="21" t="s">
        <v>272</v>
      </c>
      <c r="Q28" s="21"/>
      <c r="R28" s="21"/>
      <c r="S28" s="21"/>
      <c r="T28" s="21" t="n">
        <v>12</v>
      </c>
      <c r="U28" s="21"/>
      <c r="V28" s="21"/>
      <c r="W28" s="21"/>
      <c r="X28" s="21"/>
      <c r="Y28" s="21"/>
      <c r="Z28" s="21"/>
      <c r="AA28" s="21"/>
      <c r="AB28" s="21"/>
      <c r="AC28" s="21"/>
      <c r="AD28" s="21"/>
      <c r="AE28" s="21"/>
      <c r="AF28" s="21"/>
      <c r="AG28" s="21"/>
      <c r="AH28" s="21"/>
      <c r="AI28" s="21"/>
      <c r="AJ28" s="21"/>
      <c r="AK28" s="21"/>
      <c r="AL28" s="22" t="n">
        <f aca="false">IF(B28="","",SUMPRODUCT(IFERROR(VALUE(SUBSTITUTE(G28:AK28,"N","")),0)))</f>
        <v>32</v>
      </c>
      <c r="AM28" s="23" t="n">
        <f aca="false">IF(B28="","",AL28/F28)</f>
        <v>4</v>
      </c>
      <c r="AN28" s="23" t="n">
        <f aca="false">IF(B28="","",SUMPRODUCT(ISNUMBER(SEARCH("N",G28:AK28))*IFERROR(VALUE(SUBSTITUTE(G28:AK28,"N","")),0))/F28)</f>
        <v>1.5</v>
      </c>
      <c r="AO28" s="10"/>
      <c r="AP28" s="10"/>
      <c r="AQ28" s="10"/>
      <c r="AR28" s="24" t="n">
        <f aca="false">IF(B28="",0,MAX(SUMPRODUCT((BCC_MA=$B28)*IFERROR(VALUE(SUBSTITUTE($G$6:$G$100,"N","")),0)),SUMPRODUCT((BCC_MA=$B28)*IFERROR(VALUE(SUBSTITUTE($H$6:$H$100,"N","")),0)),SUMPRODUCT((BCC_MA=$B28)*IFERROR(VALUE(SUBSTITUTE($I$6:$I$100,"N","")),0)),SUMPRODUCT((BCC_MA=$B28)*IFERROR(VALUE(SUBSTITUTE($J$6:$J$100,"N","")),0)),SUMPRODUCT((BCC_MA=$B28)*IFERROR(VALUE(SUBSTITUTE($K$6:$K$100,"N","")),0)),SUMPRODUCT((BCC_MA=$B28)*IFERROR(VALUE(SUBSTITUTE($L$6:$L$100,"N","")),0)),SUMPRODUCT((BCC_MA=$B28)*IFERROR(VALUE(SUBSTITUTE($M$6:$M$100,"N","")),0)),SUMPRODUCT((BCC_MA=$B28)*IFERROR(VALUE(SUBSTITUTE($N$6:$N$100,"N","")),0)),SUMPRODUCT((BCC_MA=$B28)*IFERROR(VALUE(SUBSTITUTE($O$6:$O$100,"N","")),0)),SUMPRODUCT((BCC_MA=$B28)*IFERROR(VALUE(SUBSTITUTE($P$6:$P$100,"N","")),0)),SUMPRODUCT((BCC_MA=$B28)*IFERROR(VALUE(SUBSTITUTE($Q$6:$Q$100,"N","")),0)),SUMPRODUCT((BCC_MA=$B28)*IFERROR(VALUE(SUBSTITUTE($R$6:$R$100,"N","")),0)),SUMPRODUCT((BCC_MA=$B28)*IFERROR(VALUE(SUBSTITUTE($S$6:$S$100,"N","")),0)),SUMPRODUCT((BCC_MA=$B28)*IFERROR(VALUE(SUBSTITUTE($T$6:$T$100,"N","")),0)),SUMPRODUCT((BCC_MA=$B28)*IFERROR(VALUE(SUBSTITUTE($U$6:$U$100,"N","")),0)),SUMPRODUCT((BCC_MA=$B28)*IFERROR(VALUE(SUBSTITUTE($V$6:$V$100,"N","")),0)),SUMPRODUCT((BCC_MA=$B28)*IFERROR(VALUE(SUBSTITUTE($W$6:$W$100,"N","")),0)),SUMPRODUCT((BCC_MA=$B28)*IFERROR(VALUE(SUBSTITUTE($X$6:$X$100,"N","")),0)),SUMPRODUCT((BCC_MA=$B28)*IFERROR(VALUE(SUBSTITUTE($Y$6:$Y$100,"N","")),0)),SUMPRODUCT((BCC_MA=$B28)*IFERROR(VALUE(SUBSTITUTE($Z$6:$Z$100,"N","")),0)),SUMPRODUCT((BCC_MA=$B28)*IFERROR(VALUE(SUBSTITUTE($AA$6:$AA$100,"N","")),0)),SUMPRODUCT((BCC_MA=$B28)*IFERROR(VALUE(SUBSTITUTE($AB$6:$AB$100,"N","")),0)),SUMPRODUCT((BCC_MA=$B28)*IFERROR(VALUE(SUBSTITUTE($AC$6:$AC$100,"N","")),0)),SUMPRODUCT((BCC_MA=$B28)*IFERROR(VALUE(SUBSTITUTE($AD$6:$AD$100,"N","")),0)),SUMPRODUCT((BCC_MA=$B28)*IFERROR(VALUE(SUBSTITUTE($AE$6:$AE$100,"N","")),0)),SUMPRODUCT((BCC_MA=$B28)*IFERROR(VALUE(SUBSTITUTE($AF$6:$AF$100,"N","")),0)),SUMPRODUCT((BCC_MA=$B28)*IFERROR(VALUE(SUBSTITUTE($AG$6:$AG$100,"N","")),0)),SUMPRODUCT((BCC_MA=$B28)*IFERROR(VALUE(SUBSTITUTE($AH$6:$AH$100,"N","")),0)),SUMPRODUCT((BCC_MA=$B28)*IFERROR(VALUE(SUBSTITUTE($AI$6:$AI$100,"N","")),0)),SUMPRODUCT((BCC_MA=$B28)*IFERROR(VALUE(SUBSTITUTE($AJ$6:$AJ$100,"N","")),0)),SUMPRODUCT((BCC_MA=$B28)*IFERROR(VALUE(SUBSTITUTE($AK$6:$AK$100,"N","")),0))))</f>
        <v>24</v>
      </c>
    </row>
    <row r="29" customFormat="false" ht="15" hidden="false" customHeight="false" outlineLevel="0" collapsed="false">
      <c r="A29" s="17" t="n">
        <v>24</v>
      </c>
      <c r="B29" s="10" t="s">
        <v>135</v>
      </c>
      <c r="C29" s="17" t="str">
        <f aca="false">IF(B29="","",IFERROR(INDEX(NV_TEN,MATCH(B29,NV_MA,0)),"MÃ KHÔNG CÓ"))</f>
        <v>Hồ Thượng Thư</v>
      </c>
      <c r="D29" s="10" t="s">
        <v>75</v>
      </c>
      <c r="E29" s="18"/>
      <c r="F29" s="17" t="n">
        <f aca="false">IF(D29="","",IFERROR(INDEX(NH_GIO,MATCH(D29,NH_TEN,0)),"NHÓM?"))</f>
        <v>8</v>
      </c>
      <c r="G29" s="21"/>
      <c r="H29" s="21" t="n">
        <v>8</v>
      </c>
      <c r="I29" s="21"/>
      <c r="J29" s="21" t="n">
        <v>12</v>
      </c>
      <c r="K29" s="21"/>
      <c r="L29" s="21"/>
      <c r="M29" s="21"/>
      <c r="N29" s="21"/>
      <c r="O29" s="21"/>
      <c r="P29" s="21"/>
      <c r="Q29" s="21"/>
      <c r="R29" s="21"/>
      <c r="S29" s="21"/>
      <c r="T29" s="21"/>
      <c r="U29" s="21" t="n">
        <v>12</v>
      </c>
      <c r="V29" s="21"/>
      <c r="W29" s="21"/>
      <c r="X29" s="21"/>
      <c r="Y29" s="21"/>
      <c r="Z29" s="21"/>
      <c r="AA29" s="21"/>
      <c r="AB29" s="21"/>
      <c r="AC29" s="21"/>
      <c r="AD29" s="21"/>
      <c r="AE29" s="21"/>
      <c r="AF29" s="21"/>
      <c r="AG29" s="21"/>
      <c r="AH29" s="21"/>
      <c r="AI29" s="21"/>
      <c r="AJ29" s="21"/>
      <c r="AK29" s="21"/>
      <c r="AL29" s="22" t="n">
        <f aca="false">IF(B29="","",SUMPRODUCT(IFERROR(VALUE(SUBSTITUTE(G29:AK29,"N","")),0)))</f>
        <v>32</v>
      </c>
      <c r="AM29" s="23" t="n">
        <f aca="false">IF(B29="","",AL29/F29)</f>
        <v>4</v>
      </c>
      <c r="AN29" s="23" t="n">
        <f aca="false">IF(B29="","",SUMPRODUCT(ISNUMBER(SEARCH("N",G29:AK29))*IFERROR(VALUE(SUBSTITUTE(G29:AK29,"N","")),0))/F29)</f>
        <v>0</v>
      </c>
      <c r="AO29" s="10"/>
      <c r="AP29" s="10"/>
      <c r="AQ29" s="10"/>
      <c r="AR29" s="24" t="n">
        <f aca="false">IF(B29="",0,MAX(SUMPRODUCT((BCC_MA=$B29)*IFERROR(VALUE(SUBSTITUTE($G$6:$G$100,"N","")),0)),SUMPRODUCT((BCC_MA=$B29)*IFERROR(VALUE(SUBSTITUTE($H$6:$H$100,"N","")),0)),SUMPRODUCT((BCC_MA=$B29)*IFERROR(VALUE(SUBSTITUTE($I$6:$I$100,"N","")),0)),SUMPRODUCT((BCC_MA=$B29)*IFERROR(VALUE(SUBSTITUTE($J$6:$J$100,"N","")),0)),SUMPRODUCT((BCC_MA=$B29)*IFERROR(VALUE(SUBSTITUTE($K$6:$K$100,"N","")),0)),SUMPRODUCT((BCC_MA=$B29)*IFERROR(VALUE(SUBSTITUTE($L$6:$L$100,"N","")),0)),SUMPRODUCT((BCC_MA=$B29)*IFERROR(VALUE(SUBSTITUTE($M$6:$M$100,"N","")),0)),SUMPRODUCT((BCC_MA=$B29)*IFERROR(VALUE(SUBSTITUTE($N$6:$N$100,"N","")),0)),SUMPRODUCT((BCC_MA=$B29)*IFERROR(VALUE(SUBSTITUTE($O$6:$O$100,"N","")),0)),SUMPRODUCT((BCC_MA=$B29)*IFERROR(VALUE(SUBSTITUTE($P$6:$P$100,"N","")),0)),SUMPRODUCT((BCC_MA=$B29)*IFERROR(VALUE(SUBSTITUTE($Q$6:$Q$100,"N","")),0)),SUMPRODUCT((BCC_MA=$B29)*IFERROR(VALUE(SUBSTITUTE($R$6:$R$100,"N","")),0)),SUMPRODUCT((BCC_MA=$B29)*IFERROR(VALUE(SUBSTITUTE($S$6:$S$100,"N","")),0)),SUMPRODUCT((BCC_MA=$B29)*IFERROR(VALUE(SUBSTITUTE($T$6:$T$100,"N","")),0)),SUMPRODUCT((BCC_MA=$B29)*IFERROR(VALUE(SUBSTITUTE($U$6:$U$100,"N","")),0)),SUMPRODUCT((BCC_MA=$B29)*IFERROR(VALUE(SUBSTITUTE($V$6:$V$100,"N","")),0)),SUMPRODUCT((BCC_MA=$B29)*IFERROR(VALUE(SUBSTITUTE($W$6:$W$100,"N","")),0)),SUMPRODUCT((BCC_MA=$B29)*IFERROR(VALUE(SUBSTITUTE($X$6:$X$100,"N","")),0)),SUMPRODUCT((BCC_MA=$B29)*IFERROR(VALUE(SUBSTITUTE($Y$6:$Y$100,"N","")),0)),SUMPRODUCT((BCC_MA=$B29)*IFERROR(VALUE(SUBSTITUTE($Z$6:$Z$100,"N","")),0)),SUMPRODUCT((BCC_MA=$B29)*IFERROR(VALUE(SUBSTITUTE($AA$6:$AA$100,"N","")),0)),SUMPRODUCT((BCC_MA=$B29)*IFERROR(VALUE(SUBSTITUTE($AB$6:$AB$100,"N","")),0)),SUMPRODUCT((BCC_MA=$B29)*IFERROR(VALUE(SUBSTITUTE($AC$6:$AC$100,"N","")),0)),SUMPRODUCT((BCC_MA=$B29)*IFERROR(VALUE(SUBSTITUTE($AD$6:$AD$100,"N","")),0)),SUMPRODUCT((BCC_MA=$B29)*IFERROR(VALUE(SUBSTITUTE($AE$6:$AE$100,"N","")),0)),SUMPRODUCT((BCC_MA=$B29)*IFERROR(VALUE(SUBSTITUTE($AF$6:$AF$100,"N","")),0)),SUMPRODUCT((BCC_MA=$B29)*IFERROR(VALUE(SUBSTITUTE($AG$6:$AG$100,"N","")),0)),SUMPRODUCT((BCC_MA=$B29)*IFERROR(VALUE(SUBSTITUTE($AH$6:$AH$100,"N","")),0)),SUMPRODUCT((BCC_MA=$B29)*IFERROR(VALUE(SUBSTITUTE($AI$6:$AI$100,"N","")),0)),SUMPRODUCT((BCC_MA=$B29)*IFERROR(VALUE(SUBSTITUTE($AJ$6:$AJ$100,"N","")),0)),SUMPRODUCT((BCC_MA=$B29)*IFERROR(VALUE(SUBSTITUTE($AK$6:$AK$100,"N","")),0))))</f>
        <v>12</v>
      </c>
    </row>
    <row r="30" customFormat="false" ht="15" hidden="false" customHeight="false" outlineLevel="0" collapsed="false">
      <c r="A30" s="17" t="n">
        <v>25</v>
      </c>
      <c r="B30" s="10" t="s">
        <v>137</v>
      </c>
      <c r="C30" s="17" t="str">
        <f aca="false">IF(B30="","",IFERROR(INDEX(NV_TEN,MATCH(B30,NV_MA,0)),"MÃ KHÔNG CÓ"))</f>
        <v>Lê Minh Chai</v>
      </c>
      <c r="D30" s="10" t="s">
        <v>75</v>
      </c>
      <c r="E30" s="18"/>
      <c r="F30" s="17" t="n">
        <f aca="false">IF(D30="","",IFERROR(INDEX(NH_GIO,MATCH(D30,NH_TEN,0)),"NHÓM?"))</f>
        <v>8</v>
      </c>
      <c r="G30" s="21" t="n">
        <v>8</v>
      </c>
      <c r="H30" s="21" t="n">
        <v>8</v>
      </c>
      <c r="I30" s="21" t="n">
        <v>8</v>
      </c>
      <c r="J30" s="21"/>
      <c r="K30" s="21" t="n">
        <v>8</v>
      </c>
      <c r="L30" s="21" t="n">
        <v>8</v>
      </c>
      <c r="M30" s="21" t="n">
        <v>8</v>
      </c>
      <c r="N30" s="21" t="n">
        <v>10</v>
      </c>
      <c r="O30" s="21" t="n">
        <v>8</v>
      </c>
      <c r="P30" s="21" t="n">
        <v>8</v>
      </c>
      <c r="Q30" s="21" t="n">
        <v>10</v>
      </c>
      <c r="R30" s="21" t="n">
        <v>10</v>
      </c>
      <c r="S30" s="21" t="n">
        <v>4</v>
      </c>
      <c r="T30" s="21" t="n">
        <v>8.3</v>
      </c>
      <c r="U30" s="21" t="n">
        <v>8</v>
      </c>
      <c r="V30" s="21"/>
      <c r="W30" s="21"/>
      <c r="X30" s="21"/>
      <c r="Y30" s="21"/>
      <c r="Z30" s="21"/>
      <c r="AA30" s="21"/>
      <c r="AB30" s="21"/>
      <c r="AC30" s="21"/>
      <c r="AD30" s="21"/>
      <c r="AE30" s="21"/>
      <c r="AF30" s="21"/>
      <c r="AG30" s="21"/>
      <c r="AH30" s="21"/>
      <c r="AI30" s="21"/>
      <c r="AJ30" s="21"/>
      <c r="AK30" s="21"/>
      <c r="AL30" s="22" t="n">
        <f aca="false">IF(B30="","",SUMPRODUCT(IFERROR(VALUE(SUBSTITUTE(G30:AK30,"N","")),0)))</f>
        <v>114.3</v>
      </c>
      <c r="AM30" s="23" t="n">
        <f aca="false">IF(B30="","",AL30/F30)</f>
        <v>14.2875</v>
      </c>
      <c r="AN30" s="23" t="n">
        <f aca="false">IF(B30="","",SUMPRODUCT(ISNUMBER(SEARCH("N",G30:AK30))*IFERROR(VALUE(SUBSTITUTE(G30:AK30,"N","")),0))/F30)</f>
        <v>0</v>
      </c>
      <c r="AO30" s="10"/>
      <c r="AP30" s="10"/>
      <c r="AQ30" s="10"/>
      <c r="AR30" s="24" t="n">
        <f aca="false">IF(B30="",0,MAX(SUMPRODUCT((BCC_MA=$B30)*IFERROR(VALUE(SUBSTITUTE($G$6:$G$100,"N","")),0)),SUMPRODUCT((BCC_MA=$B30)*IFERROR(VALUE(SUBSTITUTE($H$6:$H$100,"N","")),0)),SUMPRODUCT((BCC_MA=$B30)*IFERROR(VALUE(SUBSTITUTE($I$6:$I$100,"N","")),0)),SUMPRODUCT((BCC_MA=$B30)*IFERROR(VALUE(SUBSTITUTE($J$6:$J$100,"N","")),0)),SUMPRODUCT((BCC_MA=$B30)*IFERROR(VALUE(SUBSTITUTE($K$6:$K$100,"N","")),0)),SUMPRODUCT((BCC_MA=$B30)*IFERROR(VALUE(SUBSTITUTE($L$6:$L$100,"N","")),0)),SUMPRODUCT((BCC_MA=$B30)*IFERROR(VALUE(SUBSTITUTE($M$6:$M$100,"N","")),0)),SUMPRODUCT((BCC_MA=$B30)*IFERROR(VALUE(SUBSTITUTE($N$6:$N$100,"N","")),0)),SUMPRODUCT((BCC_MA=$B30)*IFERROR(VALUE(SUBSTITUTE($O$6:$O$100,"N","")),0)),SUMPRODUCT((BCC_MA=$B30)*IFERROR(VALUE(SUBSTITUTE($P$6:$P$100,"N","")),0)),SUMPRODUCT((BCC_MA=$B30)*IFERROR(VALUE(SUBSTITUTE($Q$6:$Q$100,"N","")),0)),SUMPRODUCT((BCC_MA=$B30)*IFERROR(VALUE(SUBSTITUTE($R$6:$R$100,"N","")),0)),SUMPRODUCT((BCC_MA=$B30)*IFERROR(VALUE(SUBSTITUTE($S$6:$S$100,"N","")),0)),SUMPRODUCT((BCC_MA=$B30)*IFERROR(VALUE(SUBSTITUTE($T$6:$T$100,"N","")),0)),SUMPRODUCT((BCC_MA=$B30)*IFERROR(VALUE(SUBSTITUTE($U$6:$U$100,"N","")),0)),SUMPRODUCT((BCC_MA=$B30)*IFERROR(VALUE(SUBSTITUTE($V$6:$V$100,"N","")),0)),SUMPRODUCT((BCC_MA=$B30)*IFERROR(VALUE(SUBSTITUTE($W$6:$W$100,"N","")),0)),SUMPRODUCT((BCC_MA=$B30)*IFERROR(VALUE(SUBSTITUTE($X$6:$X$100,"N","")),0)),SUMPRODUCT((BCC_MA=$B30)*IFERROR(VALUE(SUBSTITUTE($Y$6:$Y$100,"N","")),0)),SUMPRODUCT((BCC_MA=$B30)*IFERROR(VALUE(SUBSTITUTE($Z$6:$Z$100,"N","")),0)),SUMPRODUCT((BCC_MA=$B30)*IFERROR(VALUE(SUBSTITUTE($AA$6:$AA$100,"N","")),0)),SUMPRODUCT((BCC_MA=$B30)*IFERROR(VALUE(SUBSTITUTE($AB$6:$AB$100,"N","")),0)),SUMPRODUCT((BCC_MA=$B30)*IFERROR(VALUE(SUBSTITUTE($AC$6:$AC$100,"N","")),0)),SUMPRODUCT((BCC_MA=$B30)*IFERROR(VALUE(SUBSTITUTE($AD$6:$AD$100,"N","")),0)),SUMPRODUCT((BCC_MA=$B30)*IFERROR(VALUE(SUBSTITUTE($AE$6:$AE$100,"N","")),0)),SUMPRODUCT((BCC_MA=$B30)*IFERROR(VALUE(SUBSTITUTE($AF$6:$AF$100,"N","")),0)),SUMPRODUCT((BCC_MA=$B30)*IFERROR(VALUE(SUBSTITUTE($AG$6:$AG$100,"N","")),0)),SUMPRODUCT((BCC_MA=$B30)*IFERROR(VALUE(SUBSTITUTE($AH$6:$AH$100,"N","")),0)),SUMPRODUCT((BCC_MA=$B30)*IFERROR(VALUE(SUBSTITUTE($AI$6:$AI$100,"N","")),0)),SUMPRODUCT((BCC_MA=$B30)*IFERROR(VALUE(SUBSTITUTE($AJ$6:$AJ$100,"N","")),0)),SUMPRODUCT((BCC_MA=$B30)*IFERROR(VALUE(SUBSTITUTE($AK$6:$AK$100,"N","")),0))))</f>
        <v>10</v>
      </c>
    </row>
    <row r="31" customFormat="false" ht="15" hidden="false" customHeight="false" outlineLevel="0" collapsed="false">
      <c r="A31" s="17" t="n">
        <v>26</v>
      </c>
      <c r="B31" s="10" t="s">
        <v>141</v>
      </c>
      <c r="C31" s="17" t="str">
        <f aca="false">IF(B31="","",IFERROR(INDEX(NV_TEN,MATCH(B31,NV_MA,0)),"MÃ KHÔNG CÓ"))</f>
        <v>Hồ Thị Dịu</v>
      </c>
      <c r="D31" s="10" t="s">
        <v>75</v>
      </c>
      <c r="E31" s="18"/>
      <c r="F31" s="17" t="n">
        <f aca="false">IF(D31="","",IFERROR(INDEX(NH_GIO,MATCH(D31,NH_TEN,0)),"NHÓM?"))</f>
        <v>8</v>
      </c>
      <c r="G31" s="21" t="n">
        <v>8</v>
      </c>
      <c r="H31" s="21" t="n">
        <v>8</v>
      </c>
      <c r="I31" s="21" t="n">
        <v>8</v>
      </c>
      <c r="J31" s="21"/>
      <c r="K31" s="21" t="n">
        <v>8</v>
      </c>
      <c r="L31" s="21" t="n">
        <v>8</v>
      </c>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2" t="n">
        <f aca="false">IF(B31="","",SUMPRODUCT(IFERROR(VALUE(SUBSTITUTE(G31:AK31,"N","")),0)))</f>
        <v>40</v>
      </c>
      <c r="AM31" s="23" t="n">
        <f aca="false">IF(B31="","",AL31/F31)</f>
        <v>5</v>
      </c>
      <c r="AN31" s="23" t="n">
        <f aca="false">IF(B31="","",SUMPRODUCT(ISNUMBER(SEARCH("N",G31:AK31))*IFERROR(VALUE(SUBSTITUTE(G31:AK31,"N","")),0))/F31)</f>
        <v>0</v>
      </c>
      <c r="AO31" s="10"/>
      <c r="AP31" s="10"/>
      <c r="AQ31" s="10"/>
      <c r="AR31" s="24" t="n">
        <f aca="false">IF(B31="",0,MAX(SUMPRODUCT((BCC_MA=$B31)*IFERROR(VALUE(SUBSTITUTE($G$6:$G$100,"N","")),0)),SUMPRODUCT((BCC_MA=$B31)*IFERROR(VALUE(SUBSTITUTE($H$6:$H$100,"N","")),0)),SUMPRODUCT((BCC_MA=$B31)*IFERROR(VALUE(SUBSTITUTE($I$6:$I$100,"N","")),0)),SUMPRODUCT((BCC_MA=$B31)*IFERROR(VALUE(SUBSTITUTE($J$6:$J$100,"N","")),0)),SUMPRODUCT((BCC_MA=$B31)*IFERROR(VALUE(SUBSTITUTE($K$6:$K$100,"N","")),0)),SUMPRODUCT((BCC_MA=$B31)*IFERROR(VALUE(SUBSTITUTE($L$6:$L$100,"N","")),0)),SUMPRODUCT((BCC_MA=$B31)*IFERROR(VALUE(SUBSTITUTE($M$6:$M$100,"N","")),0)),SUMPRODUCT((BCC_MA=$B31)*IFERROR(VALUE(SUBSTITUTE($N$6:$N$100,"N","")),0)),SUMPRODUCT((BCC_MA=$B31)*IFERROR(VALUE(SUBSTITUTE($O$6:$O$100,"N","")),0)),SUMPRODUCT((BCC_MA=$B31)*IFERROR(VALUE(SUBSTITUTE($P$6:$P$100,"N","")),0)),SUMPRODUCT((BCC_MA=$B31)*IFERROR(VALUE(SUBSTITUTE($Q$6:$Q$100,"N","")),0)),SUMPRODUCT((BCC_MA=$B31)*IFERROR(VALUE(SUBSTITUTE($R$6:$R$100,"N","")),0)),SUMPRODUCT((BCC_MA=$B31)*IFERROR(VALUE(SUBSTITUTE($S$6:$S$100,"N","")),0)),SUMPRODUCT((BCC_MA=$B31)*IFERROR(VALUE(SUBSTITUTE($T$6:$T$100,"N","")),0)),SUMPRODUCT((BCC_MA=$B31)*IFERROR(VALUE(SUBSTITUTE($U$6:$U$100,"N","")),0)),SUMPRODUCT((BCC_MA=$B31)*IFERROR(VALUE(SUBSTITUTE($V$6:$V$100,"N","")),0)),SUMPRODUCT((BCC_MA=$B31)*IFERROR(VALUE(SUBSTITUTE($W$6:$W$100,"N","")),0)),SUMPRODUCT((BCC_MA=$B31)*IFERROR(VALUE(SUBSTITUTE($X$6:$X$100,"N","")),0)),SUMPRODUCT((BCC_MA=$B31)*IFERROR(VALUE(SUBSTITUTE($Y$6:$Y$100,"N","")),0)),SUMPRODUCT((BCC_MA=$B31)*IFERROR(VALUE(SUBSTITUTE($Z$6:$Z$100,"N","")),0)),SUMPRODUCT((BCC_MA=$B31)*IFERROR(VALUE(SUBSTITUTE($AA$6:$AA$100,"N","")),0)),SUMPRODUCT((BCC_MA=$B31)*IFERROR(VALUE(SUBSTITUTE($AB$6:$AB$100,"N","")),0)),SUMPRODUCT((BCC_MA=$B31)*IFERROR(VALUE(SUBSTITUTE($AC$6:$AC$100,"N","")),0)),SUMPRODUCT((BCC_MA=$B31)*IFERROR(VALUE(SUBSTITUTE($AD$6:$AD$100,"N","")),0)),SUMPRODUCT((BCC_MA=$B31)*IFERROR(VALUE(SUBSTITUTE($AE$6:$AE$100,"N","")),0)),SUMPRODUCT((BCC_MA=$B31)*IFERROR(VALUE(SUBSTITUTE($AF$6:$AF$100,"N","")),0)),SUMPRODUCT((BCC_MA=$B31)*IFERROR(VALUE(SUBSTITUTE($AG$6:$AG$100,"N","")),0)),SUMPRODUCT((BCC_MA=$B31)*IFERROR(VALUE(SUBSTITUTE($AH$6:$AH$100,"N","")),0)),SUMPRODUCT((BCC_MA=$B31)*IFERROR(VALUE(SUBSTITUTE($AI$6:$AI$100,"N","")),0)),SUMPRODUCT((BCC_MA=$B31)*IFERROR(VALUE(SUBSTITUTE($AJ$6:$AJ$100,"N","")),0)),SUMPRODUCT((BCC_MA=$B31)*IFERROR(VALUE(SUBSTITUTE($AK$6:$AK$100,"N","")),0))))</f>
        <v>8</v>
      </c>
    </row>
    <row r="32" customFormat="false" ht="15" hidden="false" customHeight="false" outlineLevel="0" collapsed="false">
      <c r="A32" s="17" t="n">
        <v>27</v>
      </c>
      <c r="B32" s="10" t="s">
        <v>145</v>
      </c>
      <c r="C32" s="17" t="str">
        <f aca="false">IF(B32="","",IFERROR(INDEX(NV_TEN,MATCH(B32,NV_MA,0)),"MÃ KHÔNG CÓ"))</f>
        <v>Lê Văn Đạt</v>
      </c>
      <c r="D32" s="10" t="s">
        <v>78</v>
      </c>
      <c r="E32" s="18"/>
      <c r="F32" s="17" t="n">
        <f aca="false">IF(D32="","",IFERROR(INDEX(NH_GIO,MATCH(D32,NH_TEN,0)),"NHÓM?"))</f>
        <v>8</v>
      </c>
      <c r="G32" s="21"/>
      <c r="H32" s="21" t="n">
        <v>8</v>
      </c>
      <c r="I32" s="21" t="n">
        <v>8</v>
      </c>
      <c r="J32" s="21" t="n">
        <v>8</v>
      </c>
      <c r="K32" s="21"/>
      <c r="L32" s="21"/>
      <c r="M32" s="21" t="n">
        <v>8</v>
      </c>
      <c r="N32" s="21"/>
      <c r="O32" s="21"/>
      <c r="P32" s="21"/>
      <c r="Q32" s="21" t="n">
        <v>8</v>
      </c>
      <c r="R32" s="21"/>
      <c r="S32" s="21" t="n">
        <v>8</v>
      </c>
      <c r="T32" s="21" t="n">
        <v>8</v>
      </c>
      <c r="U32" s="21" t="n">
        <v>8</v>
      </c>
      <c r="V32" s="21"/>
      <c r="W32" s="21" t="n">
        <v>8</v>
      </c>
      <c r="X32" s="21"/>
      <c r="Y32" s="21"/>
      <c r="Z32" s="21"/>
      <c r="AA32" s="21"/>
      <c r="AB32" s="21"/>
      <c r="AC32" s="21"/>
      <c r="AD32" s="21"/>
      <c r="AE32" s="21"/>
      <c r="AF32" s="21"/>
      <c r="AG32" s="21"/>
      <c r="AH32" s="21"/>
      <c r="AI32" s="21"/>
      <c r="AJ32" s="21"/>
      <c r="AK32" s="21"/>
      <c r="AL32" s="22" t="n">
        <f aca="false">IF(B32="","",SUMPRODUCT(IFERROR(VALUE(SUBSTITUTE(G32:AK32,"N","")),0)))</f>
        <v>72</v>
      </c>
      <c r="AM32" s="23" t="n">
        <f aca="false">IF(B32="","",AL32/F32)</f>
        <v>9</v>
      </c>
      <c r="AN32" s="23" t="n">
        <f aca="false">IF(B32="","",SUMPRODUCT(ISNUMBER(SEARCH("N",G32:AK32))*IFERROR(VALUE(SUBSTITUTE(G32:AK32,"N","")),0))/F32)</f>
        <v>0</v>
      </c>
      <c r="AO32" s="10"/>
      <c r="AP32" s="10"/>
      <c r="AQ32" s="10"/>
      <c r="AR32" s="24" t="n">
        <f aca="false">IF(B32="",0,MAX(SUMPRODUCT((BCC_MA=$B32)*IFERROR(VALUE(SUBSTITUTE($G$6:$G$100,"N","")),0)),SUMPRODUCT((BCC_MA=$B32)*IFERROR(VALUE(SUBSTITUTE($H$6:$H$100,"N","")),0)),SUMPRODUCT((BCC_MA=$B32)*IFERROR(VALUE(SUBSTITUTE($I$6:$I$100,"N","")),0)),SUMPRODUCT((BCC_MA=$B32)*IFERROR(VALUE(SUBSTITUTE($J$6:$J$100,"N","")),0)),SUMPRODUCT((BCC_MA=$B32)*IFERROR(VALUE(SUBSTITUTE($K$6:$K$100,"N","")),0)),SUMPRODUCT((BCC_MA=$B32)*IFERROR(VALUE(SUBSTITUTE($L$6:$L$100,"N","")),0)),SUMPRODUCT((BCC_MA=$B32)*IFERROR(VALUE(SUBSTITUTE($M$6:$M$100,"N","")),0)),SUMPRODUCT((BCC_MA=$B32)*IFERROR(VALUE(SUBSTITUTE($N$6:$N$100,"N","")),0)),SUMPRODUCT((BCC_MA=$B32)*IFERROR(VALUE(SUBSTITUTE($O$6:$O$100,"N","")),0)),SUMPRODUCT((BCC_MA=$B32)*IFERROR(VALUE(SUBSTITUTE($P$6:$P$100,"N","")),0)),SUMPRODUCT((BCC_MA=$B32)*IFERROR(VALUE(SUBSTITUTE($Q$6:$Q$100,"N","")),0)),SUMPRODUCT((BCC_MA=$B32)*IFERROR(VALUE(SUBSTITUTE($R$6:$R$100,"N","")),0)),SUMPRODUCT((BCC_MA=$B32)*IFERROR(VALUE(SUBSTITUTE($S$6:$S$100,"N","")),0)),SUMPRODUCT((BCC_MA=$B32)*IFERROR(VALUE(SUBSTITUTE($T$6:$T$100,"N","")),0)),SUMPRODUCT((BCC_MA=$B32)*IFERROR(VALUE(SUBSTITUTE($U$6:$U$100,"N","")),0)),SUMPRODUCT((BCC_MA=$B32)*IFERROR(VALUE(SUBSTITUTE($V$6:$V$100,"N","")),0)),SUMPRODUCT((BCC_MA=$B32)*IFERROR(VALUE(SUBSTITUTE($W$6:$W$100,"N","")),0)),SUMPRODUCT((BCC_MA=$B32)*IFERROR(VALUE(SUBSTITUTE($X$6:$X$100,"N","")),0)),SUMPRODUCT((BCC_MA=$B32)*IFERROR(VALUE(SUBSTITUTE($Y$6:$Y$100,"N","")),0)),SUMPRODUCT((BCC_MA=$B32)*IFERROR(VALUE(SUBSTITUTE($Z$6:$Z$100,"N","")),0)),SUMPRODUCT((BCC_MA=$B32)*IFERROR(VALUE(SUBSTITUTE($AA$6:$AA$100,"N","")),0)),SUMPRODUCT((BCC_MA=$B32)*IFERROR(VALUE(SUBSTITUTE($AB$6:$AB$100,"N","")),0)),SUMPRODUCT((BCC_MA=$B32)*IFERROR(VALUE(SUBSTITUTE($AC$6:$AC$100,"N","")),0)),SUMPRODUCT((BCC_MA=$B32)*IFERROR(VALUE(SUBSTITUTE($AD$6:$AD$100,"N","")),0)),SUMPRODUCT((BCC_MA=$B32)*IFERROR(VALUE(SUBSTITUTE($AE$6:$AE$100,"N","")),0)),SUMPRODUCT((BCC_MA=$B32)*IFERROR(VALUE(SUBSTITUTE($AF$6:$AF$100,"N","")),0)),SUMPRODUCT((BCC_MA=$B32)*IFERROR(VALUE(SUBSTITUTE($AG$6:$AG$100,"N","")),0)),SUMPRODUCT((BCC_MA=$B32)*IFERROR(VALUE(SUBSTITUTE($AH$6:$AH$100,"N","")),0)),SUMPRODUCT((BCC_MA=$B32)*IFERROR(VALUE(SUBSTITUTE($AI$6:$AI$100,"N","")),0)),SUMPRODUCT((BCC_MA=$B32)*IFERROR(VALUE(SUBSTITUTE($AJ$6:$AJ$100,"N","")),0)),SUMPRODUCT((BCC_MA=$B32)*IFERROR(VALUE(SUBSTITUTE($AK$6:$AK$100,"N","")),0))))</f>
        <v>8</v>
      </c>
    </row>
    <row r="33" customFormat="false" ht="15" hidden="false" customHeight="false" outlineLevel="0" collapsed="false">
      <c r="A33" s="17" t="n">
        <v>28</v>
      </c>
      <c r="B33" s="10" t="s">
        <v>149</v>
      </c>
      <c r="C33" s="17" t="str">
        <f aca="false">IF(B33="","",IFERROR(INDEX(NV_TEN,MATCH(B33,NV_MA,0)),"MÃ KHÔNG CÓ"))</f>
        <v>Nguyễn Văn Ánh</v>
      </c>
      <c r="D33" s="10" t="s">
        <v>78</v>
      </c>
      <c r="E33" s="18"/>
      <c r="F33" s="17" t="n">
        <f aca="false">IF(D33="","",IFERROR(INDEX(NH_GIO,MATCH(D33,NH_TEN,0)),"NHÓM?"))</f>
        <v>8</v>
      </c>
      <c r="G33" s="21"/>
      <c r="H33" s="21"/>
      <c r="I33" s="21"/>
      <c r="J33" s="21" t="n">
        <v>12</v>
      </c>
      <c r="K33" s="21"/>
      <c r="L33" s="21"/>
      <c r="M33" s="21" t="n">
        <v>8</v>
      </c>
      <c r="N33" s="21"/>
      <c r="O33" s="21"/>
      <c r="P33" s="21"/>
      <c r="Q33" s="21" t="n">
        <v>8</v>
      </c>
      <c r="R33" s="21"/>
      <c r="S33" s="21" t="n">
        <v>8</v>
      </c>
      <c r="T33" s="21"/>
      <c r="U33" s="21" t="n">
        <v>8</v>
      </c>
      <c r="V33" s="21"/>
      <c r="W33" s="21"/>
      <c r="X33" s="21"/>
      <c r="Y33" s="21"/>
      <c r="Z33" s="21"/>
      <c r="AA33" s="21"/>
      <c r="AB33" s="21"/>
      <c r="AC33" s="21"/>
      <c r="AD33" s="21"/>
      <c r="AE33" s="21"/>
      <c r="AF33" s="21"/>
      <c r="AG33" s="21"/>
      <c r="AH33" s="21"/>
      <c r="AI33" s="21"/>
      <c r="AJ33" s="21"/>
      <c r="AK33" s="21"/>
      <c r="AL33" s="22" t="n">
        <f aca="false">IF(B33="","",SUMPRODUCT(IFERROR(VALUE(SUBSTITUTE(G33:AK33,"N","")),0)))</f>
        <v>44</v>
      </c>
      <c r="AM33" s="23" t="n">
        <f aca="false">IF(B33="","",AL33/F33)</f>
        <v>5.5</v>
      </c>
      <c r="AN33" s="23" t="n">
        <f aca="false">IF(B33="","",SUMPRODUCT(ISNUMBER(SEARCH("N",G33:AK33))*IFERROR(VALUE(SUBSTITUTE(G33:AK33,"N","")),0))/F33)</f>
        <v>0</v>
      </c>
      <c r="AO33" s="10"/>
      <c r="AP33" s="10"/>
      <c r="AQ33" s="10"/>
      <c r="AR33" s="24" t="n">
        <f aca="false">IF(B33="",0,MAX(SUMPRODUCT((BCC_MA=$B33)*IFERROR(VALUE(SUBSTITUTE($G$6:$G$100,"N","")),0)),SUMPRODUCT((BCC_MA=$B33)*IFERROR(VALUE(SUBSTITUTE($H$6:$H$100,"N","")),0)),SUMPRODUCT((BCC_MA=$B33)*IFERROR(VALUE(SUBSTITUTE($I$6:$I$100,"N","")),0)),SUMPRODUCT((BCC_MA=$B33)*IFERROR(VALUE(SUBSTITUTE($J$6:$J$100,"N","")),0)),SUMPRODUCT((BCC_MA=$B33)*IFERROR(VALUE(SUBSTITUTE($K$6:$K$100,"N","")),0)),SUMPRODUCT((BCC_MA=$B33)*IFERROR(VALUE(SUBSTITUTE($L$6:$L$100,"N","")),0)),SUMPRODUCT((BCC_MA=$B33)*IFERROR(VALUE(SUBSTITUTE($M$6:$M$100,"N","")),0)),SUMPRODUCT((BCC_MA=$B33)*IFERROR(VALUE(SUBSTITUTE($N$6:$N$100,"N","")),0)),SUMPRODUCT((BCC_MA=$B33)*IFERROR(VALUE(SUBSTITUTE($O$6:$O$100,"N","")),0)),SUMPRODUCT((BCC_MA=$B33)*IFERROR(VALUE(SUBSTITUTE($P$6:$P$100,"N","")),0)),SUMPRODUCT((BCC_MA=$B33)*IFERROR(VALUE(SUBSTITUTE($Q$6:$Q$100,"N","")),0)),SUMPRODUCT((BCC_MA=$B33)*IFERROR(VALUE(SUBSTITUTE($R$6:$R$100,"N","")),0)),SUMPRODUCT((BCC_MA=$B33)*IFERROR(VALUE(SUBSTITUTE($S$6:$S$100,"N","")),0)),SUMPRODUCT((BCC_MA=$B33)*IFERROR(VALUE(SUBSTITUTE($T$6:$T$100,"N","")),0)),SUMPRODUCT((BCC_MA=$B33)*IFERROR(VALUE(SUBSTITUTE($U$6:$U$100,"N","")),0)),SUMPRODUCT((BCC_MA=$B33)*IFERROR(VALUE(SUBSTITUTE($V$6:$V$100,"N","")),0)),SUMPRODUCT((BCC_MA=$B33)*IFERROR(VALUE(SUBSTITUTE($W$6:$W$100,"N","")),0)),SUMPRODUCT((BCC_MA=$B33)*IFERROR(VALUE(SUBSTITUTE($X$6:$X$100,"N","")),0)),SUMPRODUCT((BCC_MA=$B33)*IFERROR(VALUE(SUBSTITUTE($Y$6:$Y$100,"N","")),0)),SUMPRODUCT((BCC_MA=$B33)*IFERROR(VALUE(SUBSTITUTE($Z$6:$Z$100,"N","")),0)),SUMPRODUCT((BCC_MA=$B33)*IFERROR(VALUE(SUBSTITUTE($AA$6:$AA$100,"N","")),0)),SUMPRODUCT((BCC_MA=$B33)*IFERROR(VALUE(SUBSTITUTE($AB$6:$AB$100,"N","")),0)),SUMPRODUCT((BCC_MA=$B33)*IFERROR(VALUE(SUBSTITUTE($AC$6:$AC$100,"N","")),0)),SUMPRODUCT((BCC_MA=$B33)*IFERROR(VALUE(SUBSTITUTE($AD$6:$AD$100,"N","")),0)),SUMPRODUCT((BCC_MA=$B33)*IFERROR(VALUE(SUBSTITUTE($AE$6:$AE$100,"N","")),0)),SUMPRODUCT((BCC_MA=$B33)*IFERROR(VALUE(SUBSTITUTE($AF$6:$AF$100,"N","")),0)),SUMPRODUCT((BCC_MA=$B33)*IFERROR(VALUE(SUBSTITUTE($AG$6:$AG$100,"N","")),0)),SUMPRODUCT((BCC_MA=$B33)*IFERROR(VALUE(SUBSTITUTE($AH$6:$AH$100,"N","")),0)),SUMPRODUCT((BCC_MA=$B33)*IFERROR(VALUE(SUBSTITUTE($AI$6:$AI$100,"N","")),0)),SUMPRODUCT((BCC_MA=$B33)*IFERROR(VALUE(SUBSTITUTE($AJ$6:$AJ$100,"N","")),0)),SUMPRODUCT((BCC_MA=$B33)*IFERROR(VALUE(SUBSTITUTE($AK$6:$AK$100,"N","")),0))))</f>
        <v>12</v>
      </c>
    </row>
    <row r="34" customFormat="false" ht="15" hidden="false" customHeight="false" outlineLevel="0" collapsed="false">
      <c r="A34" s="17" t="n">
        <v>29</v>
      </c>
      <c r="B34" s="10" t="s">
        <v>152</v>
      </c>
      <c r="C34" s="17" t="str">
        <f aca="false">IF(B34="","",IFERROR(INDEX(NV_TEN,MATCH(B34,NV_MA,0)),"MÃ KHÔNG CÓ"))</f>
        <v>Lê Đăng Đức</v>
      </c>
      <c r="D34" s="10" t="s">
        <v>78</v>
      </c>
      <c r="E34" s="18"/>
      <c r="F34" s="17" t="n">
        <f aca="false">IF(D34="","",IFERROR(INDEX(NH_GIO,MATCH(D34,NH_TEN,0)),"NHÓM?"))</f>
        <v>8</v>
      </c>
      <c r="G34" s="21"/>
      <c r="H34" s="21" t="n">
        <v>8</v>
      </c>
      <c r="I34" s="21" t="n">
        <v>8</v>
      </c>
      <c r="J34" s="21" t="n">
        <v>12</v>
      </c>
      <c r="K34" s="21" t="n">
        <v>8</v>
      </c>
      <c r="L34" s="21" t="n">
        <v>8</v>
      </c>
      <c r="M34" s="21" t="n">
        <v>8</v>
      </c>
      <c r="N34" s="21"/>
      <c r="O34" s="21"/>
      <c r="P34" s="21"/>
      <c r="Q34" s="21" t="n">
        <v>4</v>
      </c>
      <c r="R34" s="21"/>
      <c r="S34" s="21" t="n">
        <v>8</v>
      </c>
      <c r="T34" s="21"/>
      <c r="U34" s="21" t="n">
        <v>8</v>
      </c>
      <c r="V34" s="21"/>
      <c r="W34" s="21"/>
      <c r="X34" s="21"/>
      <c r="Y34" s="21"/>
      <c r="Z34" s="21"/>
      <c r="AA34" s="21"/>
      <c r="AB34" s="21"/>
      <c r="AC34" s="21"/>
      <c r="AD34" s="21"/>
      <c r="AE34" s="21"/>
      <c r="AF34" s="21"/>
      <c r="AG34" s="21"/>
      <c r="AH34" s="21"/>
      <c r="AI34" s="21"/>
      <c r="AJ34" s="21"/>
      <c r="AK34" s="21"/>
      <c r="AL34" s="22" t="n">
        <f aca="false">IF(B34="","",SUMPRODUCT(IFERROR(VALUE(SUBSTITUTE(G34:AK34,"N","")),0)))</f>
        <v>72</v>
      </c>
      <c r="AM34" s="23" t="n">
        <f aca="false">IF(B34="","",AL34/F34)</f>
        <v>9</v>
      </c>
      <c r="AN34" s="23" t="n">
        <f aca="false">IF(B34="","",SUMPRODUCT(ISNUMBER(SEARCH("N",G34:AK34))*IFERROR(VALUE(SUBSTITUTE(G34:AK34,"N","")),0))/F34)</f>
        <v>0</v>
      </c>
      <c r="AO34" s="10"/>
      <c r="AP34" s="10"/>
      <c r="AQ34" s="10"/>
      <c r="AR34" s="24" t="n">
        <f aca="false">IF(B34="",0,MAX(SUMPRODUCT((BCC_MA=$B34)*IFERROR(VALUE(SUBSTITUTE($G$6:$G$100,"N","")),0)),SUMPRODUCT((BCC_MA=$B34)*IFERROR(VALUE(SUBSTITUTE($H$6:$H$100,"N","")),0)),SUMPRODUCT((BCC_MA=$B34)*IFERROR(VALUE(SUBSTITUTE($I$6:$I$100,"N","")),0)),SUMPRODUCT((BCC_MA=$B34)*IFERROR(VALUE(SUBSTITUTE($J$6:$J$100,"N","")),0)),SUMPRODUCT((BCC_MA=$B34)*IFERROR(VALUE(SUBSTITUTE($K$6:$K$100,"N","")),0)),SUMPRODUCT((BCC_MA=$B34)*IFERROR(VALUE(SUBSTITUTE($L$6:$L$100,"N","")),0)),SUMPRODUCT((BCC_MA=$B34)*IFERROR(VALUE(SUBSTITUTE($M$6:$M$100,"N","")),0)),SUMPRODUCT((BCC_MA=$B34)*IFERROR(VALUE(SUBSTITUTE($N$6:$N$100,"N","")),0)),SUMPRODUCT((BCC_MA=$B34)*IFERROR(VALUE(SUBSTITUTE($O$6:$O$100,"N","")),0)),SUMPRODUCT((BCC_MA=$B34)*IFERROR(VALUE(SUBSTITUTE($P$6:$P$100,"N","")),0)),SUMPRODUCT((BCC_MA=$B34)*IFERROR(VALUE(SUBSTITUTE($Q$6:$Q$100,"N","")),0)),SUMPRODUCT((BCC_MA=$B34)*IFERROR(VALUE(SUBSTITUTE($R$6:$R$100,"N","")),0)),SUMPRODUCT((BCC_MA=$B34)*IFERROR(VALUE(SUBSTITUTE($S$6:$S$100,"N","")),0)),SUMPRODUCT((BCC_MA=$B34)*IFERROR(VALUE(SUBSTITUTE($T$6:$T$100,"N","")),0)),SUMPRODUCT((BCC_MA=$B34)*IFERROR(VALUE(SUBSTITUTE($U$6:$U$100,"N","")),0)),SUMPRODUCT((BCC_MA=$B34)*IFERROR(VALUE(SUBSTITUTE($V$6:$V$100,"N","")),0)),SUMPRODUCT((BCC_MA=$B34)*IFERROR(VALUE(SUBSTITUTE($W$6:$W$100,"N","")),0)),SUMPRODUCT((BCC_MA=$B34)*IFERROR(VALUE(SUBSTITUTE($X$6:$X$100,"N","")),0)),SUMPRODUCT((BCC_MA=$B34)*IFERROR(VALUE(SUBSTITUTE($Y$6:$Y$100,"N","")),0)),SUMPRODUCT((BCC_MA=$B34)*IFERROR(VALUE(SUBSTITUTE($Z$6:$Z$100,"N","")),0)),SUMPRODUCT((BCC_MA=$B34)*IFERROR(VALUE(SUBSTITUTE($AA$6:$AA$100,"N","")),0)),SUMPRODUCT((BCC_MA=$B34)*IFERROR(VALUE(SUBSTITUTE($AB$6:$AB$100,"N","")),0)),SUMPRODUCT((BCC_MA=$B34)*IFERROR(VALUE(SUBSTITUTE($AC$6:$AC$100,"N","")),0)),SUMPRODUCT((BCC_MA=$B34)*IFERROR(VALUE(SUBSTITUTE($AD$6:$AD$100,"N","")),0)),SUMPRODUCT((BCC_MA=$B34)*IFERROR(VALUE(SUBSTITUTE($AE$6:$AE$100,"N","")),0)),SUMPRODUCT((BCC_MA=$B34)*IFERROR(VALUE(SUBSTITUTE($AF$6:$AF$100,"N","")),0)),SUMPRODUCT((BCC_MA=$B34)*IFERROR(VALUE(SUBSTITUTE($AG$6:$AG$100,"N","")),0)),SUMPRODUCT((BCC_MA=$B34)*IFERROR(VALUE(SUBSTITUTE($AH$6:$AH$100,"N","")),0)),SUMPRODUCT((BCC_MA=$B34)*IFERROR(VALUE(SUBSTITUTE($AI$6:$AI$100,"N","")),0)),SUMPRODUCT((BCC_MA=$B34)*IFERROR(VALUE(SUBSTITUTE($AJ$6:$AJ$100,"N","")),0)),SUMPRODUCT((BCC_MA=$B34)*IFERROR(VALUE(SUBSTITUTE($AK$6:$AK$100,"N","")),0))))</f>
        <v>12</v>
      </c>
    </row>
    <row r="35" customFormat="false" ht="15" hidden="false" customHeight="false" outlineLevel="0" collapsed="false">
      <c r="A35" s="17" t="n">
        <v>30</v>
      </c>
      <c r="B35" s="10" t="s">
        <v>154</v>
      </c>
      <c r="C35" s="17" t="str">
        <f aca="false">IF(B35="","",IFERROR(INDEX(NV_TEN,MATCH(B35,NV_MA,0)),"MÃ KHÔNG CÓ"))</f>
        <v>Phạm Khai</v>
      </c>
      <c r="D35" s="10" t="s">
        <v>78</v>
      </c>
      <c r="E35" s="18"/>
      <c r="F35" s="17" t="n">
        <f aca="false">IF(D35="","",IFERROR(INDEX(NH_GIO,MATCH(D35,NH_TEN,0)),"NHÓM?"))</f>
        <v>8</v>
      </c>
      <c r="G35" s="21"/>
      <c r="H35" s="21" t="n">
        <v>8</v>
      </c>
      <c r="I35" s="21" t="n">
        <v>8</v>
      </c>
      <c r="J35" s="21" t="n">
        <v>8</v>
      </c>
      <c r="K35" s="21" t="n">
        <v>8</v>
      </c>
      <c r="L35" s="21"/>
      <c r="M35" s="21"/>
      <c r="N35" s="21"/>
      <c r="O35" s="21" t="n">
        <v>8</v>
      </c>
      <c r="P35" s="21"/>
      <c r="Q35" s="21"/>
      <c r="R35" s="21" t="n">
        <v>8</v>
      </c>
      <c r="S35" s="21"/>
      <c r="T35" s="21" t="n">
        <v>8</v>
      </c>
      <c r="U35" s="21" t="n">
        <v>8</v>
      </c>
      <c r="V35" s="21"/>
      <c r="W35" s="21" t="n">
        <v>8</v>
      </c>
      <c r="X35" s="21"/>
      <c r="Y35" s="21"/>
      <c r="Z35" s="21"/>
      <c r="AA35" s="21"/>
      <c r="AB35" s="21"/>
      <c r="AC35" s="21"/>
      <c r="AD35" s="21"/>
      <c r="AE35" s="21"/>
      <c r="AF35" s="21"/>
      <c r="AG35" s="21" t="n">
        <v>8</v>
      </c>
      <c r="AH35" s="21"/>
      <c r="AI35" s="21"/>
      <c r="AJ35" s="21"/>
      <c r="AK35" s="21"/>
      <c r="AL35" s="22" t="n">
        <f aca="false">IF(B35="","",SUMPRODUCT(IFERROR(VALUE(SUBSTITUTE(G35:AK35,"N","")),0)))</f>
        <v>80</v>
      </c>
      <c r="AM35" s="23" t="n">
        <f aca="false">IF(B35="","",AL35/F35)</f>
        <v>10</v>
      </c>
      <c r="AN35" s="23" t="n">
        <f aca="false">IF(B35="","",SUMPRODUCT(ISNUMBER(SEARCH("N",G35:AK35))*IFERROR(VALUE(SUBSTITUTE(G35:AK35,"N","")),0))/F35)</f>
        <v>0</v>
      </c>
      <c r="AO35" s="10"/>
      <c r="AP35" s="10"/>
      <c r="AQ35" s="10"/>
      <c r="AR35" s="24" t="n">
        <f aca="false">IF(B35="",0,MAX(SUMPRODUCT((BCC_MA=$B35)*IFERROR(VALUE(SUBSTITUTE($G$6:$G$100,"N","")),0)),SUMPRODUCT((BCC_MA=$B35)*IFERROR(VALUE(SUBSTITUTE($H$6:$H$100,"N","")),0)),SUMPRODUCT((BCC_MA=$B35)*IFERROR(VALUE(SUBSTITUTE($I$6:$I$100,"N","")),0)),SUMPRODUCT((BCC_MA=$B35)*IFERROR(VALUE(SUBSTITUTE($J$6:$J$100,"N","")),0)),SUMPRODUCT((BCC_MA=$B35)*IFERROR(VALUE(SUBSTITUTE($K$6:$K$100,"N","")),0)),SUMPRODUCT((BCC_MA=$B35)*IFERROR(VALUE(SUBSTITUTE($L$6:$L$100,"N","")),0)),SUMPRODUCT((BCC_MA=$B35)*IFERROR(VALUE(SUBSTITUTE($M$6:$M$100,"N","")),0)),SUMPRODUCT((BCC_MA=$B35)*IFERROR(VALUE(SUBSTITUTE($N$6:$N$100,"N","")),0)),SUMPRODUCT((BCC_MA=$B35)*IFERROR(VALUE(SUBSTITUTE($O$6:$O$100,"N","")),0)),SUMPRODUCT((BCC_MA=$B35)*IFERROR(VALUE(SUBSTITUTE($P$6:$P$100,"N","")),0)),SUMPRODUCT((BCC_MA=$B35)*IFERROR(VALUE(SUBSTITUTE($Q$6:$Q$100,"N","")),0)),SUMPRODUCT((BCC_MA=$B35)*IFERROR(VALUE(SUBSTITUTE($R$6:$R$100,"N","")),0)),SUMPRODUCT((BCC_MA=$B35)*IFERROR(VALUE(SUBSTITUTE($S$6:$S$100,"N","")),0)),SUMPRODUCT((BCC_MA=$B35)*IFERROR(VALUE(SUBSTITUTE($T$6:$T$100,"N","")),0)),SUMPRODUCT((BCC_MA=$B35)*IFERROR(VALUE(SUBSTITUTE($U$6:$U$100,"N","")),0)),SUMPRODUCT((BCC_MA=$B35)*IFERROR(VALUE(SUBSTITUTE($V$6:$V$100,"N","")),0)),SUMPRODUCT((BCC_MA=$B35)*IFERROR(VALUE(SUBSTITUTE($W$6:$W$100,"N","")),0)),SUMPRODUCT((BCC_MA=$B35)*IFERROR(VALUE(SUBSTITUTE($X$6:$X$100,"N","")),0)),SUMPRODUCT((BCC_MA=$B35)*IFERROR(VALUE(SUBSTITUTE($Y$6:$Y$100,"N","")),0)),SUMPRODUCT((BCC_MA=$B35)*IFERROR(VALUE(SUBSTITUTE($Z$6:$Z$100,"N","")),0)),SUMPRODUCT((BCC_MA=$B35)*IFERROR(VALUE(SUBSTITUTE($AA$6:$AA$100,"N","")),0)),SUMPRODUCT((BCC_MA=$B35)*IFERROR(VALUE(SUBSTITUTE($AB$6:$AB$100,"N","")),0)),SUMPRODUCT((BCC_MA=$B35)*IFERROR(VALUE(SUBSTITUTE($AC$6:$AC$100,"N","")),0)),SUMPRODUCT((BCC_MA=$B35)*IFERROR(VALUE(SUBSTITUTE($AD$6:$AD$100,"N","")),0)),SUMPRODUCT((BCC_MA=$B35)*IFERROR(VALUE(SUBSTITUTE($AE$6:$AE$100,"N","")),0)),SUMPRODUCT((BCC_MA=$B35)*IFERROR(VALUE(SUBSTITUTE($AF$6:$AF$100,"N","")),0)),SUMPRODUCT((BCC_MA=$B35)*IFERROR(VALUE(SUBSTITUTE($AG$6:$AG$100,"N","")),0)),SUMPRODUCT((BCC_MA=$B35)*IFERROR(VALUE(SUBSTITUTE($AH$6:$AH$100,"N","")),0)),SUMPRODUCT((BCC_MA=$B35)*IFERROR(VALUE(SUBSTITUTE($AI$6:$AI$100,"N","")),0)),SUMPRODUCT((BCC_MA=$B35)*IFERROR(VALUE(SUBSTITUTE($AJ$6:$AJ$100,"N","")),0)),SUMPRODUCT((BCC_MA=$B35)*IFERROR(VALUE(SUBSTITUTE($AK$6:$AK$100,"N","")),0))))</f>
        <v>8</v>
      </c>
    </row>
    <row r="36" customFormat="false" ht="15" hidden="false" customHeight="false" outlineLevel="0" collapsed="false">
      <c r="A36" s="17" t="n">
        <v>31</v>
      </c>
      <c r="B36" s="10" t="s">
        <v>156</v>
      </c>
      <c r="C36" s="17" t="str">
        <f aca="false">IF(B36="","",IFERROR(INDEX(NV_TEN,MATCH(B36,NV_MA,0)),"MÃ KHÔNG CÓ"))</f>
        <v>Nguyễn Thị Nhung</v>
      </c>
      <c r="D36" s="10" t="s">
        <v>78</v>
      </c>
      <c r="E36" s="18"/>
      <c r="F36" s="17" t="n">
        <f aca="false">IF(D36="","",IFERROR(INDEX(NH_GIO,MATCH(D36,NH_TEN,0)),"NHÓM?"))</f>
        <v>8</v>
      </c>
      <c r="G36" s="21"/>
      <c r="H36" s="21"/>
      <c r="I36" s="21"/>
      <c r="J36" s="21" t="n">
        <v>8</v>
      </c>
      <c r="K36" s="21"/>
      <c r="L36" s="21"/>
      <c r="M36" s="21" t="n">
        <v>8</v>
      </c>
      <c r="N36" s="21"/>
      <c r="O36" s="21"/>
      <c r="P36" s="21"/>
      <c r="Q36" s="21"/>
      <c r="R36" s="21"/>
      <c r="S36" s="21" t="n">
        <v>8</v>
      </c>
      <c r="T36" s="21" t="n">
        <v>8</v>
      </c>
      <c r="U36" s="21" t="n">
        <v>8</v>
      </c>
      <c r="V36" s="21"/>
      <c r="W36" s="21"/>
      <c r="X36" s="21"/>
      <c r="Y36" s="21"/>
      <c r="Z36" s="21"/>
      <c r="AA36" s="21"/>
      <c r="AB36" s="21"/>
      <c r="AC36" s="21"/>
      <c r="AD36" s="21"/>
      <c r="AE36" s="21"/>
      <c r="AF36" s="21"/>
      <c r="AG36" s="21"/>
      <c r="AH36" s="21"/>
      <c r="AI36" s="21"/>
      <c r="AJ36" s="21"/>
      <c r="AK36" s="21"/>
      <c r="AL36" s="22" t="n">
        <f aca="false">IF(B36="","",SUMPRODUCT(IFERROR(VALUE(SUBSTITUTE(G36:AK36,"N","")),0)))</f>
        <v>40</v>
      </c>
      <c r="AM36" s="23" t="n">
        <f aca="false">IF(B36="","",AL36/F36)</f>
        <v>5</v>
      </c>
      <c r="AN36" s="23" t="n">
        <f aca="false">IF(B36="","",SUMPRODUCT(ISNUMBER(SEARCH("N",G36:AK36))*IFERROR(VALUE(SUBSTITUTE(G36:AK36,"N","")),0))/F36)</f>
        <v>0</v>
      </c>
      <c r="AO36" s="10"/>
      <c r="AP36" s="10"/>
      <c r="AQ36" s="10"/>
      <c r="AR36" s="24" t="n">
        <f aca="false">IF(B36="",0,MAX(SUMPRODUCT((BCC_MA=$B36)*IFERROR(VALUE(SUBSTITUTE($G$6:$G$100,"N","")),0)),SUMPRODUCT((BCC_MA=$B36)*IFERROR(VALUE(SUBSTITUTE($H$6:$H$100,"N","")),0)),SUMPRODUCT((BCC_MA=$B36)*IFERROR(VALUE(SUBSTITUTE($I$6:$I$100,"N","")),0)),SUMPRODUCT((BCC_MA=$B36)*IFERROR(VALUE(SUBSTITUTE($J$6:$J$100,"N","")),0)),SUMPRODUCT((BCC_MA=$B36)*IFERROR(VALUE(SUBSTITUTE($K$6:$K$100,"N","")),0)),SUMPRODUCT((BCC_MA=$B36)*IFERROR(VALUE(SUBSTITUTE($L$6:$L$100,"N","")),0)),SUMPRODUCT((BCC_MA=$B36)*IFERROR(VALUE(SUBSTITUTE($M$6:$M$100,"N","")),0)),SUMPRODUCT((BCC_MA=$B36)*IFERROR(VALUE(SUBSTITUTE($N$6:$N$100,"N","")),0)),SUMPRODUCT((BCC_MA=$B36)*IFERROR(VALUE(SUBSTITUTE($O$6:$O$100,"N","")),0)),SUMPRODUCT((BCC_MA=$B36)*IFERROR(VALUE(SUBSTITUTE($P$6:$P$100,"N","")),0)),SUMPRODUCT((BCC_MA=$B36)*IFERROR(VALUE(SUBSTITUTE($Q$6:$Q$100,"N","")),0)),SUMPRODUCT((BCC_MA=$B36)*IFERROR(VALUE(SUBSTITUTE($R$6:$R$100,"N","")),0)),SUMPRODUCT((BCC_MA=$B36)*IFERROR(VALUE(SUBSTITUTE($S$6:$S$100,"N","")),0)),SUMPRODUCT((BCC_MA=$B36)*IFERROR(VALUE(SUBSTITUTE($T$6:$T$100,"N","")),0)),SUMPRODUCT((BCC_MA=$B36)*IFERROR(VALUE(SUBSTITUTE($U$6:$U$100,"N","")),0)),SUMPRODUCT((BCC_MA=$B36)*IFERROR(VALUE(SUBSTITUTE($V$6:$V$100,"N","")),0)),SUMPRODUCT((BCC_MA=$B36)*IFERROR(VALUE(SUBSTITUTE($W$6:$W$100,"N","")),0)),SUMPRODUCT((BCC_MA=$B36)*IFERROR(VALUE(SUBSTITUTE($X$6:$X$100,"N","")),0)),SUMPRODUCT((BCC_MA=$B36)*IFERROR(VALUE(SUBSTITUTE($Y$6:$Y$100,"N","")),0)),SUMPRODUCT((BCC_MA=$B36)*IFERROR(VALUE(SUBSTITUTE($Z$6:$Z$100,"N","")),0)),SUMPRODUCT((BCC_MA=$B36)*IFERROR(VALUE(SUBSTITUTE($AA$6:$AA$100,"N","")),0)),SUMPRODUCT((BCC_MA=$B36)*IFERROR(VALUE(SUBSTITUTE($AB$6:$AB$100,"N","")),0)),SUMPRODUCT((BCC_MA=$B36)*IFERROR(VALUE(SUBSTITUTE($AC$6:$AC$100,"N","")),0)),SUMPRODUCT((BCC_MA=$B36)*IFERROR(VALUE(SUBSTITUTE($AD$6:$AD$100,"N","")),0)),SUMPRODUCT((BCC_MA=$B36)*IFERROR(VALUE(SUBSTITUTE($AE$6:$AE$100,"N","")),0)),SUMPRODUCT((BCC_MA=$B36)*IFERROR(VALUE(SUBSTITUTE($AF$6:$AF$100,"N","")),0)),SUMPRODUCT((BCC_MA=$B36)*IFERROR(VALUE(SUBSTITUTE($AG$6:$AG$100,"N","")),0)),SUMPRODUCT((BCC_MA=$B36)*IFERROR(VALUE(SUBSTITUTE($AH$6:$AH$100,"N","")),0)),SUMPRODUCT((BCC_MA=$B36)*IFERROR(VALUE(SUBSTITUTE($AI$6:$AI$100,"N","")),0)),SUMPRODUCT((BCC_MA=$B36)*IFERROR(VALUE(SUBSTITUTE($AJ$6:$AJ$100,"N","")),0)),SUMPRODUCT((BCC_MA=$B36)*IFERROR(VALUE(SUBSTITUTE($AK$6:$AK$100,"N","")),0))))</f>
        <v>8</v>
      </c>
    </row>
    <row r="37" customFormat="false" ht="15" hidden="false" customHeight="false" outlineLevel="0" collapsed="false">
      <c r="A37" s="17" t="n">
        <v>32</v>
      </c>
      <c r="B37" s="10" t="s">
        <v>158</v>
      </c>
      <c r="C37" s="17" t="str">
        <f aca="false">IF(B37="","",IFERROR(INDEX(NV_TEN,MATCH(B37,NV_MA,0)),"MÃ KHÔNG CÓ"))</f>
        <v>Tạ Thị Na</v>
      </c>
      <c r="D37" s="10" t="s">
        <v>78</v>
      </c>
      <c r="E37" s="18"/>
      <c r="F37" s="17" t="n">
        <f aca="false">IF(D37="","",IFERROR(INDEX(NH_GIO,MATCH(D37,NH_TEN,0)),"NHÓM?"))</f>
        <v>8</v>
      </c>
      <c r="G37" s="21"/>
      <c r="H37" s="21"/>
      <c r="I37" s="21"/>
      <c r="J37" s="21" t="n">
        <v>8</v>
      </c>
      <c r="K37" s="21"/>
      <c r="L37" s="21" t="n">
        <v>8</v>
      </c>
      <c r="M37" s="21" t="n">
        <v>8</v>
      </c>
      <c r="N37" s="21"/>
      <c r="O37" s="21"/>
      <c r="P37" s="21"/>
      <c r="Q37" s="21" t="n">
        <v>8</v>
      </c>
      <c r="R37" s="21"/>
      <c r="S37" s="21" t="n">
        <v>8</v>
      </c>
      <c r="T37" s="21" t="n">
        <v>8</v>
      </c>
      <c r="U37" s="21" t="n">
        <v>8</v>
      </c>
      <c r="V37" s="21"/>
      <c r="W37" s="21"/>
      <c r="X37" s="21"/>
      <c r="Y37" s="21"/>
      <c r="Z37" s="21"/>
      <c r="AA37" s="21"/>
      <c r="AB37" s="21"/>
      <c r="AC37" s="21"/>
      <c r="AD37" s="21"/>
      <c r="AE37" s="21"/>
      <c r="AF37" s="21"/>
      <c r="AG37" s="21"/>
      <c r="AH37" s="21"/>
      <c r="AI37" s="21"/>
      <c r="AJ37" s="21"/>
      <c r="AK37" s="21"/>
      <c r="AL37" s="22" t="n">
        <f aca="false">IF(B37="","",SUMPRODUCT(IFERROR(VALUE(SUBSTITUTE(G37:AK37,"N","")),0)))</f>
        <v>56</v>
      </c>
      <c r="AM37" s="23" t="n">
        <f aca="false">IF(B37="","",AL37/F37)</f>
        <v>7</v>
      </c>
      <c r="AN37" s="23" t="n">
        <f aca="false">IF(B37="","",SUMPRODUCT(ISNUMBER(SEARCH("N",G37:AK37))*IFERROR(VALUE(SUBSTITUTE(G37:AK37,"N","")),0))/F37)</f>
        <v>0</v>
      </c>
      <c r="AO37" s="10"/>
      <c r="AP37" s="10"/>
      <c r="AQ37" s="10"/>
      <c r="AR37" s="24" t="n">
        <f aca="false">IF(B37="",0,MAX(SUMPRODUCT((BCC_MA=$B37)*IFERROR(VALUE(SUBSTITUTE($G$6:$G$100,"N","")),0)),SUMPRODUCT((BCC_MA=$B37)*IFERROR(VALUE(SUBSTITUTE($H$6:$H$100,"N","")),0)),SUMPRODUCT((BCC_MA=$B37)*IFERROR(VALUE(SUBSTITUTE($I$6:$I$100,"N","")),0)),SUMPRODUCT((BCC_MA=$B37)*IFERROR(VALUE(SUBSTITUTE($J$6:$J$100,"N","")),0)),SUMPRODUCT((BCC_MA=$B37)*IFERROR(VALUE(SUBSTITUTE($K$6:$K$100,"N","")),0)),SUMPRODUCT((BCC_MA=$B37)*IFERROR(VALUE(SUBSTITUTE($L$6:$L$100,"N","")),0)),SUMPRODUCT((BCC_MA=$B37)*IFERROR(VALUE(SUBSTITUTE($M$6:$M$100,"N","")),0)),SUMPRODUCT((BCC_MA=$B37)*IFERROR(VALUE(SUBSTITUTE($N$6:$N$100,"N","")),0)),SUMPRODUCT((BCC_MA=$B37)*IFERROR(VALUE(SUBSTITUTE($O$6:$O$100,"N","")),0)),SUMPRODUCT((BCC_MA=$B37)*IFERROR(VALUE(SUBSTITUTE($P$6:$P$100,"N","")),0)),SUMPRODUCT((BCC_MA=$B37)*IFERROR(VALUE(SUBSTITUTE($Q$6:$Q$100,"N","")),0)),SUMPRODUCT((BCC_MA=$B37)*IFERROR(VALUE(SUBSTITUTE($R$6:$R$100,"N","")),0)),SUMPRODUCT((BCC_MA=$B37)*IFERROR(VALUE(SUBSTITUTE($S$6:$S$100,"N","")),0)),SUMPRODUCT((BCC_MA=$B37)*IFERROR(VALUE(SUBSTITUTE($T$6:$T$100,"N","")),0)),SUMPRODUCT((BCC_MA=$B37)*IFERROR(VALUE(SUBSTITUTE($U$6:$U$100,"N","")),0)),SUMPRODUCT((BCC_MA=$B37)*IFERROR(VALUE(SUBSTITUTE($V$6:$V$100,"N","")),0)),SUMPRODUCT((BCC_MA=$B37)*IFERROR(VALUE(SUBSTITUTE($W$6:$W$100,"N","")),0)),SUMPRODUCT((BCC_MA=$B37)*IFERROR(VALUE(SUBSTITUTE($X$6:$X$100,"N","")),0)),SUMPRODUCT((BCC_MA=$B37)*IFERROR(VALUE(SUBSTITUTE($Y$6:$Y$100,"N","")),0)),SUMPRODUCT((BCC_MA=$B37)*IFERROR(VALUE(SUBSTITUTE($Z$6:$Z$100,"N","")),0)),SUMPRODUCT((BCC_MA=$B37)*IFERROR(VALUE(SUBSTITUTE($AA$6:$AA$100,"N","")),0)),SUMPRODUCT((BCC_MA=$B37)*IFERROR(VALUE(SUBSTITUTE($AB$6:$AB$100,"N","")),0)),SUMPRODUCT((BCC_MA=$B37)*IFERROR(VALUE(SUBSTITUTE($AC$6:$AC$100,"N","")),0)),SUMPRODUCT((BCC_MA=$B37)*IFERROR(VALUE(SUBSTITUTE($AD$6:$AD$100,"N","")),0)),SUMPRODUCT((BCC_MA=$B37)*IFERROR(VALUE(SUBSTITUTE($AE$6:$AE$100,"N","")),0)),SUMPRODUCT((BCC_MA=$B37)*IFERROR(VALUE(SUBSTITUTE($AF$6:$AF$100,"N","")),0)),SUMPRODUCT((BCC_MA=$B37)*IFERROR(VALUE(SUBSTITUTE($AG$6:$AG$100,"N","")),0)),SUMPRODUCT((BCC_MA=$B37)*IFERROR(VALUE(SUBSTITUTE($AH$6:$AH$100,"N","")),0)),SUMPRODUCT((BCC_MA=$B37)*IFERROR(VALUE(SUBSTITUTE($AI$6:$AI$100,"N","")),0)),SUMPRODUCT((BCC_MA=$B37)*IFERROR(VALUE(SUBSTITUTE($AJ$6:$AJ$100,"N","")),0)),SUMPRODUCT((BCC_MA=$B37)*IFERROR(VALUE(SUBSTITUTE($AK$6:$AK$100,"N","")),0))))</f>
        <v>8</v>
      </c>
    </row>
    <row r="38" customFormat="false" ht="15" hidden="false" customHeight="false" outlineLevel="0" collapsed="false">
      <c r="A38" s="17" t="n">
        <v>33</v>
      </c>
      <c r="B38" s="10" t="s">
        <v>160</v>
      </c>
      <c r="C38" s="17" t="str">
        <f aca="false">IF(B38="","",IFERROR(INDEX(NV_TEN,MATCH(B38,NV_MA,0)),"MÃ KHÔNG CÓ"))</f>
        <v>Lê Thị Thanh</v>
      </c>
      <c r="D38" s="10" t="s">
        <v>78</v>
      </c>
      <c r="E38" s="18"/>
      <c r="F38" s="17" t="n">
        <f aca="false">IF(D38="","",IFERROR(INDEX(NH_GIO,MATCH(D38,NH_TEN,0)),"NHÓM?"))</f>
        <v>8</v>
      </c>
      <c r="G38" s="21"/>
      <c r="H38" s="21"/>
      <c r="I38" s="21"/>
      <c r="J38" s="21" t="n">
        <v>8</v>
      </c>
      <c r="K38" s="21"/>
      <c r="L38" s="21"/>
      <c r="M38" s="21" t="n">
        <v>8</v>
      </c>
      <c r="N38" s="21"/>
      <c r="O38" s="21"/>
      <c r="P38" s="21"/>
      <c r="Q38" s="21" t="n">
        <v>8</v>
      </c>
      <c r="R38" s="21"/>
      <c r="S38" s="21" t="n">
        <v>8</v>
      </c>
      <c r="T38" s="21"/>
      <c r="U38" s="21" t="n">
        <v>8</v>
      </c>
      <c r="V38" s="21"/>
      <c r="W38" s="21"/>
      <c r="X38" s="21"/>
      <c r="Y38" s="21"/>
      <c r="Z38" s="21"/>
      <c r="AA38" s="21"/>
      <c r="AB38" s="21"/>
      <c r="AC38" s="21"/>
      <c r="AD38" s="21"/>
      <c r="AE38" s="21"/>
      <c r="AF38" s="21"/>
      <c r="AG38" s="21"/>
      <c r="AH38" s="21" t="n">
        <v>8</v>
      </c>
      <c r="AI38" s="21"/>
      <c r="AJ38" s="21"/>
      <c r="AK38" s="21"/>
      <c r="AL38" s="22" t="n">
        <f aca="false">IF(B38="","",SUMPRODUCT(IFERROR(VALUE(SUBSTITUTE(G38:AK38,"N","")),0)))</f>
        <v>48</v>
      </c>
      <c r="AM38" s="23" t="n">
        <f aca="false">IF(B38="","",AL38/F38)</f>
        <v>6</v>
      </c>
      <c r="AN38" s="23" t="n">
        <f aca="false">IF(B38="","",SUMPRODUCT(ISNUMBER(SEARCH("N",G38:AK38))*IFERROR(VALUE(SUBSTITUTE(G38:AK38,"N","")),0))/F38)</f>
        <v>0</v>
      </c>
      <c r="AO38" s="10"/>
      <c r="AP38" s="10"/>
      <c r="AQ38" s="10"/>
      <c r="AR38" s="24" t="n">
        <f aca="false">IF(B38="",0,MAX(SUMPRODUCT((BCC_MA=$B38)*IFERROR(VALUE(SUBSTITUTE($G$6:$G$100,"N","")),0)),SUMPRODUCT((BCC_MA=$B38)*IFERROR(VALUE(SUBSTITUTE($H$6:$H$100,"N","")),0)),SUMPRODUCT((BCC_MA=$B38)*IFERROR(VALUE(SUBSTITUTE($I$6:$I$100,"N","")),0)),SUMPRODUCT((BCC_MA=$B38)*IFERROR(VALUE(SUBSTITUTE($J$6:$J$100,"N","")),0)),SUMPRODUCT((BCC_MA=$B38)*IFERROR(VALUE(SUBSTITUTE($K$6:$K$100,"N","")),0)),SUMPRODUCT((BCC_MA=$B38)*IFERROR(VALUE(SUBSTITUTE($L$6:$L$100,"N","")),0)),SUMPRODUCT((BCC_MA=$B38)*IFERROR(VALUE(SUBSTITUTE($M$6:$M$100,"N","")),0)),SUMPRODUCT((BCC_MA=$B38)*IFERROR(VALUE(SUBSTITUTE($N$6:$N$100,"N","")),0)),SUMPRODUCT((BCC_MA=$B38)*IFERROR(VALUE(SUBSTITUTE($O$6:$O$100,"N","")),0)),SUMPRODUCT((BCC_MA=$B38)*IFERROR(VALUE(SUBSTITUTE($P$6:$P$100,"N","")),0)),SUMPRODUCT((BCC_MA=$B38)*IFERROR(VALUE(SUBSTITUTE($Q$6:$Q$100,"N","")),0)),SUMPRODUCT((BCC_MA=$B38)*IFERROR(VALUE(SUBSTITUTE($R$6:$R$100,"N","")),0)),SUMPRODUCT((BCC_MA=$B38)*IFERROR(VALUE(SUBSTITUTE($S$6:$S$100,"N","")),0)),SUMPRODUCT((BCC_MA=$B38)*IFERROR(VALUE(SUBSTITUTE($T$6:$T$100,"N","")),0)),SUMPRODUCT((BCC_MA=$B38)*IFERROR(VALUE(SUBSTITUTE($U$6:$U$100,"N","")),0)),SUMPRODUCT((BCC_MA=$B38)*IFERROR(VALUE(SUBSTITUTE($V$6:$V$100,"N","")),0)),SUMPRODUCT((BCC_MA=$B38)*IFERROR(VALUE(SUBSTITUTE($W$6:$W$100,"N","")),0)),SUMPRODUCT((BCC_MA=$B38)*IFERROR(VALUE(SUBSTITUTE($X$6:$X$100,"N","")),0)),SUMPRODUCT((BCC_MA=$B38)*IFERROR(VALUE(SUBSTITUTE($Y$6:$Y$100,"N","")),0)),SUMPRODUCT((BCC_MA=$B38)*IFERROR(VALUE(SUBSTITUTE($Z$6:$Z$100,"N","")),0)),SUMPRODUCT((BCC_MA=$B38)*IFERROR(VALUE(SUBSTITUTE($AA$6:$AA$100,"N","")),0)),SUMPRODUCT((BCC_MA=$B38)*IFERROR(VALUE(SUBSTITUTE($AB$6:$AB$100,"N","")),0)),SUMPRODUCT((BCC_MA=$B38)*IFERROR(VALUE(SUBSTITUTE($AC$6:$AC$100,"N","")),0)),SUMPRODUCT((BCC_MA=$B38)*IFERROR(VALUE(SUBSTITUTE($AD$6:$AD$100,"N","")),0)),SUMPRODUCT((BCC_MA=$B38)*IFERROR(VALUE(SUBSTITUTE($AE$6:$AE$100,"N","")),0)),SUMPRODUCT((BCC_MA=$B38)*IFERROR(VALUE(SUBSTITUTE($AF$6:$AF$100,"N","")),0)),SUMPRODUCT((BCC_MA=$B38)*IFERROR(VALUE(SUBSTITUTE($AG$6:$AG$100,"N","")),0)),SUMPRODUCT((BCC_MA=$B38)*IFERROR(VALUE(SUBSTITUTE($AH$6:$AH$100,"N","")),0)),SUMPRODUCT((BCC_MA=$B38)*IFERROR(VALUE(SUBSTITUTE($AI$6:$AI$100,"N","")),0)),SUMPRODUCT((BCC_MA=$B38)*IFERROR(VALUE(SUBSTITUTE($AJ$6:$AJ$100,"N","")),0)),SUMPRODUCT((BCC_MA=$B38)*IFERROR(VALUE(SUBSTITUTE($AK$6:$AK$100,"N","")),0))))</f>
        <v>8</v>
      </c>
    </row>
    <row r="39" customFormat="false" ht="15" hidden="false" customHeight="false" outlineLevel="0" collapsed="false">
      <c r="A39" s="17" t="n">
        <v>34</v>
      </c>
      <c r="B39" s="10" t="s">
        <v>162</v>
      </c>
      <c r="C39" s="17" t="str">
        <f aca="false">IF(B39="","",IFERROR(INDEX(NV_TEN,MATCH(B39,NV_MA,0)),"MÃ KHÔNG CÓ"))</f>
        <v>Nguyễn Thị Thanh</v>
      </c>
      <c r="D39" s="10" t="s">
        <v>78</v>
      </c>
      <c r="E39" s="18"/>
      <c r="F39" s="17" t="n">
        <f aca="false">IF(D39="","",IFERROR(INDEX(NH_GIO,MATCH(D39,NH_TEN,0)),"NHÓM?"))</f>
        <v>8</v>
      </c>
      <c r="G39" s="21"/>
      <c r="H39" s="21"/>
      <c r="I39" s="21"/>
      <c r="J39" s="21"/>
      <c r="K39" s="21"/>
      <c r="L39" s="21"/>
      <c r="M39" s="21" t="n">
        <v>8</v>
      </c>
      <c r="N39" s="21"/>
      <c r="O39" s="21"/>
      <c r="P39" s="21"/>
      <c r="Q39" s="21" t="n">
        <v>8</v>
      </c>
      <c r="R39" s="21"/>
      <c r="S39" s="21" t="n">
        <v>8</v>
      </c>
      <c r="T39" s="21"/>
      <c r="U39" s="21" t="n">
        <v>8</v>
      </c>
      <c r="V39" s="21"/>
      <c r="W39" s="21"/>
      <c r="X39" s="21"/>
      <c r="Y39" s="21"/>
      <c r="Z39" s="21"/>
      <c r="AA39" s="21"/>
      <c r="AB39" s="21"/>
      <c r="AC39" s="21"/>
      <c r="AD39" s="21"/>
      <c r="AE39" s="21"/>
      <c r="AF39" s="21"/>
      <c r="AG39" s="21" t="n">
        <v>8</v>
      </c>
      <c r="AH39" s="21" t="n">
        <v>8</v>
      </c>
      <c r="AI39" s="21"/>
      <c r="AJ39" s="21"/>
      <c r="AK39" s="21"/>
      <c r="AL39" s="22" t="n">
        <f aca="false">IF(B39="","",SUMPRODUCT(IFERROR(VALUE(SUBSTITUTE(G39:AK39,"N","")),0)))</f>
        <v>48</v>
      </c>
      <c r="AM39" s="23" t="n">
        <f aca="false">IF(B39="","",AL39/F39)</f>
        <v>6</v>
      </c>
      <c r="AN39" s="23" t="n">
        <f aca="false">IF(B39="","",SUMPRODUCT(ISNUMBER(SEARCH("N",G39:AK39))*IFERROR(VALUE(SUBSTITUTE(G39:AK39,"N","")),0))/F39)</f>
        <v>0</v>
      </c>
      <c r="AO39" s="10"/>
      <c r="AP39" s="10"/>
      <c r="AQ39" s="10"/>
      <c r="AR39" s="24" t="n">
        <f aca="false">IF(B39="",0,MAX(SUMPRODUCT((BCC_MA=$B39)*IFERROR(VALUE(SUBSTITUTE($G$6:$G$100,"N","")),0)),SUMPRODUCT((BCC_MA=$B39)*IFERROR(VALUE(SUBSTITUTE($H$6:$H$100,"N","")),0)),SUMPRODUCT((BCC_MA=$B39)*IFERROR(VALUE(SUBSTITUTE($I$6:$I$100,"N","")),0)),SUMPRODUCT((BCC_MA=$B39)*IFERROR(VALUE(SUBSTITUTE($J$6:$J$100,"N","")),0)),SUMPRODUCT((BCC_MA=$B39)*IFERROR(VALUE(SUBSTITUTE($K$6:$K$100,"N","")),0)),SUMPRODUCT((BCC_MA=$B39)*IFERROR(VALUE(SUBSTITUTE($L$6:$L$100,"N","")),0)),SUMPRODUCT((BCC_MA=$B39)*IFERROR(VALUE(SUBSTITUTE($M$6:$M$100,"N","")),0)),SUMPRODUCT((BCC_MA=$B39)*IFERROR(VALUE(SUBSTITUTE($N$6:$N$100,"N","")),0)),SUMPRODUCT((BCC_MA=$B39)*IFERROR(VALUE(SUBSTITUTE($O$6:$O$100,"N","")),0)),SUMPRODUCT((BCC_MA=$B39)*IFERROR(VALUE(SUBSTITUTE($P$6:$P$100,"N","")),0)),SUMPRODUCT((BCC_MA=$B39)*IFERROR(VALUE(SUBSTITUTE($Q$6:$Q$100,"N","")),0)),SUMPRODUCT((BCC_MA=$B39)*IFERROR(VALUE(SUBSTITUTE($R$6:$R$100,"N","")),0)),SUMPRODUCT((BCC_MA=$B39)*IFERROR(VALUE(SUBSTITUTE($S$6:$S$100,"N","")),0)),SUMPRODUCT((BCC_MA=$B39)*IFERROR(VALUE(SUBSTITUTE($T$6:$T$100,"N","")),0)),SUMPRODUCT((BCC_MA=$B39)*IFERROR(VALUE(SUBSTITUTE($U$6:$U$100,"N","")),0)),SUMPRODUCT((BCC_MA=$B39)*IFERROR(VALUE(SUBSTITUTE($V$6:$V$100,"N","")),0)),SUMPRODUCT((BCC_MA=$B39)*IFERROR(VALUE(SUBSTITUTE($W$6:$W$100,"N","")),0)),SUMPRODUCT((BCC_MA=$B39)*IFERROR(VALUE(SUBSTITUTE($X$6:$X$100,"N","")),0)),SUMPRODUCT((BCC_MA=$B39)*IFERROR(VALUE(SUBSTITUTE($Y$6:$Y$100,"N","")),0)),SUMPRODUCT((BCC_MA=$B39)*IFERROR(VALUE(SUBSTITUTE($Z$6:$Z$100,"N","")),0)),SUMPRODUCT((BCC_MA=$B39)*IFERROR(VALUE(SUBSTITUTE($AA$6:$AA$100,"N","")),0)),SUMPRODUCT((BCC_MA=$B39)*IFERROR(VALUE(SUBSTITUTE($AB$6:$AB$100,"N","")),0)),SUMPRODUCT((BCC_MA=$B39)*IFERROR(VALUE(SUBSTITUTE($AC$6:$AC$100,"N","")),0)),SUMPRODUCT((BCC_MA=$B39)*IFERROR(VALUE(SUBSTITUTE($AD$6:$AD$100,"N","")),0)),SUMPRODUCT((BCC_MA=$B39)*IFERROR(VALUE(SUBSTITUTE($AE$6:$AE$100,"N","")),0)),SUMPRODUCT((BCC_MA=$B39)*IFERROR(VALUE(SUBSTITUTE($AF$6:$AF$100,"N","")),0)),SUMPRODUCT((BCC_MA=$B39)*IFERROR(VALUE(SUBSTITUTE($AG$6:$AG$100,"N","")),0)),SUMPRODUCT((BCC_MA=$B39)*IFERROR(VALUE(SUBSTITUTE($AH$6:$AH$100,"N","")),0)),SUMPRODUCT((BCC_MA=$B39)*IFERROR(VALUE(SUBSTITUTE($AI$6:$AI$100,"N","")),0)),SUMPRODUCT((BCC_MA=$B39)*IFERROR(VALUE(SUBSTITUTE($AJ$6:$AJ$100,"N","")),0)),SUMPRODUCT((BCC_MA=$B39)*IFERROR(VALUE(SUBSTITUTE($AK$6:$AK$100,"N","")),0))))</f>
        <v>8</v>
      </c>
    </row>
    <row r="40" customFormat="false" ht="15" hidden="false" customHeight="false" outlineLevel="0" collapsed="false">
      <c r="A40" s="17" t="n">
        <v>35</v>
      </c>
      <c r="B40" s="10" t="s">
        <v>164</v>
      </c>
      <c r="C40" s="17" t="str">
        <f aca="false">IF(B40="","",IFERROR(INDEX(NV_TEN,MATCH(B40,NV_MA,0)),"MÃ KHÔNG CÓ"))</f>
        <v>Lưu Thị Lan</v>
      </c>
      <c r="D40" s="10" t="s">
        <v>78</v>
      </c>
      <c r="E40" s="18"/>
      <c r="F40" s="17" t="n">
        <f aca="false">IF(D40="","",IFERROR(INDEX(NH_GIO,MATCH(D40,NH_TEN,0)),"NHÓM?"))</f>
        <v>8</v>
      </c>
      <c r="G40" s="21"/>
      <c r="H40" s="21"/>
      <c r="I40" s="21"/>
      <c r="J40" s="21" t="n">
        <v>8</v>
      </c>
      <c r="K40" s="21"/>
      <c r="L40" s="21"/>
      <c r="M40" s="21" t="n">
        <v>8</v>
      </c>
      <c r="N40" s="21"/>
      <c r="O40" s="21"/>
      <c r="P40" s="21"/>
      <c r="Q40" s="21" t="n">
        <v>8</v>
      </c>
      <c r="R40" s="21"/>
      <c r="S40" s="21" t="n">
        <v>8</v>
      </c>
      <c r="T40" s="21"/>
      <c r="U40" s="21" t="n">
        <v>8</v>
      </c>
      <c r="V40" s="21"/>
      <c r="W40" s="21"/>
      <c r="X40" s="21"/>
      <c r="Y40" s="21"/>
      <c r="Z40" s="21"/>
      <c r="AA40" s="21"/>
      <c r="AB40" s="21"/>
      <c r="AC40" s="21"/>
      <c r="AD40" s="21"/>
      <c r="AE40" s="21"/>
      <c r="AF40" s="21"/>
      <c r="AG40" s="21"/>
      <c r="AH40" s="21" t="n">
        <v>8</v>
      </c>
      <c r="AI40" s="21"/>
      <c r="AJ40" s="21"/>
      <c r="AK40" s="21"/>
      <c r="AL40" s="22" t="n">
        <f aca="false">IF(B40="","",SUMPRODUCT(IFERROR(VALUE(SUBSTITUTE(G40:AK40,"N","")),0)))</f>
        <v>48</v>
      </c>
      <c r="AM40" s="23" t="n">
        <f aca="false">IF(B40="","",AL40/F40)</f>
        <v>6</v>
      </c>
      <c r="AN40" s="23" t="n">
        <f aca="false">IF(B40="","",SUMPRODUCT(ISNUMBER(SEARCH("N",G40:AK40))*IFERROR(VALUE(SUBSTITUTE(G40:AK40,"N","")),0))/F40)</f>
        <v>0</v>
      </c>
      <c r="AO40" s="10"/>
      <c r="AP40" s="10"/>
      <c r="AQ40" s="10"/>
      <c r="AR40" s="24" t="n">
        <f aca="false">IF(B40="",0,MAX(SUMPRODUCT((BCC_MA=$B40)*IFERROR(VALUE(SUBSTITUTE($G$6:$G$100,"N","")),0)),SUMPRODUCT((BCC_MA=$B40)*IFERROR(VALUE(SUBSTITUTE($H$6:$H$100,"N","")),0)),SUMPRODUCT((BCC_MA=$B40)*IFERROR(VALUE(SUBSTITUTE($I$6:$I$100,"N","")),0)),SUMPRODUCT((BCC_MA=$B40)*IFERROR(VALUE(SUBSTITUTE($J$6:$J$100,"N","")),0)),SUMPRODUCT((BCC_MA=$B40)*IFERROR(VALUE(SUBSTITUTE($K$6:$K$100,"N","")),0)),SUMPRODUCT((BCC_MA=$B40)*IFERROR(VALUE(SUBSTITUTE($L$6:$L$100,"N","")),0)),SUMPRODUCT((BCC_MA=$B40)*IFERROR(VALUE(SUBSTITUTE($M$6:$M$100,"N","")),0)),SUMPRODUCT((BCC_MA=$B40)*IFERROR(VALUE(SUBSTITUTE($N$6:$N$100,"N","")),0)),SUMPRODUCT((BCC_MA=$B40)*IFERROR(VALUE(SUBSTITUTE($O$6:$O$100,"N","")),0)),SUMPRODUCT((BCC_MA=$B40)*IFERROR(VALUE(SUBSTITUTE($P$6:$P$100,"N","")),0)),SUMPRODUCT((BCC_MA=$B40)*IFERROR(VALUE(SUBSTITUTE($Q$6:$Q$100,"N","")),0)),SUMPRODUCT((BCC_MA=$B40)*IFERROR(VALUE(SUBSTITUTE($R$6:$R$100,"N","")),0)),SUMPRODUCT((BCC_MA=$B40)*IFERROR(VALUE(SUBSTITUTE($S$6:$S$100,"N","")),0)),SUMPRODUCT((BCC_MA=$B40)*IFERROR(VALUE(SUBSTITUTE($T$6:$T$100,"N","")),0)),SUMPRODUCT((BCC_MA=$B40)*IFERROR(VALUE(SUBSTITUTE($U$6:$U$100,"N","")),0)),SUMPRODUCT((BCC_MA=$B40)*IFERROR(VALUE(SUBSTITUTE($V$6:$V$100,"N","")),0)),SUMPRODUCT((BCC_MA=$B40)*IFERROR(VALUE(SUBSTITUTE($W$6:$W$100,"N","")),0)),SUMPRODUCT((BCC_MA=$B40)*IFERROR(VALUE(SUBSTITUTE($X$6:$X$100,"N","")),0)),SUMPRODUCT((BCC_MA=$B40)*IFERROR(VALUE(SUBSTITUTE($Y$6:$Y$100,"N","")),0)),SUMPRODUCT((BCC_MA=$B40)*IFERROR(VALUE(SUBSTITUTE($Z$6:$Z$100,"N","")),0)),SUMPRODUCT((BCC_MA=$B40)*IFERROR(VALUE(SUBSTITUTE($AA$6:$AA$100,"N","")),0)),SUMPRODUCT((BCC_MA=$B40)*IFERROR(VALUE(SUBSTITUTE($AB$6:$AB$100,"N","")),0)),SUMPRODUCT((BCC_MA=$B40)*IFERROR(VALUE(SUBSTITUTE($AC$6:$AC$100,"N","")),0)),SUMPRODUCT((BCC_MA=$B40)*IFERROR(VALUE(SUBSTITUTE($AD$6:$AD$100,"N","")),0)),SUMPRODUCT((BCC_MA=$B40)*IFERROR(VALUE(SUBSTITUTE($AE$6:$AE$100,"N","")),0)),SUMPRODUCT((BCC_MA=$B40)*IFERROR(VALUE(SUBSTITUTE($AF$6:$AF$100,"N","")),0)),SUMPRODUCT((BCC_MA=$B40)*IFERROR(VALUE(SUBSTITUTE($AG$6:$AG$100,"N","")),0)),SUMPRODUCT((BCC_MA=$B40)*IFERROR(VALUE(SUBSTITUTE($AH$6:$AH$100,"N","")),0)),SUMPRODUCT((BCC_MA=$B40)*IFERROR(VALUE(SUBSTITUTE($AI$6:$AI$100,"N","")),0)),SUMPRODUCT((BCC_MA=$B40)*IFERROR(VALUE(SUBSTITUTE($AJ$6:$AJ$100,"N","")),0)),SUMPRODUCT((BCC_MA=$B40)*IFERROR(VALUE(SUBSTITUTE($AK$6:$AK$100,"N","")),0))))</f>
        <v>8</v>
      </c>
    </row>
    <row r="41" customFormat="false" ht="15" hidden="false" customHeight="false" outlineLevel="0" collapsed="false">
      <c r="A41" s="17" t="n">
        <v>36</v>
      </c>
      <c r="B41" s="10" t="s">
        <v>166</v>
      </c>
      <c r="C41" s="17" t="str">
        <f aca="false">IF(B41="","",IFERROR(INDEX(NV_TEN,MATCH(B41,NV_MA,0)),"MÃ KHÔNG CÓ"))</f>
        <v>Lê Thị Minh Thu</v>
      </c>
      <c r="D41" s="10" t="s">
        <v>78</v>
      </c>
      <c r="E41" s="18"/>
      <c r="F41" s="17" t="n">
        <f aca="false">IF(D41="","",IFERROR(INDEX(NH_GIO,MATCH(D41,NH_TEN,0)),"NHÓM?"))</f>
        <v>8</v>
      </c>
      <c r="G41" s="21"/>
      <c r="H41" s="21"/>
      <c r="I41" s="21"/>
      <c r="J41" s="21" t="n">
        <v>8</v>
      </c>
      <c r="K41" s="21"/>
      <c r="L41" s="21"/>
      <c r="M41" s="21" t="n">
        <v>8</v>
      </c>
      <c r="N41" s="21"/>
      <c r="O41" s="21"/>
      <c r="P41" s="21"/>
      <c r="Q41" s="21" t="n">
        <v>8</v>
      </c>
      <c r="R41" s="21"/>
      <c r="S41" s="21" t="n">
        <v>8</v>
      </c>
      <c r="T41" s="21"/>
      <c r="U41" s="21" t="n">
        <v>8</v>
      </c>
      <c r="V41" s="21"/>
      <c r="W41" s="21"/>
      <c r="X41" s="21"/>
      <c r="Y41" s="21"/>
      <c r="Z41" s="21"/>
      <c r="AA41" s="21"/>
      <c r="AB41" s="21"/>
      <c r="AC41" s="21"/>
      <c r="AD41" s="21"/>
      <c r="AE41" s="21"/>
      <c r="AF41" s="21"/>
      <c r="AG41" s="21"/>
      <c r="AH41" s="21"/>
      <c r="AI41" s="21"/>
      <c r="AJ41" s="21"/>
      <c r="AK41" s="21"/>
      <c r="AL41" s="22" t="n">
        <f aca="false">IF(B41="","",SUMPRODUCT(IFERROR(VALUE(SUBSTITUTE(G41:AK41,"N","")),0)))</f>
        <v>40</v>
      </c>
      <c r="AM41" s="23" t="n">
        <f aca="false">IF(B41="","",AL41/F41)</f>
        <v>5</v>
      </c>
      <c r="AN41" s="23" t="n">
        <f aca="false">IF(B41="","",SUMPRODUCT(ISNUMBER(SEARCH("N",G41:AK41))*IFERROR(VALUE(SUBSTITUTE(G41:AK41,"N","")),0))/F41)</f>
        <v>0</v>
      </c>
      <c r="AO41" s="10"/>
      <c r="AP41" s="10"/>
      <c r="AQ41" s="10"/>
      <c r="AR41" s="24" t="n">
        <f aca="false">IF(B41="",0,MAX(SUMPRODUCT((BCC_MA=$B41)*IFERROR(VALUE(SUBSTITUTE($G$6:$G$100,"N","")),0)),SUMPRODUCT((BCC_MA=$B41)*IFERROR(VALUE(SUBSTITUTE($H$6:$H$100,"N","")),0)),SUMPRODUCT((BCC_MA=$B41)*IFERROR(VALUE(SUBSTITUTE($I$6:$I$100,"N","")),0)),SUMPRODUCT((BCC_MA=$B41)*IFERROR(VALUE(SUBSTITUTE($J$6:$J$100,"N","")),0)),SUMPRODUCT((BCC_MA=$B41)*IFERROR(VALUE(SUBSTITUTE($K$6:$K$100,"N","")),0)),SUMPRODUCT((BCC_MA=$B41)*IFERROR(VALUE(SUBSTITUTE($L$6:$L$100,"N","")),0)),SUMPRODUCT((BCC_MA=$B41)*IFERROR(VALUE(SUBSTITUTE($M$6:$M$100,"N","")),0)),SUMPRODUCT((BCC_MA=$B41)*IFERROR(VALUE(SUBSTITUTE($N$6:$N$100,"N","")),0)),SUMPRODUCT((BCC_MA=$B41)*IFERROR(VALUE(SUBSTITUTE($O$6:$O$100,"N","")),0)),SUMPRODUCT((BCC_MA=$B41)*IFERROR(VALUE(SUBSTITUTE($P$6:$P$100,"N","")),0)),SUMPRODUCT((BCC_MA=$B41)*IFERROR(VALUE(SUBSTITUTE($Q$6:$Q$100,"N","")),0)),SUMPRODUCT((BCC_MA=$B41)*IFERROR(VALUE(SUBSTITUTE($R$6:$R$100,"N","")),0)),SUMPRODUCT((BCC_MA=$B41)*IFERROR(VALUE(SUBSTITUTE($S$6:$S$100,"N","")),0)),SUMPRODUCT((BCC_MA=$B41)*IFERROR(VALUE(SUBSTITUTE($T$6:$T$100,"N","")),0)),SUMPRODUCT((BCC_MA=$B41)*IFERROR(VALUE(SUBSTITUTE($U$6:$U$100,"N","")),0)),SUMPRODUCT((BCC_MA=$B41)*IFERROR(VALUE(SUBSTITUTE($V$6:$V$100,"N","")),0)),SUMPRODUCT((BCC_MA=$B41)*IFERROR(VALUE(SUBSTITUTE($W$6:$W$100,"N","")),0)),SUMPRODUCT((BCC_MA=$B41)*IFERROR(VALUE(SUBSTITUTE($X$6:$X$100,"N","")),0)),SUMPRODUCT((BCC_MA=$B41)*IFERROR(VALUE(SUBSTITUTE($Y$6:$Y$100,"N","")),0)),SUMPRODUCT((BCC_MA=$B41)*IFERROR(VALUE(SUBSTITUTE($Z$6:$Z$100,"N","")),0)),SUMPRODUCT((BCC_MA=$B41)*IFERROR(VALUE(SUBSTITUTE($AA$6:$AA$100,"N","")),0)),SUMPRODUCT((BCC_MA=$B41)*IFERROR(VALUE(SUBSTITUTE($AB$6:$AB$100,"N","")),0)),SUMPRODUCT((BCC_MA=$B41)*IFERROR(VALUE(SUBSTITUTE($AC$6:$AC$100,"N","")),0)),SUMPRODUCT((BCC_MA=$B41)*IFERROR(VALUE(SUBSTITUTE($AD$6:$AD$100,"N","")),0)),SUMPRODUCT((BCC_MA=$B41)*IFERROR(VALUE(SUBSTITUTE($AE$6:$AE$100,"N","")),0)),SUMPRODUCT((BCC_MA=$B41)*IFERROR(VALUE(SUBSTITUTE($AF$6:$AF$100,"N","")),0)),SUMPRODUCT((BCC_MA=$B41)*IFERROR(VALUE(SUBSTITUTE($AG$6:$AG$100,"N","")),0)),SUMPRODUCT((BCC_MA=$B41)*IFERROR(VALUE(SUBSTITUTE($AH$6:$AH$100,"N","")),0)),SUMPRODUCT((BCC_MA=$B41)*IFERROR(VALUE(SUBSTITUTE($AI$6:$AI$100,"N","")),0)),SUMPRODUCT((BCC_MA=$B41)*IFERROR(VALUE(SUBSTITUTE($AJ$6:$AJ$100,"N","")),0)),SUMPRODUCT((BCC_MA=$B41)*IFERROR(VALUE(SUBSTITUTE($AK$6:$AK$100,"N","")),0))))</f>
        <v>8</v>
      </c>
    </row>
    <row r="42" customFormat="false" ht="15" hidden="false" customHeight="false" outlineLevel="0" collapsed="false">
      <c r="A42" s="17" t="n">
        <v>37</v>
      </c>
      <c r="B42" s="10" t="s">
        <v>168</v>
      </c>
      <c r="C42" s="17" t="str">
        <f aca="false">IF(B42="","",IFERROR(INDEX(NV_TEN,MATCH(B42,NV_MA,0)),"MÃ KHÔNG CÓ"))</f>
        <v>Trần Viết Hải</v>
      </c>
      <c r="D42" s="10" t="s">
        <v>78</v>
      </c>
      <c r="E42" s="18"/>
      <c r="F42" s="17" t="n">
        <f aca="false">IF(D42="","",IFERROR(INDEX(NH_GIO,MATCH(D42,NH_TEN,0)),"NHÓM?"))</f>
        <v>8</v>
      </c>
      <c r="G42" s="21"/>
      <c r="H42" s="21"/>
      <c r="I42" s="21"/>
      <c r="J42" s="21"/>
      <c r="K42" s="21"/>
      <c r="L42" s="21"/>
      <c r="M42" s="21"/>
      <c r="N42" s="21"/>
      <c r="O42" s="21"/>
      <c r="P42" s="21"/>
      <c r="Q42" s="21" t="n">
        <v>8</v>
      </c>
      <c r="R42" s="21"/>
      <c r="S42" s="21" t="n">
        <v>8</v>
      </c>
      <c r="T42" s="21"/>
      <c r="U42" s="21"/>
      <c r="V42" s="21" t="n">
        <v>8</v>
      </c>
      <c r="W42" s="21" t="n">
        <v>8</v>
      </c>
      <c r="X42" s="21"/>
      <c r="Y42" s="21"/>
      <c r="Z42" s="21"/>
      <c r="AA42" s="21"/>
      <c r="AB42" s="21"/>
      <c r="AC42" s="21"/>
      <c r="AD42" s="21"/>
      <c r="AE42" s="21"/>
      <c r="AF42" s="21"/>
      <c r="AG42" s="21" t="n">
        <v>8</v>
      </c>
      <c r="AH42" s="21"/>
      <c r="AI42" s="21" t="n">
        <v>8</v>
      </c>
      <c r="AJ42" s="21"/>
      <c r="AK42" s="21"/>
      <c r="AL42" s="22" t="n">
        <f aca="false">IF(B42="","",SUMPRODUCT(IFERROR(VALUE(SUBSTITUTE(G42:AK42,"N","")),0)))</f>
        <v>48</v>
      </c>
      <c r="AM42" s="23" t="n">
        <f aca="false">IF(B42="","",AL42/F42)</f>
        <v>6</v>
      </c>
      <c r="AN42" s="23" t="n">
        <f aca="false">IF(B42="","",SUMPRODUCT(ISNUMBER(SEARCH("N",G42:AK42))*IFERROR(VALUE(SUBSTITUTE(G42:AK42,"N","")),0))/F42)</f>
        <v>0</v>
      </c>
      <c r="AO42" s="10"/>
      <c r="AP42" s="10"/>
      <c r="AQ42" s="10"/>
      <c r="AR42" s="24" t="n">
        <f aca="false">IF(B42="",0,MAX(SUMPRODUCT((BCC_MA=$B42)*IFERROR(VALUE(SUBSTITUTE($G$6:$G$100,"N","")),0)),SUMPRODUCT((BCC_MA=$B42)*IFERROR(VALUE(SUBSTITUTE($H$6:$H$100,"N","")),0)),SUMPRODUCT((BCC_MA=$B42)*IFERROR(VALUE(SUBSTITUTE($I$6:$I$100,"N","")),0)),SUMPRODUCT((BCC_MA=$B42)*IFERROR(VALUE(SUBSTITUTE($J$6:$J$100,"N","")),0)),SUMPRODUCT((BCC_MA=$B42)*IFERROR(VALUE(SUBSTITUTE($K$6:$K$100,"N","")),0)),SUMPRODUCT((BCC_MA=$B42)*IFERROR(VALUE(SUBSTITUTE($L$6:$L$100,"N","")),0)),SUMPRODUCT((BCC_MA=$B42)*IFERROR(VALUE(SUBSTITUTE($M$6:$M$100,"N","")),0)),SUMPRODUCT((BCC_MA=$B42)*IFERROR(VALUE(SUBSTITUTE($N$6:$N$100,"N","")),0)),SUMPRODUCT((BCC_MA=$B42)*IFERROR(VALUE(SUBSTITUTE($O$6:$O$100,"N","")),0)),SUMPRODUCT((BCC_MA=$B42)*IFERROR(VALUE(SUBSTITUTE($P$6:$P$100,"N","")),0)),SUMPRODUCT((BCC_MA=$B42)*IFERROR(VALUE(SUBSTITUTE($Q$6:$Q$100,"N","")),0)),SUMPRODUCT((BCC_MA=$B42)*IFERROR(VALUE(SUBSTITUTE($R$6:$R$100,"N","")),0)),SUMPRODUCT((BCC_MA=$B42)*IFERROR(VALUE(SUBSTITUTE($S$6:$S$100,"N","")),0)),SUMPRODUCT((BCC_MA=$B42)*IFERROR(VALUE(SUBSTITUTE($T$6:$T$100,"N","")),0)),SUMPRODUCT((BCC_MA=$B42)*IFERROR(VALUE(SUBSTITUTE($U$6:$U$100,"N","")),0)),SUMPRODUCT((BCC_MA=$B42)*IFERROR(VALUE(SUBSTITUTE($V$6:$V$100,"N","")),0)),SUMPRODUCT((BCC_MA=$B42)*IFERROR(VALUE(SUBSTITUTE($W$6:$W$100,"N","")),0)),SUMPRODUCT((BCC_MA=$B42)*IFERROR(VALUE(SUBSTITUTE($X$6:$X$100,"N","")),0)),SUMPRODUCT((BCC_MA=$B42)*IFERROR(VALUE(SUBSTITUTE($Y$6:$Y$100,"N","")),0)),SUMPRODUCT((BCC_MA=$B42)*IFERROR(VALUE(SUBSTITUTE($Z$6:$Z$100,"N","")),0)),SUMPRODUCT((BCC_MA=$B42)*IFERROR(VALUE(SUBSTITUTE($AA$6:$AA$100,"N","")),0)),SUMPRODUCT((BCC_MA=$B42)*IFERROR(VALUE(SUBSTITUTE($AB$6:$AB$100,"N","")),0)),SUMPRODUCT((BCC_MA=$B42)*IFERROR(VALUE(SUBSTITUTE($AC$6:$AC$100,"N","")),0)),SUMPRODUCT((BCC_MA=$B42)*IFERROR(VALUE(SUBSTITUTE($AD$6:$AD$100,"N","")),0)),SUMPRODUCT((BCC_MA=$B42)*IFERROR(VALUE(SUBSTITUTE($AE$6:$AE$100,"N","")),0)),SUMPRODUCT((BCC_MA=$B42)*IFERROR(VALUE(SUBSTITUTE($AF$6:$AF$100,"N","")),0)),SUMPRODUCT((BCC_MA=$B42)*IFERROR(VALUE(SUBSTITUTE($AG$6:$AG$100,"N","")),0)),SUMPRODUCT((BCC_MA=$B42)*IFERROR(VALUE(SUBSTITUTE($AH$6:$AH$100,"N","")),0)),SUMPRODUCT((BCC_MA=$B42)*IFERROR(VALUE(SUBSTITUTE($AI$6:$AI$100,"N","")),0)),SUMPRODUCT((BCC_MA=$B42)*IFERROR(VALUE(SUBSTITUTE($AJ$6:$AJ$100,"N","")),0)),SUMPRODUCT((BCC_MA=$B42)*IFERROR(VALUE(SUBSTITUTE($AK$6:$AK$100,"N","")),0))))</f>
        <v>8</v>
      </c>
    </row>
    <row r="43" customFormat="false" ht="15" hidden="false" customHeight="false" outlineLevel="0" collapsed="false">
      <c r="A43" s="17" t="n">
        <v>38</v>
      </c>
      <c r="B43" s="10" t="s">
        <v>171</v>
      </c>
      <c r="C43" s="17" t="str">
        <f aca="false">IF(B43="","",IFERROR(INDEX(NV_TEN,MATCH(B43,NV_MA,0)),"MÃ KHÔNG CÓ"))</f>
        <v>Phạm Gia Hiếu</v>
      </c>
      <c r="D43" s="10" t="s">
        <v>78</v>
      </c>
      <c r="E43" s="18"/>
      <c r="F43" s="17" t="n">
        <f aca="false">IF(D43="","",IFERROR(INDEX(NH_GIO,MATCH(D43,NH_TEN,0)),"NHÓM?"))</f>
        <v>8</v>
      </c>
      <c r="G43" s="21" t="n">
        <v>8</v>
      </c>
      <c r="H43" s="21" t="n">
        <v>8</v>
      </c>
      <c r="I43" s="21" t="n">
        <v>8</v>
      </c>
      <c r="J43" s="21" t="n">
        <v>8</v>
      </c>
      <c r="K43" s="21" t="n">
        <v>8</v>
      </c>
      <c r="L43" s="21" t="n">
        <v>8</v>
      </c>
      <c r="M43" s="21" t="n">
        <v>8</v>
      </c>
      <c r="N43" s="21"/>
      <c r="O43" s="21" t="n">
        <v>8</v>
      </c>
      <c r="P43" s="21"/>
      <c r="Q43" s="21" t="n">
        <v>8</v>
      </c>
      <c r="R43" s="21" t="n">
        <v>8</v>
      </c>
      <c r="S43" s="21" t="n">
        <v>8</v>
      </c>
      <c r="T43" s="21" t="n">
        <v>8</v>
      </c>
      <c r="U43" s="21" t="n">
        <v>8</v>
      </c>
      <c r="V43" s="21" t="n">
        <v>8</v>
      </c>
      <c r="W43" s="21" t="n">
        <v>8</v>
      </c>
      <c r="X43" s="21"/>
      <c r="Y43" s="21"/>
      <c r="Z43" s="21"/>
      <c r="AA43" s="21"/>
      <c r="AB43" s="21"/>
      <c r="AC43" s="21"/>
      <c r="AD43" s="21"/>
      <c r="AE43" s="21"/>
      <c r="AF43" s="21"/>
      <c r="AG43" s="21" t="n">
        <v>8</v>
      </c>
      <c r="AH43" s="21" t="n">
        <v>8</v>
      </c>
      <c r="AI43" s="21" t="n">
        <v>8</v>
      </c>
      <c r="AJ43" s="21" t="n">
        <v>8</v>
      </c>
      <c r="AK43" s="21"/>
      <c r="AL43" s="22" t="n">
        <f aca="false">IF(B43="","",SUMPRODUCT(IFERROR(VALUE(SUBSTITUTE(G43:AK43,"N","")),0)))</f>
        <v>152</v>
      </c>
      <c r="AM43" s="23" t="n">
        <f aca="false">IF(B43="","",AL43/F43)</f>
        <v>19</v>
      </c>
      <c r="AN43" s="23" t="n">
        <f aca="false">IF(B43="","",SUMPRODUCT(ISNUMBER(SEARCH("N",G43:AK43))*IFERROR(VALUE(SUBSTITUTE(G43:AK43,"N","")),0))/F43)</f>
        <v>0</v>
      </c>
      <c r="AO43" s="10"/>
      <c r="AP43" s="10"/>
      <c r="AQ43" s="10"/>
      <c r="AR43" s="24" t="n">
        <f aca="false">IF(B43="",0,MAX(SUMPRODUCT((BCC_MA=$B43)*IFERROR(VALUE(SUBSTITUTE($G$6:$G$100,"N","")),0)),SUMPRODUCT((BCC_MA=$B43)*IFERROR(VALUE(SUBSTITUTE($H$6:$H$100,"N","")),0)),SUMPRODUCT((BCC_MA=$B43)*IFERROR(VALUE(SUBSTITUTE($I$6:$I$100,"N","")),0)),SUMPRODUCT((BCC_MA=$B43)*IFERROR(VALUE(SUBSTITUTE($J$6:$J$100,"N","")),0)),SUMPRODUCT((BCC_MA=$B43)*IFERROR(VALUE(SUBSTITUTE($K$6:$K$100,"N","")),0)),SUMPRODUCT((BCC_MA=$B43)*IFERROR(VALUE(SUBSTITUTE($L$6:$L$100,"N","")),0)),SUMPRODUCT((BCC_MA=$B43)*IFERROR(VALUE(SUBSTITUTE($M$6:$M$100,"N","")),0)),SUMPRODUCT((BCC_MA=$B43)*IFERROR(VALUE(SUBSTITUTE($N$6:$N$100,"N","")),0)),SUMPRODUCT((BCC_MA=$B43)*IFERROR(VALUE(SUBSTITUTE($O$6:$O$100,"N","")),0)),SUMPRODUCT((BCC_MA=$B43)*IFERROR(VALUE(SUBSTITUTE($P$6:$P$100,"N","")),0)),SUMPRODUCT((BCC_MA=$B43)*IFERROR(VALUE(SUBSTITUTE($Q$6:$Q$100,"N","")),0)),SUMPRODUCT((BCC_MA=$B43)*IFERROR(VALUE(SUBSTITUTE($R$6:$R$100,"N","")),0)),SUMPRODUCT((BCC_MA=$B43)*IFERROR(VALUE(SUBSTITUTE($S$6:$S$100,"N","")),0)),SUMPRODUCT((BCC_MA=$B43)*IFERROR(VALUE(SUBSTITUTE($T$6:$T$100,"N","")),0)),SUMPRODUCT((BCC_MA=$B43)*IFERROR(VALUE(SUBSTITUTE($U$6:$U$100,"N","")),0)),SUMPRODUCT((BCC_MA=$B43)*IFERROR(VALUE(SUBSTITUTE($V$6:$V$100,"N","")),0)),SUMPRODUCT((BCC_MA=$B43)*IFERROR(VALUE(SUBSTITUTE($W$6:$W$100,"N","")),0)),SUMPRODUCT((BCC_MA=$B43)*IFERROR(VALUE(SUBSTITUTE($X$6:$X$100,"N","")),0)),SUMPRODUCT((BCC_MA=$B43)*IFERROR(VALUE(SUBSTITUTE($Y$6:$Y$100,"N","")),0)),SUMPRODUCT((BCC_MA=$B43)*IFERROR(VALUE(SUBSTITUTE($Z$6:$Z$100,"N","")),0)),SUMPRODUCT((BCC_MA=$B43)*IFERROR(VALUE(SUBSTITUTE($AA$6:$AA$100,"N","")),0)),SUMPRODUCT((BCC_MA=$B43)*IFERROR(VALUE(SUBSTITUTE($AB$6:$AB$100,"N","")),0)),SUMPRODUCT((BCC_MA=$B43)*IFERROR(VALUE(SUBSTITUTE($AC$6:$AC$100,"N","")),0)),SUMPRODUCT((BCC_MA=$B43)*IFERROR(VALUE(SUBSTITUTE($AD$6:$AD$100,"N","")),0)),SUMPRODUCT((BCC_MA=$B43)*IFERROR(VALUE(SUBSTITUTE($AE$6:$AE$100,"N","")),0)),SUMPRODUCT((BCC_MA=$B43)*IFERROR(VALUE(SUBSTITUTE($AF$6:$AF$100,"N","")),0)),SUMPRODUCT((BCC_MA=$B43)*IFERROR(VALUE(SUBSTITUTE($AG$6:$AG$100,"N","")),0)),SUMPRODUCT((BCC_MA=$B43)*IFERROR(VALUE(SUBSTITUTE($AH$6:$AH$100,"N","")),0)),SUMPRODUCT((BCC_MA=$B43)*IFERROR(VALUE(SUBSTITUTE($AI$6:$AI$100,"N","")),0)),SUMPRODUCT((BCC_MA=$B43)*IFERROR(VALUE(SUBSTITUTE($AJ$6:$AJ$100,"N","")),0)),SUMPRODUCT((BCC_MA=$B43)*IFERROR(VALUE(SUBSTITUTE($AK$6:$AK$100,"N","")),0))))</f>
        <v>8</v>
      </c>
    </row>
    <row r="44" customFormat="false" ht="15" hidden="false" customHeight="false" outlineLevel="0" collapsed="false">
      <c r="A44" s="17" t="n">
        <v>39</v>
      </c>
      <c r="B44" s="10" t="s">
        <v>174</v>
      </c>
      <c r="C44" s="17" t="str">
        <f aca="false">IF(B44="","",IFERROR(INDEX(NV_TEN,MATCH(B44,NV_MA,0)),"MÃ KHÔNG CÓ"))</f>
        <v>Nguyễn Thọ Lộc</v>
      </c>
      <c r="D44" s="10" t="s">
        <v>78</v>
      </c>
      <c r="E44" s="18"/>
      <c r="F44" s="17" t="n">
        <f aca="false">IF(D44="","",IFERROR(INDEX(NH_GIO,MATCH(D44,NH_TEN,0)),"NHÓM?"))</f>
        <v>8</v>
      </c>
      <c r="G44" s="21"/>
      <c r="H44" s="21"/>
      <c r="I44" s="21" t="n">
        <v>8</v>
      </c>
      <c r="J44" s="21"/>
      <c r="K44" s="21"/>
      <c r="L44" s="21" t="n">
        <v>8</v>
      </c>
      <c r="M44" s="21"/>
      <c r="N44" s="21"/>
      <c r="O44" s="21"/>
      <c r="P44" s="21"/>
      <c r="Q44" s="21" t="n">
        <v>8</v>
      </c>
      <c r="R44" s="21"/>
      <c r="S44" s="21" t="n">
        <v>8</v>
      </c>
      <c r="T44" s="21"/>
      <c r="U44" s="21"/>
      <c r="V44" s="21" t="n">
        <v>8</v>
      </c>
      <c r="W44" s="21"/>
      <c r="X44" s="21"/>
      <c r="Y44" s="21"/>
      <c r="Z44" s="21"/>
      <c r="AA44" s="21"/>
      <c r="AB44" s="21"/>
      <c r="AC44" s="21"/>
      <c r="AD44" s="21"/>
      <c r="AE44" s="21"/>
      <c r="AF44" s="21"/>
      <c r="AG44" s="21" t="n">
        <v>8</v>
      </c>
      <c r="AH44" s="21" t="n">
        <v>8</v>
      </c>
      <c r="AI44" s="21" t="n">
        <v>8</v>
      </c>
      <c r="AJ44" s="21"/>
      <c r="AK44" s="21"/>
      <c r="AL44" s="22" t="n">
        <f aca="false">IF(B44="","",SUMPRODUCT(IFERROR(VALUE(SUBSTITUTE(G44:AK44,"N","")),0)))</f>
        <v>64</v>
      </c>
      <c r="AM44" s="23" t="n">
        <f aca="false">IF(B44="","",AL44/F44)</f>
        <v>8</v>
      </c>
      <c r="AN44" s="23" t="n">
        <f aca="false">IF(B44="","",SUMPRODUCT(ISNUMBER(SEARCH("N",G44:AK44))*IFERROR(VALUE(SUBSTITUTE(G44:AK44,"N","")),0))/F44)</f>
        <v>0</v>
      </c>
      <c r="AO44" s="10"/>
      <c r="AP44" s="10"/>
      <c r="AQ44" s="10"/>
      <c r="AR44" s="24" t="n">
        <f aca="false">IF(B44="",0,MAX(SUMPRODUCT((BCC_MA=$B44)*IFERROR(VALUE(SUBSTITUTE($G$6:$G$100,"N","")),0)),SUMPRODUCT((BCC_MA=$B44)*IFERROR(VALUE(SUBSTITUTE($H$6:$H$100,"N","")),0)),SUMPRODUCT((BCC_MA=$B44)*IFERROR(VALUE(SUBSTITUTE($I$6:$I$100,"N","")),0)),SUMPRODUCT((BCC_MA=$B44)*IFERROR(VALUE(SUBSTITUTE($J$6:$J$100,"N","")),0)),SUMPRODUCT((BCC_MA=$B44)*IFERROR(VALUE(SUBSTITUTE($K$6:$K$100,"N","")),0)),SUMPRODUCT((BCC_MA=$B44)*IFERROR(VALUE(SUBSTITUTE($L$6:$L$100,"N","")),0)),SUMPRODUCT((BCC_MA=$B44)*IFERROR(VALUE(SUBSTITUTE($M$6:$M$100,"N","")),0)),SUMPRODUCT((BCC_MA=$B44)*IFERROR(VALUE(SUBSTITUTE($N$6:$N$100,"N","")),0)),SUMPRODUCT((BCC_MA=$B44)*IFERROR(VALUE(SUBSTITUTE($O$6:$O$100,"N","")),0)),SUMPRODUCT((BCC_MA=$B44)*IFERROR(VALUE(SUBSTITUTE($P$6:$P$100,"N","")),0)),SUMPRODUCT((BCC_MA=$B44)*IFERROR(VALUE(SUBSTITUTE($Q$6:$Q$100,"N","")),0)),SUMPRODUCT((BCC_MA=$B44)*IFERROR(VALUE(SUBSTITUTE($R$6:$R$100,"N","")),0)),SUMPRODUCT((BCC_MA=$B44)*IFERROR(VALUE(SUBSTITUTE($S$6:$S$100,"N","")),0)),SUMPRODUCT((BCC_MA=$B44)*IFERROR(VALUE(SUBSTITUTE($T$6:$T$100,"N","")),0)),SUMPRODUCT((BCC_MA=$B44)*IFERROR(VALUE(SUBSTITUTE($U$6:$U$100,"N","")),0)),SUMPRODUCT((BCC_MA=$B44)*IFERROR(VALUE(SUBSTITUTE($V$6:$V$100,"N","")),0)),SUMPRODUCT((BCC_MA=$B44)*IFERROR(VALUE(SUBSTITUTE($W$6:$W$100,"N","")),0)),SUMPRODUCT((BCC_MA=$B44)*IFERROR(VALUE(SUBSTITUTE($X$6:$X$100,"N","")),0)),SUMPRODUCT((BCC_MA=$B44)*IFERROR(VALUE(SUBSTITUTE($Y$6:$Y$100,"N","")),0)),SUMPRODUCT((BCC_MA=$B44)*IFERROR(VALUE(SUBSTITUTE($Z$6:$Z$100,"N","")),0)),SUMPRODUCT((BCC_MA=$B44)*IFERROR(VALUE(SUBSTITUTE($AA$6:$AA$100,"N","")),0)),SUMPRODUCT((BCC_MA=$B44)*IFERROR(VALUE(SUBSTITUTE($AB$6:$AB$100,"N","")),0)),SUMPRODUCT((BCC_MA=$B44)*IFERROR(VALUE(SUBSTITUTE($AC$6:$AC$100,"N","")),0)),SUMPRODUCT((BCC_MA=$B44)*IFERROR(VALUE(SUBSTITUTE($AD$6:$AD$100,"N","")),0)),SUMPRODUCT((BCC_MA=$B44)*IFERROR(VALUE(SUBSTITUTE($AE$6:$AE$100,"N","")),0)),SUMPRODUCT((BCC_MA=$B44)*IFERROR(VALUE(SUBSTITUTE($AF$6:$AF$100,"N","")),0)),SUMPRODUCT((BCC_MA=$B44)*IFERROR(VALUE(SUBSTITUTE($AG$6:$AG$100,"N","")),0)),SUMPRODUCT((BCC_MA=$B44)*IFERROR(VALUE(SUBSTITUTE($AH$6:$AH$100,"N","")),0)),SUMPRODUCT((BCC_MA=$B44)*IFERROR(VALUE(SUBSTITUTE($AI$6:$AI$100,"N","")),0)),SUMPRODUCT((BCC_MA=$B44)*IFERROR(VALUE(SUBSTITUTE($AJ$6:$AJ$100,"N","")),0)),SUMPRODUCT((BCC_MA=$B44)*IFERROR(VALUE(SUBSTITUTE($AK$6:$AK$100,"N","")),0))))</f>
        <v>8</v>
      </c>
    </row>
    <row r="45" customFormat="false" ht="15" hidden="false" customHeight="false" outlineLevel="0" collapsed="false">
      <c r="A45" s="17" t="n">
        <v>40</v>
      </c>
      <c r="B45" s="10" t="s">
        <v>176</v>
      </c>
      <c r="C45" s="17" t="str">
        <f aca="false">IF(B45="","",IFERROR(INDEX(NV_TEN,MATCH(B45,NV_MA,0)),"MÃ KHÔNG CÓ"))</f>
        <v>Nguyễn Phước Thành</v>
      </c>
      <c r="D45" s="10" t="s">
        <v>78</v>
      </c>
      <c r="E45" s="18"/>
      <c r="F45" s="17" t="n">
        <f aca="false">IF(D45="","",IFERROR(INDEX(NH_GIO,MATCH(D45,NH_TEN,0)),"NHÓM?"))</f>
        <v>8</v>
      </c>
      <c r="G45" s="21"/>
      <c r="H45" s="21"/>
      <c r="I45" s="21"/>
      <c r="J45" s="21"/>
      <c r="K45" s="21"/>
      <c r="L45" s="21" t="n">
        <v>8</v>
      </c>
      <c r="M45" s="21"/>
      <c r="N45" s="21"/>
      <c r="O45" s="21"/>
      <c r="P45" s="21"/>
      <c r="Q45" s="21"/>
      <c r="R45" s="21"/>
      <c r="S45" s="21" t="n">
        <v>8</v>
      </c>
      <c r="T45" s="21"/>
      <c r="U45" s="21"/>
      <c r="V45" s="21"/>
      <c r="W45" s="21"/>
      <c r="X45" s="21"/>
      <c r="Y45" s="21"/>
      <c r="Z45" s="21"/>
      <c r="AA45" s="21"/>
      <c r="AB45" s="21"/>
      <c r="AC45" s="21"/>
      <c r="AD45" s="21"/>
      <c r="AE45" s="21"/>
      <c r="AF45" s="21"/>
      <c r="AG45" s="21"/>
      <c r="AH45" s="21"/>
      <c r="AI45" s="21"/>
      <c r="AJ45" s="21"/>
      <c r="AK45" s="21"/>
      <c r="AL45" s="22" t="n">
        <f aca="false">IF(B45="","",SUMPRODUCT(IFERROR(VALUE(SUBSTITUTE(G45:AK45,"N","")),0)))</f>
        <v>16</v>
      </c>
      <c r="AM45" s="23" t="n">
        <f aca="false">IF(B45="","",AL45/F45)</f>
        <v>2</v>
      </c>
      <c r="AN45" s="23" t="n">
        <f aca="false">IF(B45="","",SUMPRODUCT(ISNUMBER(SEARCH("N",G45:AK45))*IFERROR(VALUE(SUBSTITUTE(G45:AK45,"N","")),0))/F45)</f>
        <v>0</v>
      </c>
      <c r="AO45" s="10"/>
      <c r="AP45" s="10"/>
      <c r="AQ45" s="10"/>
      <c r="AR45" s="24" t="n">
        <f aca="false">IF(B45="",0,MAX(SUMPRODUCT((BCC_MA=$B45)*IFERROR(VALUE(SUBSTITUTE($G$6:$G$100,"N","")),0)),SUMPRODUCT((BCC_MA=$B45)*IFERROR(VALUE(SUBSTITUTE($H$6:$H$100,"N","")),0)),SUMPRODUCT((BCC_MA=$B45)*IFERROR(VALUE(SUBSTITUTE($I$6:$I$100,"N","")),0)),SUMPRODUCT((BCC_MA=$B45)*IFERROR(VALUE(SUBSTITUTE($J$6:$J$100,"N","")),0)),SUMPRODUCT((BCC_MA=$B45)*IFERROR(VALUE(SUBSTITUTE($K$6:$K$100,"N","")),0)),SUMPRODUCT((BCC_MA=$B45)*IFERROR(VALUE(SUBSTITUTE($L$6:$L$100,"N","")),0)),SUMPRODUCT((BCC_MA=$B45)*IFERROR(VALUE(SUBSTITUTE($M$6:$M$100,"N","")),0)),SUMPRODUCT((BCC_MA=$B45)*IFERROR(VALUE(SUBSTITUTE($N$6:$N$100,"N","")),0)),SUMPRODUCT((BCC_MA=$B45)*IFERROR(VALUE(SUBSTITUTE($O$6:$O$100,"N","")),0)),SUMPRODUCT((BCC_MA=$B45)*IFERROR(VALUE(SUBSTITUTE($P$6:$P$100,"N","")),0)),SUMPRODUCT((BCC_MA=$B45)*IFERROR(VALUE(SUBSTITUTE($Q$6:$Q$100,"N","")),0)),SUMPRODUCT((BCC_MA=$B45)*IFERROR(VALUE(SUBSTITUTE($R$6:$R$100,"N","")),0)),SUMPRODUCT((BCC_MA=$B45)*IFERROR(VALUE(SUBSTITUTE($S$6:$S$100,"N","")),0)),SUMPRODUCT((BCC_MA=$B45)*IFERROR(VALUE(SUBSTITUTE($T$6:$T$100,"N","")),0)),SUMPRODUCT((BCC_MA=$B45)*IFERROR(VALUE(SUBSTITUTE($U$6:$U$100,"N","")),0)),SUMPRODUCT((BCC_MA=$B45)*IFERROR(VALUE(SUBSTITUTE($V$6:$V$100,"N","")),0)),SUMPRODUCT((BCC_MA=$B45)*IFERROR(VALUE(SUBSTITUTE($W$6:$W$100,"N","")),0)),SUMPRODUCT((BCC_MA=$B45)*IFERROR(VALUE(SUBSTITUTE($X$6:$X$100,"N","")),0)),SUMPRODUCT((BCC_MA=$B45)*IFERROR(VALUE(SUBSTITUTE($Y$6:$Y$100,"N","")),0)),SUMPRODUCT((BCC_MA=$B45)*IFERROR(VALUE(SUBSTITUTE($Z$6:$Z$100,"N","")),0)),SUMPRODUCT((BCC_MA=$B45)*IFERROR(VALUE(SUBSTITUTE($AA$6:$AA$100,"N","")),0)),SUMPRODUCT((BCC_MA=$B45)*IFERROR(VALUE(SUBSTITUTE($AB$6:$AB$100,"N","")),0)),SUMPRODUCT((BCC_MA=$B45)*IFERROR(VALUE(SUBSTITUTE($AC$6:$AC$100,"N","")),0)),SUMPRODUCT((BCC_MA=$B45)*IFERROR(VALUE(SUBSTITUTE($AD$6:$AD$100,"N","")),0)),SUMPRODUCT((BCC_MA=$B45)*IFERROR(VALUE(SUBSTITUTE($AE$6:$AE$100,"N","")),0)),SUMPRODUCT((BCC_MA=$B45)*IFERROR(VALUE(SUBSTITUTE($AF$6:$AF$100,"N","")),0)),SUMPRODUCT((BCC_MA=$B45)*IFERROR(VALUE(SUBSTITUTE($AG$6:$AG$100,"N","")),0)),SUMPRODUCT((BCC_MA=$B45)*IFERROR(VALUE(SUBSTITUTE($AH$6:$AH$100,"N","")),0)),SUMPRODUCT((BCC_MA=$B45)*IFERROR(VALUE(SUBSTITUTE($AI$6:$AI$100,"N","")),0)),SUMPRODUCT((BCC_MA=$B45)*IFERROR(VALUE(SUBSTITUTE($AJ$6:$AJ$100,"N","")),0)),SUMPRODUCT((BCC_MA=$B45)*IFERROR(VALUE(SUBSTITUTE($AK$6:$AK$100,"N","")),0))))</f>
        <v>8</v>
      </c>
    </row>
    <row r="46" customFormat="false" ht="15" hidden="false" customHeight="false" outlineLevel="0" collapsed="false">
      <c r="A46" s="17" t="n">
        <v>41</v>
      </c>
      <c r="B46" s="10" t="s">
        <v>178</v>
      </c>
      <c r="C46" s="17" t="str">
        <f aca="false">IF(B46="","",IFERROR(INDEX(NV_TEN,MATCH(B46,NV_MA,0)),"MÃ KHÔNG CÓ"))</f>
        <v>Nguyễn Thị X Thành</v>
      </c>
      <c r="D46" s="10" t="s">
        <v>78</v>
      </c>
      <c r="E46" s="18"/>
      <c r="F46" s="17" t="n">
        <f aca="false">IF(D46="","",IFERROR(INDEX(NH_GIO,MATCH(D46,NH_TEN,0)),"NHÓM?"))</f>
        <v>8</v>
      </c>
      <c r="G46" s="21" t="n">
        <v>8</v>
      </c>
      <c r="H46" s="21"/>
      <c r="I46" s="21" t="n">
        <v>8</v>
      </c>
      <c r="J46" s="21" t="n">
        <v>8</v>
      </c>
      <c r="K46" s="21" t="n">
        <v>8</v>
      </c>
      <c r="L46" s="21" t="n">
        <v>8</v>
      </c>
      <c r="M46" s="21"/>
      <c r="N46" s="21"/>
      <c r="O46" s="21"/>
      <c r="P46" s="21"/>
      <c r="Q46" s="21" t="n">
        <v>8</v>
      </c>
      <c r="R46" s="21" t="n">
        <v>8</v>
      </c>
      <c r="S46" s="21" t="n">
        <v>8</v>
      </c>
      <c r="T46" s="21"/>
      <c r="U46" s="21"/>
      <c r="V46" s="21"/>
      <c r="W46" s="21"/>
      <c r="X46" s="21"/>
      <c r="Y46" s="21"/>
      <c r="Z46" s="21"/>
      <c r="AA46" s="21"/>
      <c r="AB46" s="21" t="n">
        <v>8</v>
      </c>
      <c r="AC46" s="21" t="n">
        <v>8</v>
      </c>
      <c r="AD46" s="21"/>
      <c r="AE46" s="21"/>
      <c r="AF46" s="21"/>
      <c r="AG46" s="21"/>
      <c r="AH46" s="21"/>
      <c r="AI46" s="21"/>
      <c r="AJ46" s="21"/>
      <c r="AK46" s="21"/>
      <c r="AL46" s="22" t="n">
        <f aca="false">IF(B46="","",SUMPRODUCT(IFERROR(VALUE(SUBSTITUTE(G46:AK46,"N","")),0)))</f>
        <v>80</v>
      </c>
      <c r="AM46" s="23" t="n">
        <f aca="false">IF(B46="","",AL46/F46)</f>
        <v>10</v>
      </c>
      <c r="AN46" s="23" t="n">
        <f aca="false">IF(B46="","",SUMPRODUCT(ISNUMBER(SEARCH("N",G46:AK46))*IFERROR(VALUE(SUBSTITUTE(G46:AK46,"N","")),0))/F46)</f>
        <v>0</v>
      </c>
      <c r="AO46" s="10"/>
      <c r="AP46" s="10"/>
      <c r="AQ46" s="10"/>
      <c r="AR46" s="24" t="n">
        <f aca="false">IF(B46="",0,MAX(SUMPRODUCT((BCC_MA=$B46)*IFERROR(VALUE(SUBSTITUTE($G$6:$G$100,"N","")),0)),SUMPRODUCT((BCC_MA=$B46)*IFERROR(VALUE(SUBSTITUTE($H$6:$H$100,"N","")),0)),SUMPRODUCT((BCC_MA=$B46)*IFERROR(VALUE(SUBSTITUTE($I$6:$I$100,"N","")),0)),SUMPRODUCT((BCC_MA=$B46)*IFERROR(VALUE(SUBSTITUTE($J$6:$J$100,"N","")),0)),SUMPRODUCT((BCC_MA=$B46)*IFERROR(VALUE(SUBSTITUTE($K$6:$K$100,"N","")),0)),SUMPRODUCT((BCC_MA=$B46)*IFERROR(VALUE(SUBSTITUTE($L$6:$L$100,"N","")),0)),SUMPRODUCT((BCC_MA=$B46)*IFERROR(VALUE(SUBSTITUTE($M$6:$M$100,"N","")),0)),SUMPRODUCT((BCC_MA=$B46)*IFERROR(VALUE(SUBSTITUTE($N$6:$N$100,"N","")),0)),SUMPRODUCT((BCC_MA=$B46)*IFERROR(VALUE(SUBSTITUTE($O$6:$O$100,"N","")),0)),SUMPRODUCT((BCC_MA=$B46)*IFERROR(VALUE(SUBSTITUTE($P$6:$P$100,"N","")),0)),SUMPRODUCT((BCC_MA=$B46)*IFERROR(VALUE(SUBSTITUTE($Q$6:$Q$100,"N","")),0)),SUMPRODUCT((BCC_MA=$B46)*IFERROR(VALUE(SUBSTITUTE($R$6:$R$100,"N","")),0)),SUMPRODUCT((BCC_MA=$B46)*IFERROR(VALUE(SUBSTITUTE($S$6:$S$100,"N","")),0)),SUMPRODUCT((BCC_MA=$B46)*IFERROR(VALUE(SUBSTITUTE($T$6:$T$100,"N","")),0)),SUMPRODUCT((BCC_MA=$B46)*IFERROR(VALUE(SUBSTITUTE($U$6:$U$100,"N","")),0)),SUMPRODUCT((BCC_MA=$B46)*IFERROR(VALUE(SUBSTITUTE($V$6:$V$100,"N","")),0)),SUMPRODUCT((BCC_MA=$B46)*IFERROR(VALUE(SUBSTITUTE($W$6:$W$100,"N","")),0)),SUMPRODUCT((BCC_MA=$B46)*IFERROR(VALUE(SUBSTITUTE($X$6:$X$100,"N","")),0)),SUMPRODUCT((BCC_MA=$B46)*IFERROR(VALUE(SUBSTITUTE($Y$6:$Y$100,"N","")),0)),SUMPRODUCT((BCC_MA=$B46)*IFERROR(VALUE(SUBSTITUTE($Z$6:$Z$100,"N","")),0)),SUMPRODUCT((BCC_MA=$B46)*IFERROR(VALUE(SUBSTITUTE($AA$6:$AA$100,"N","")),0)),SUMPRODUCT((BCC_MA=$B46)*IFERROR(VALUE(SUBSTITUTE($AB$6:$AB$100,"N","")),0)),SUMPRODUCT((BCC_MA=$B46)*IFERROR(VALUE(SUBSTITUTE($AC$6:$AC$100,"N","")),0)),SUMPRODUCT((BCC_MA=$B46)*IFERROR(VALUE(SUBSTITUTE($AD$6:$AD$100,"N","")),0)),SUMPRODUCT((BCC_MA=$B46)*IFERROR(VALUE(SUBSTITUTE($AE$6:$AE$100,"N","")),0)),SUMPRODUCT((BCC_MA=$B46)*IFERROR(VALUE(SUBSTITUTE($AF$6:$AF$100,"N","")),0)),SUMPRODUCT((BCC_MA=$B46)*IFERROR(VALUE(SUBSTITUTE($AG$6:$AG$100,"N","")),0)),SUMPRODUCT((BCC_MA=$B46)*IFERROR(VALUE(SUBSTITUTE($AH$6:$AH$100,"N","")),0)),SUMPRODUCT((BCC_MA=$B46)*IFERROR(VALUE(SUBSTITUTE($AI$6:$AI$100,"N","")),0)),SUMPRODUCT((BCC_MA=$B46)*IFERROR(VALUE(SUBSTITUTE($AJ$6:$AJ$100,"N","")),0)),SUMPRODUCT((BCC_MA=$B46)*IFERROR(VALUE(SUBSTITUTE($AK$6:$AK$100,"N","")),0))))</f>
        <v>8</v>
      </c>
    </row>
    <row r="47" customFormat="false" ht="15" hidden="false" customHeight="false" outlineLevel="0" collapsed="false">
      <c r="A47" s="17" t="n">
        <v>42</v>
      </c>
      <c r="B47" s="10" t="s">
        <v>180</v>
      </c>
      <c r="C47" s="17" t="str">
        <f aca="false">IF(B47="","",IFERROR(INDEX(NV_TEN,MATCH(B47,NV_MA,0)),"MÃ KHÔNG CÓ"))</f>
        <v>Nguyễn Thị Mai</v>
      </c>
      <c r="D47" s="10" t="s">
        <v>78</v>
      </c>
      <c r="E47" s="18"/>
      <c r="F47" s="17" t="n">
        <f aca="false">IF(D47="","",IFERROR(INDEX(NH_GIO,MATCH(D47,NH_TEN,0)),"NHÓM?"))</f>
        <v>8</v>
      </c>
      <c r="G47" s="21"/>
      <c r="H47" s="21"/>
      <c r="I47" s="21" t="n">
        <v>8</v>
      </c>
      <c r="J47" s="21"/>
      <c r="K47" s="21"/>
      <c r="L47" s="21" t="n">
        <v>8</v>
      </c>
      <c r="M47" s="21"/>
      <c r="N47" s="21"/>
      <c r="O47" s="21"/>
      <c r="P47" s="21"/>
      <c r="Q47" s="21" t="n">
        <v>8</v>
      </c>
      <c r="R47" s="21"/>
      <c r="S47" s="21" t="n">
        <v>8</v>
      </c>
      <c r="T47" s="21"/>
      <c r="U47" s="21"/>
      <c r="V47" s="21" t="n">
        <v>8</v>
      </c>
      <c r="W47" s="21"/>
      <c r="X47" s="21"/>
      <c r="Y47" s="21"/>
      <c r="Z47" s="21"/>
      <c r="AA47" s="21"/>
      <c r="AB47" s="21"/>
      <c r="AC47" s="21"/>
      <c r="AD47" s="21"/>
      <c r="AE47" s="21"/>
      <c r="AF47" s="21"/>
      <c r="AG47" s="21" t="n">
        <v>8</v>
      </c>
      <c r="AH47" s="21" t="n">
        <v>8</v>
      </c>
      <c r="AI47" s="21"/>
      <c r="AJ47" s="21"/>
      <c r="AK47" s="21"/>
      <c r="AL47" s="22" t="n">
        <f aca="false">IF(B47="","",SUMPRODUCT(IFERROR(VALUE(SUBSTITUTE(G47:AK47,"N","")),0)))</f>
        <v>56</v>
      </c>
      <c r="AM47" s="23" t="n">
        <f aca="false">IF(B47="","",AL47/F47)</f>
        <v>7</v>
      </c>
      <c r="AN47" s="23" t="n">
        <f aca="false">IF(B47="","",SUMPRODUCT(ISNUMBER(SEARCH("N",G47:AK47))*IFERROR(VALUE(SUBSTITUTE(G47:AK47,"N","")),0))/F47)</f>
        <v>0</v>
      </c>
      <c r="AO47" s="10"/>
      <c r="AP47" s="10"/>
      <c r="AQ47" s="10"/>
      <c r="AR47" s="24" t="n">
        <f aca="false">IF(B47="",0,MAX(SUMPRODUCT((BCC_MA=$B47)*IFERROR(VALUE(SUBSTITUTE($G$6:$G$100,"N","")),0)),SUMPRODUCT((BCC_MA=$B47)*IFERROR(VALUE(SUBSTITUTE($H$6:$H$100,"N","")),0)),SUMPRODUCT((BCC_MA=$B47)*IFERROR(VALUE(SUBSTITUTE($I$6:$I$100,"N","")),0)),SUMPRODUCT((BCC_MA=$B47)*IFERROR(VALUE(SUBSTITUTE($J$6:$J$100,"N","")),0)),SUMPRODUCT((BCC_MA=$B47)*IFERROR(VALUE(SUBSTITUTE($K$6:$K$100,"N","")),0)),SUMPRODUCT((BCC_MA=$B47)*IFERROR(VALUE(SUBSTITUTE($L$6:$L$100,"N","")),0)),SUMPRODUCT((BCC_MA=$B47)*IFERROR(VALUE(SUBSTITUTE($M$6:$M$100,"N","")),0)),SUMPRODUCT((BCC_MA=$B47)*IFERROR(VALUE(SUBSTITUTE($N$6:$N$100,"N","")),0)),SUMPRODUCT((BCC_MA=$B47)*IFERROR(VALUE(SUBSTITUTE($O$6:$O$100,"N","")),0)),SUMPRODUCT((BCC_MA=$B47)*IFERROR(VALUE(SUBSTITUTE($P$6:$P$100,"N","")),0)),SUMPRODUCT((BCC_MA=$B47)*IFERROR(VALUE(SUBSTITUTE($Q$6:$Q$100,"N","")),0)),SUMPRODUCT((BCC_MA=$B47)*IFERROR(VALUE(SUBSTITUTE($R$6:$R$100,"N","")),0)),SUMPRODUCT((BCC_MA=$B47)*IFERROR(VALUE(SUBSTITUTE($S$6:$S$100,"N","")),0)),SUMPRODUCT((BCC_MA=$B47)*IFERROR(VALUE(SUBSTITUTE($T$6:$T$100,"N","")),0)),SUMPRODUCT((BCC_MA=$B47)*IFERROR(VALUE(SUBSTITUTE($U$6:$U$100,"N","")),0)),SUMPRODUCT((BCC_MA=$B47)*IFERROR(VALUE(SUBSTITUTE($V$6:$V$100,"N","")),0)),SUMPRODUCT((BCC_MA=$B47)*IFERROR(VALUE(SUBSTITUTE($W$6:$W$100,"N","")),0)),SUMPRODUCT((BCC_MA=$B47)*IFERROR(VALUE(SUBSTITUTE($X$6:$X$100,"N","")),0)),SUMPRODUCT((BCC_MA=$B47)*IFERROR(VALUE(SUBSTITUTE($Y$6:$Y$100,"N","")),0)),SUMPRODUCT((BCC_MA=$B47)*IFERROR(VALUE(SUBSTITUTE($Z$6:$Z$100,"N","")),0)),SUMPRODUCT((BCC_MA=$B47)*IFERROR(VALUE(SUBSTITUTE($AA$6:$AA$100,"N","")),0)),SUMPRODUCT((BCC_MA=$B47)*IFERROR(VALUE(SUBSTITUTE($AB$6:$AB$100,"N","")),0)),SUMPRODUCT((BCC_MA=$B47)*IFERROR(VALUE(SUBSTITUTE($AC$6:$AC$100,"N","")),0)),SUMPRODUCT((BCC_MA=$B47)*IFERROR(VALUE(SUBSTITUTE($AD$6:$AD$100,"N","")),0)),SUMPRODUCT((BCC_MA=$B47)*IFERROR(VALUE(SUBSTITUTE($AE$6:$AE$100,"N","")),0)),SUMPRODUCT((BCC_MA=$B47)*IFERROR(VALUE(SUBSTITUTE($AF$6:$AF$100,"N","")),0)),SUMPRODUCT((BCC_MA=$B47)*IFERROR(VALUE(SUBSTITUTE($AG$6:$AG$100,"N","")),0)),SUMPRODUCT((BCC_MA=$B47)*IFERROR(VALUE(SUBSTITUTE($AH$6:$AH$100,"N","")),0)),SUMPRODUCT((BCC_MA=$B47)*IFERROR(VALUE(SUBSTITUTE($AI$6:$AI$100,"N","")),0)),SUMPRODUCT((BCC_MA=$B47)*IFERROR(VALUE(SUBSTITUTE($AJ$6:$AJ$100,"N","")),0)),SUMPRODUCT((BCC_MA=$B47)*IFERROR(VALUE(SUBSTITUTE($AK$6:$AK$100,"N","")),0))))</f>
        <v>8</v>
      </c>
    </row>
    <row r="48" customFormat="false" ht="15" hidden="false" customHeight="false" outlineLevel="0" collapsed="false">
      <c r="A48" s="17" t="n">
        <v>43</v>
      </c>
      <c r="B48" s="10" t="s">
        <v>182</v>
      </c>
      <c r="C48" s="17" t="str">
        <f aca="false">IF(B48="","",IFERROR(INDEX(NV_TEN,MATCH(B48,NV_MA,0)),"MÃ KHÔNG CÓ"))</f>
        <v>Nguyễn Thị Điệp</v>
      </c>
      <c r="D48" s="10" t="s">
        <v>78</v>
      </c>
      <c r="E48" s="18"/>
      <c r="F48" s="17" t="n">
        <f aca="false">IF(D48="","",IFERROR(INDEX(NH_GIO,MATCH(D48,NH_TEN,0)),"NHÓM?"))</f>
        <v>8</v>
      </c>
      <c r="G48" s="21" t="n">
        <v>8</v>
      </c>
      <c r="H48" s="21"/>
      <c r="I48" s="21" t="n">
        <v>8</v>
      </c>
      <c r="J48" s="21" t="n">
        <v>8</v>
      </c>
      <c r="K48" s="21" t="n">
        <v>8</v>
      </c>
      <c r="L48" s="21" t="n">
        <v>8</v>
      </c>
      <c r="M48" s="21"/>
      <c r="N48" s="21"/>
      <c r="O48" s="21"/>
      <c r="P48" s="21"/>
      <c r="Q48" s="21" t="n">
        <v>8</v>
      </c>
      <c r="R48" s="21" t="n">
        <v>8</v>
      </c>
      <c r="S48" s="21" t="n">
        <v>8</v>
      </c>
      <c r="T48" s="21"/>
      <c r="U48" s="21"/>
      <c r="V48" s="21" t="n">
        <v>8</v>
      </c>
      <c r="W48" s="21"/>
      <c r="X48" s="21"/>
      <c r="Y48" s="21"/>
      <c r="Z48" s="21"/>
      <c r="AA48" s="21"/>
      <c r="AB48" s="21"/>
      <c r="AC48" s="21"/>
      <c r="AD48" s="21"/>
      <c r="AE48" s="21"/>
      <c r="AF48" s="21"/>
      <c r="AG48" s="21"/>
      <c r="AH48" s="21"/>
      <c r="AI48" s="21"/>
      <c r="AJ48" s="21"/>
      <c r="AK48" s="21"/>
      <c r="AL48" s="22" t="n">
        <f aca="false">IF(B48="","",SUMPRODUCT(IFERROR(VALUE(SUBSTITUTE(G48:AK48,"N","")),0)))</f>
        <v>72</v>
      </c>
      <c r="AM48" s="23" t="n">
        <f aca="false">IF(B48="","",AL48/F48)</f>
        <v>9</v>
      </c>
      <c r="AN48" s="23" t="n">
        <f aca="false">IF(B48="","",SUMPRODUCT(ISNUMBER(SEARCH("N",G48:AK48))*IFERROR(VALUE(SUBSTITUTE(G48:AK48,"N","")),0))/F48)</f>
        <v>0</v>
      </c>
      <c r="AO48" s="10"/>
      <c r="AP48" s="10"/>
      <c r="AQ48" s="10"/>
      <c r="AR48" s="24" t="n">
        <f aca="false">IF(B48="",0,MAX(SUMPRODUCT((BCC_MA=$B48)*IFERROR(VALUE(SUBSTITUTE($G$6:$G$100,"N","")),0)),SUMPRODUCT((BCC_MA=$B48)*IFERROR(VALUE(SUBSTITUTE($H$6:$H$100,"N","")),0)),SUMPRODUCT((BCC_MA=$B48)*IFERROR(VALUE(SUBSTITUTE($I$6:$I$100,"N","")),0)),SUMPRODUCT((BCC_MA=$B48)*IFERROR(VALUE(SUBSTITUTE($J$6:$J$100,"N","")),0)),SUMPRODUCT((BCC_MA=$B48)*IFERROR(VALUE(SUBSTITUTE($K$6:$K$100,"N","")),0)),SUMPRODUCT((BCC_MA=$B48)*IFERROR(VALUE(SUBSTITUTE($L$6:$L$100,"N","")),0)),SUMPRODUCT((BCC_MA=$B48)*IFERROR(VALUE(SUBSTITUTE($M$6:$M$100,"N","")),0)),SUMPRODUCT((BCC_MA=$B48)*IFERROR(VALUE(SUBSTITUTE($N$6:$N$100,"N","")),0)),SUMPRODUCT((BCC_MA=$B48)*IFERROR(VALUE(SUBSTITUTE($O$6:$O$100,"N","")),0)),SUMPRODUCT((BCC_MA=$B48)*IFERROR(VALUE(SUBSTITUTE($P$6:$P$100,"N","")),0)),SUMPRODUCT((BCC_MA=$B48)*IFERROR(VALUE(SUBSTITUTE($Q$6:$Q$100,"N","")),0)),SUMPRODUCT((BCC_MA=$B48)*IFERROR(VALUE(SUBSTITUTE($R$6:$R$100,"N","")),0)),SUMPRODUCT((BCC_MA=$B48)*IFERROR(VALUE(SUBSTITUTE($S$6:$S$100,"N","")),0)),SUMPRODUCT((BCC_MA=$B48)*IFERROR(VALUE(SUBSTITUTE($T$6:$T$100,"N","")),0)),SUMPRODUCT((BCC_MA=$B48)*IFERROR(VALUE(SUBSTITUTE($U$6:$U$100,"N","")),0)),SUMPRODUCT((BCC_MA=$B48)*IFERROR(VALUE(SUBSTITUTE($V$6:$V$100,"N","")),0)),SUMPRODUCT((BCC_MA=$B48)*IFERROR(VALUE(SUBSTITUTE($W$6:$W$100,"N","")),0)),SUMPRODUCT((BCC_MA=$B48)*IFERROR(VALUE(SUBSTITUTE($X$6:$X$100,"N","")),0)),SUMPRODUCT((BCC_MA=$B48)*IFERROR(VALUE(SUBSTITUTE($Y$6:$Y$100,"N","")),0)),SUMPRODUCT((BCC_MA=$B48)*IFERROR(VALUE(SUBSTITUTE($Z$6:$Z$100,"N","")),0)),SUMPRODUCT((BCC_MA=$B48)*IFERROR(VALUE(SUBSTITUTE($AA$6:$AA$100,"N","")),0)),SUMPRODUCT((BCC_MA=$B48)*IFERROR(VALUE(SUBSTITUTE($AB$6:$AB$100,"N","")),0)),SUMPRODUCT((BCC_MA=$B48)*IFERROR(VALUE(SUBSTITUTE($AC$6:$AC$100,"N","")),0)),SUMPRODUCT((BCC_MA=$B48)*IFERROR(VALUE(SUBSTITUTE($AD$6:$AD$100,"N","")),0)),SUMPRODUCT((BCC_MA=$B48)*IFERROR(VALUE(SUBSTITUTE($AE$6:$AE$100,"N","")),0)),SUMPRODUCT((BCC_MA=$B48)*IFERROR(VALUE(SUBSTITUTE($AF$6:$AF$100,"N","")),0)),SUMPRODUCT((BCC_MA=$B48)*IFERROR(VALUE(SUBSTITUTE($AG$6:$AG$100,"N","")),0)),SUMPRODUCT((BCC_MA=$B48)*IFERROR(VALUE(SUBSTITUTE($AH$6:$AH$100,"N","")),0)),SUMPRODUCT((BCC_MA=$B48)*IFERROR(VALUE(SUBSTITUTE($AI$6:$AI$100,"N","")),0)),SUMPRODUCT((BCC_MA=$B48)*IFERROR(VALUE(SUBSTITUTE($AJ$6:$AJ$100,"N","")),0)),SUMPRODUCT((BCC_MA=$B48)*IFERROR(VALUE(SUBSTITUTE($AK$6:$AK$100,"N","")),0))))</f>
        <v>8</v>
      </c>
    </row>
    <row r="49" customFormat="false" ht="15" hidden="false" customHeight="false" outlineLevel="0" collapsed="false">
      <c r="A49" s="17" t="n">
        <v>44</v>
      </c>
      <c r="B49" s="10" t="s">
        <v>184</v>
      </c>
      <c r="C49" s="17" t="str">
        <f aca="false">IF(B49="","",IFERROR(INDEX(NV_TEN,MATCH(B49,NV_MA,0)),"MÃ KHÔNG CÓ"))</f>
        <v>Trần Thị Thắm</v>
      </c>
      <c r="D49" s="10" t="s">
        <v>78</v>
      </c>
      <c r="E49" s="18"/>
      <c r="F49" s="17" t="n">
        <f aca="false">IF(D49="","",IFERROR(INDEX(NH_GIO,MATCH(D49,NH_TEN,0)),"NHÓM?"))</f>
        <v>8</v>
      </c>
      <c r="G49" s="21"/>
      <c r="H49" s="21"/>
      <c r="I49" s="21"/>
      <c r="J49" s="21"/>
      <c r="K49" s="21"/>
      <c r="L49" s="21" t="n">
        <v>8</v>
      </c>
      <c r="M49" s="21"/>
      <c r="N49" s="21"/>
      <c r="O49" s="21"/>
      <c r="P49" s="21"/>
      <c r="Q49" s="21" t="n">
        <v>8</v>
      </c>
      <c r="R49" s="21"/>
      <c r="S49" s="21" t="n">
        <v>8</v>
      </c>
      <c r="T49" s="21"/>
      <c r="U49" s="21"/>
      <c r="V49" s="21" t="n">
        <v>8</v>
      </c>
      <c r="W49" s="21"/>
      <c r="X49" s="21"/>
      <c r="Y49" s="21"/>
      <c r="Z49" s="21"/>
      <c r="AA49" s="21"/>
      <c r="AB49" s="21"/>
      <c r="AC49" s="21"/>
      <c r="AD49" s="21"/>
      <c r="AE49" s="21"/>
      <c r="AF49" s="21"/>
      <c r="AG49" s="21"/>
      <c r="AH49" s="21"/>
      <c r="AI49" s="21"/>
      <c r="AJ49" s="21"/>
      <c r="AK49" s="21"/>
      <c r="AL49" s="22" t="n">
        <f aca="false">IF(B49="","",SUMPRODUCT(IFERROR(VALUE(SUBSTITUTE(G49:AK49,"N","")),0)))</f>
        <v>32</v>
      </c>
      <c r="AM49" s="23" t="n">
        <f aca="false">IF(B49="","",AL49/F49)</f>
        <v>4</v>
      </c>
      <c r="AN49" s="23" t="n">
        <f aca="false">IF(B49="","",SUMPRODUCT(ISNUMBER(SEARCH("N",G49:AK49))*IFERROR(VALUE(SUBSTITUTE(G49:AK49,"N","")),0))/F49)</f>
        <v>0</v>
      </c>
      <c r="AO49" s="10"/>
      <c r="AP49" s="10"/>
      <c r="AQ49" s="10"/>
      <c r="AR49" s="24" t="n">
        <f aca="false">IF(B49="",0,MAX(SUMPRODUCT((BCC_MA=$B49)*IFERROR(VALUE(SUBSTITUTE($G$6:$G$100,"N","")),0)),SUMPRODUCT((BCC_MA=$B49)*IFERROR(VALUE(SUBSTITUTE($H$6:$H$100,"N","")),0)),SUMPRODUCT((BCC_MA=$B49)*IFERROR(VALUE(SUBSTITUTE($I$6:$I$100,"N","")),0)),SUMPRODUCT((BCC_MA=$B49)*IFERROR(VALUE(SUBSTITUTE($J$6:$J$100,"N","")),0)),SUMPRODUCT((BCC_MA=$B49)*IFERROR(VALUE(SUBSTITUTE($K$6:$K$100,"N","")),0)),SUMPRODUCT((BCC_MA=$B49)*IFERROR(VALUE(SUBSTITUTE($L$6:$L$100,"N","")),0)),SUMPRODUCT((BCC_MA=$B49)*IFERROR(VALUE(SUBSTITUTE($M$6:$M$100,"N","")),0)),SUMPRODUCT((BCC_MA=$B49)*IFERROR(VALUE(SUBSTITUTE($N$6:$N$100,"N","")),0)),SUMPRODUCT((BCC_MA=$B49)*IFERROR(VALUE(SUBSTITUTE($O$6:$O$100,"N","")),0)),SUMPRODUCT((BCC_MA=$B49)*IFERROR(VALUE(SUBSTITUTE($P$6:$P$100,"N","")),0)),SUMPRODUCT((BCC_MA=$B49)*IFERROR(VALUE(SUBSTITUTE($Q$6:$Q$100,"N","")),0)),SUMPRODUCT((BCC_MA=$B49)*IFERROR(VALUE(SUBSTITUTE($R$6:$R$100,"N","")),0)),SUMPRODUCT((BCC_MA=$B49)*IFERROR(VALUE(SUBSTITUTE($S$6:$S$100,"N","")),0)),SUMPRODUCT((BCC_MA=$B49)*IFERROR(VALUE(SUBSTITUTE($T$6:$T$100,"N","")),0)),SUMPRODUCT((BCC_MA=$B49)*IFERROR(VALUE(SUBSTITUTE($U$6:$U$100,"N","")),0)),SUMPRODUCT((BCC_MA=$B49)*IFERROR(VALUE(SUBSTITUTE($V$6:$V$100,"N","")),0)),SUMPRODUCT((BCC_MA=$B49)*IFERROR(VALUE(SUBSTITUTE($W$6:$W$100,"N","")),0)),SUMPRODUCT((BCC_MA=$B49)*IFERROR(VALUE(SUBSTITUTE($X$6:$X$100,"N","")),0)),SUMPRODUCT((BCC_MA=$B49)*IFERROR(VALUE(SUBSTITUTE($Y$6:$Y$100,"N","")),0)),SUMPRODUCT((BCC_MA=$B49)*IFERROR(VALUE(SUBSTITUTE($Z$6:$Z$100,"N","")),0)),SUMPRODUCT((BCC_MA=$B49)*IFERROR(VALUE(SUBSTITUTE($AA$6:$AA$100,"N","")),0)),SUMPRODUCT((BCC_MA=$B49)*IFERROR(VALUE(SUBSTITUTE($AB$6:$AB$100,"N","")),0)),SUMPRODUCT((BCC_MA=$B49)*IFERROR(VALUE(SUBSTITUTE($AC$6:$AC$100,"N","")),0)),SUMPRODUCT((BCC_MA=$B49)*IFERROR(VALUE(SUBSTITUTE($AD$6:$AD$100,"N","")),0)),SUMPRODUCT((BCC_MA=$B49)*IFERROR(VALUE(SUBSTITUTE($AE$6:$AE$100,"N","")),0)),SUMPRODUCT((BCC_MA=$B49)*IFERROR(VALUE(SUBSTITUTE($AF$6:$AF$100,"N","")),0)),SUMPRODUCT((BCC_MA=$B49)*IFERROR(VALUE(SUBSTITUTE($AG$6:$AG$100,"N","")),0)),SUMPRODUCT((BCC_MA=$B49)*IFERROR(VALUE(SUBSTITUTE($AH$6:$AH$100,"N","")),0)),SUMPRODUCT((BCC_MA=$B49)*IFERROR(VALUE(SUBSTITUTE($AI$6:$AI$100,"N","")),0)),SUMPRODUCT((BCC_MA=$B49)*IFERROR(VALUE(SUBSTITUTE($AJ$6:$AJ$100,"N","")),0)),SUMPRODUCT((BCC_MA=$B49)*IFERROR(VALUE(SUBSTITUTE($AK$6:$AK$100,"N","")),0))))</f>
        <v>8</v>
      </c>
    </row>
    <row r="50" customFormat="false" ht="15" hidden="false" customHeight="false" outlineLevel="0" collapsed="false">
      <c r="A50" s="17" t="n">
        <v>45</v>
      </c>
      <c r="B50" s="10" t="s">
        <v>186</v>
      </c>
      <c r="C50" s="17" t="str">
        <f aca="false">IF(B50="","",IFERROR(INDEX(NV_TEN,MATCH(B50,NV_MA,0)),"MÃ KHÔNG CÓ"))</f>
        <v>Lê Thị Thủy</v>
      </c>
      <c r="D50" s="10" t="s">
        <v>78</v>
      </c>
      <c r="E50" s="18"/>
      <c r="F50" s="17" t="n">
        <f aca="false">IF(D50="","",IFERROR(INDEX(NH_GIO,MATCH(D50,NH_TEN,0)),"NHÓM?"))</f>
        <v>8</v>
      </c>
      <c r="G50" s="21"/>
      <c r="H50" s="21"/>
      <c r="I50" s="21" t="n">
        <v>8</v>
      </c>
      <c r="J50" s="21"/>
      <c r="K50" s="21"/>
      <c r="L50" s="21"/>
      <c r="M50" s="21"/>
      <c r="N50" s="21"/>
      <c r="O50" s="21"/>
      <c r="P50" s="21"/>
      <c r="Q50" s="21" t="n">
        <v>8</v>
      </c>
      <c r="R50" s="21"/>
      <c r="S50" s="21" t="n">
        <v>8</v>
      </c>
      <c r="T50" s="21"/>
      <c r="U50" s="21"/>
      <c r="V50" s="21" t="n">
        <v>8</v>
      </c>
      <c r="W50" s="21"/>
      <c r="X50" s="21"/>
      <c r="Y50" s="21"/>
      <c r="Z50" s="21"/>
      <c r="AA50" s="21"/>
      <c r="AB50" s="21"/>
      <c r="AC50" s="21"/>
      <c r="AD50" s="21"/>
      <c r="AE50" s="21"/>
      <c r="AF50" s="21"/>
      <c r="AG50" s="21"/>
      <c r="AH50" s="21"/>
      <c r="AI50" s="21" t="n">
        <v>8</v>
      </c>
      <c r="AJ50" s="21"/>
      <c r="AK50" s="21"/>
      <c r="AL50" s="22" t="n">
        <f aca="false">IF(B50="","",SUMPRODUCT(IFERROR(VALUE(SUBSTITUTE(G50:AK50,"N","")),0)))</f>
        <v>40</v>
      </c>
      <c r="AM50" s="23" t="n">
        <f aca="false">IF(B50="","",AL50/F50)</f>
        <v>5</v>
      </c>
      <c r="AN50" s="23" t="n">
        <f aca="false">IF(B50="","",SUMPRODUCT(ISNUMBER(SEARCH("N",G50:AK50))*IFERROR(VALUE(SUBSTITUTE(G50:AK50,"N","")),0))/F50)</f>
        <v>0</v>
      </c>
      <c r="AO50" s="10"/>
      <c r="AP50" s="10"/>
      <c r="AQ50" s="10"/>
      <c r="AR50" s="24" t="n">
        <f aca="false">IF(B50="",0,MAX(SUMPRODUCT((BCC_MA=$B50)*IFERROR(VALUE(SUBSTITUTE($G$6:$G$100,"N","")),0)),SUMPRODUCT((BCC_MA=$B50)*IFERROR(VALUE(SUBSTITUTE($H$6:$H$100,"N","")),0)),SUMPRODUCT((BCC_MA=$B50)*IFERROR(VALUE(SUBSTITUTE($I$6:$I$100,"N","")),0)),SUMPRODUCT((BCC_MA=$B50)*IFERROR(VALUE(SUBSTITUTE($J$6:$J$100,"N","")),0)),SUMPRODUCT((BCC_MA=$B50)*IFERROR(VALUE(SUBSTITUTE($K$6:$K$100,"N","")),0)),SUMPRODUCT((BCC_MA=$B50)*IFERROR(VALUE(SUBSTITUTE($L$6:$L$100,"N","")),0)),SUMPRODUCT((BCC_MA=$B50)*IFERROR(VALUE(SUBSTITUTE($M$6:$M$100,"N","")),0)),SUMPRODUCT((BCC_MA=$B50)*IFERROR(VALUE(SUBSTITUTE($N$6:$N$100,"N","")),0)),SUMPRODUCT((BCC_MA=$B50)*IFERROR(VALUE(SUBSTITUTE($O$6:$O$100,"N","")),0)),SUMPRODUCT((BCC_MA=$B50)*IFERROR(VALUE(SUBSTITUTE($P$6:$P$100,"N","")),0)),SUMPRODUCT((BCC_MA=$B50)*IFERROR(VALUE(SUBSTITUTE($Q$6:$Q$100,"N","")),0)),SUMPRODUCT((BCC_MA=$B50)*IFERROR(VALUE(SUBSTITUTE($R$6:$R$100,"N","")),0)),SUMPRODUCT((BCC_MA=$B50)*IFERROR(VALUE(SUBSTITUTE($S$6:$S$100,"N","")),0)),SUMPRODUCT((BCC_MA=$B50)*IFERROR(VALUE(SUBSTITUTE($T$6:$T$100,"N","")),0)),SUMPRODUCT((BCC_MA=$B50)*IFERROR(VALUE(SUBSTITUTE($U$6:$U$100,"N","")),0)),SUMPRODUCT((BCC_MA=$B50)*IFERROR(VALUE(SUBSTITUTE($V$6:$V$100,"N","")),0)),SUMPRODUCT((BCC_MA=$B50)*IFERROR(VALUE(SUBSTITUTE($W$6:$W$100,"N","")),0)),SUMPRODUCT((BCC_MA=$B50)*IFERROR(VALUE(SUBSTITUTE($X$6:$X$100,"N","")),0)),SUMPRODUCT((BCC_MA=$B50)*IFERROR(VALUE(SUBSTITUTE($Y$6:$Y$100,"N","")),0)),SUMPRODUCT((BCC_MA=$B50)*IFERROR(VALUE(SUBSTITUTE($Z$6:$Z$100,"N","")),0)),SUMPRODUCT((BCC_MA=$B50)*IFERROR(VALUE(SUBSTITUTE($AA$6:$AA$100,"N","")),0)),SUMPRODUCT((BCC_MA=$B50)*IFERROR(VALUE(SUBSTITUTE($AB$6:$AB$100,"N","")),0)),SUMPRODUCT((BCC_MA=$B50)*IFERROR(VALUE(SUBSTITUTE($AC$6:$AC$100,"N","")),0)),SUMPRODUCT((BCC_MA=$B50)*IFERROR(VALUE(SUBSTITUTE($AD$6:$AD$100,"N","")),0)),SUMPRODUCT((BCC_MA=$B50)*IFERROR(VALUE(SUBSTITUTE($AE$6:$AE$100,"N","")),0)),SUMPRODUCT((BCC_MA=$B50)*IFERROR(VALUE(SUBSTITUTE($AF$6:$AF$100,"N","")),0)),SUMPRODUCT((BCC_MA=$B50)*IFERROR(VALUE(SUBSTITUTE($AG$6:$AG$100,"N","")),0)),SUMPRODUCT((BCC_MA=$B50)*IFERROR(VALUE(SUBSTITUTE($AH$6:$AH$100,"N","")),0)),SUMPRODUCT((BCC_MA=$B50)*IFERROR(VALUE(SUBSTITUTE($AI$6:$AI$100,"N","")),0)),SUMPRODUCT((BCC_MA=$B50)*IFERROR(VALUE(SUBSTITUTE($AJ$6:$AJ$100,"N","")),0)),SUMPRODUCT((BCC_MA=$B50)*IFERROR(VALUE(SUBSTITUTE($AK$6:$AK$100,"N","")),0))))</f>
        <v>8</v>
      </c>
    </row>
    <row r="51" customFormat="false" ht="15" hidden="false" customHeight="false" outlineLevel="0" collapsed="false">
      <c r="A51" s="17" t="n">
        <v>46</v>
      </c>
      <c r="B51" s="10" t="s">
        <v>188</v>
      </c>
      <c r="C51" s="17" t="str">
        <f aca="false">IF(B51="","",IFERROR(INDEX(NV_TEN,MATCH(B51,NV_MA,0)),"MÃ KHÔNG CÓ"))</f>
        <v>Nguyễn Thị Kim Thoa</v>
      </c>
      <c r="D51" s="10" t="s">
        <v>78</v>
      </c>
      <c r="E51" s="18"/>
      <c r="F51" s="17" t="n">
        <f aca="false">IF(D51="","",IFERROR(INDEX(NH_GIO,MATCH(D51,NH_TEN,0)),"NHÓM?"))</f>
        <v>8</v>
      </c>
      <c r="G51" s="21"/>
      <c r="H51" s="21"/>
      <c r="I51" s="21" t="n">
        <v>8</v>
      </c>
      <c r="J51" s="21"/>
      <c r="K51" s="21"/>
      <c r="L51" s="21" t="n">
        <v>8</v>
      </c>
      <c r="M51" s="21"/>
      <c r="N51" s="21"/>
      <c r="O51" s="21"/>
      <c r="P51" s="21"/>
      <c r="Q51" s="21" t="n">
        <v>8</v>
      </c>
      <c r="R51" s="21" t="n">
        <v>8</v>
      </c>
      <c r="S51" s="21" t="n">
        <v>8</v>
      </c>
      <c r="T51" s="21"/>
      <c r="U51" s="21"/>
      <c r="V51" s="21" t="n">
        <v>8</v>
      </c>
      <c r="W51" s="21"/>
      <c r="X51" s="21"/>
      <c r="Y51" s="21"/>
      <c r="Z51" s="21"/>
      <c r="AA51" s="21"/>
      <c r="AB51" s="21"/>
      <c r="AC51" s="21"/>
      <c r="AD51" s="21"/>
      <c r="AE51" s="21"/>
      <c r="AF51" s="21"/>
      <c r="AG51" s="21"/>
      <c r="AH51" s="21"/>
      <c r="AI51" s="21"/>
      <c r="AJ51" s="21"/>
      <c r="AK51" s="21"/>
      <c r="AL51" s="22" t="n">
        <f aca="false">IF(B51="","",SUMPRODUCT(IFERROR(VALUE(SUBSTITUTE(G51:AK51,"N","")),0)))</f>
        <v>48</v>
      </c>
      <c r="AM51" s="23" t="n">
        <f aca="false">IF(B51="","",AL51/F51)</f>
        <v>6</v>
      </c>
      <c r="AN51" s="23" t="n">
        <f aca="false">IF(B51="","",SUMPRODUCT(ISNUMBER(SEARCH("N",G51:AK51))*IFERROR(VALUE(SUBSTITUTE(G51:AK51,"N","")),0))/F51)</f>
        <v>0</v>
      </c>
      <c r="AO51" s="10"/>
      <c r="AP51" s="10"/>
      <c r="AQ51" s="10"/>
      <c r="AR51" s="24" t="n">
        <f aca="false">IF(B51="",0,MAX(SUMPRODUCT((BCC_MA=$B51)*IFERROR(VALUE(SUBSTITUTE($G$6:$G$100,"N","")),0)),SUMPRODUCT((BCC_MA=$B51)*IFERROR(VALUE(SUBSTITUTE($H$6:$H$100,"N","")),0)),SUMPRODUCT((BCC_MA=$B51)*IFERROR(VALUE(SUBSTITUTE($I$6:$I$100,"N","")),0)),SUMPRODUCT((BCC_MA=$B51)*IFERROR(VALUE(SUBSTITUTE($J$6:$J$100,"N","")),0)),SUMPRODUCT((BCC_MA=$B51)*IFERROR(VALUE(SUBSTITUTE($K$6:$K$100,"N","")),0)),SUMPRODUCT((BCC_MA=$B51)*IFERROR(VALUE(SUBSTITUTE($L$6:$L$100,"N","")),0)),SUMPRODUCT((BCC_MA=$B51)*IFERROR(VALUE(SUBSTITUTE($M$6:$M$100,"N","")),0)),SUMPRODUCT((BCC_MA=$B51)*IFERROR(VALUE(SUBSTITUTE($N$6:$N$100,"N","")),0)),SUMPRODUCT((BCC_MA=$B51)*IFERROR(VALUE(SUBSTITUTE($O$6:$O$100,"N","")),0)),SUMPRODUCT((BCC_MA=$B51)*IFERROR(VALUE(SUBSTITUTE($P$6:$P$100,"N","")),0)),SUMPRODUCT((BCC_MA=$B51)*IFERROR(VALUE(SUBSTITUTE($Q$6:$Q$100,"N","")),0)),SUMPRODUCT((BCC_MA=$B51)*IFERROR(VALUE(SUBSTITUTE($R$6:$R$100,"N","")),0)),SUMPRODUCT((BCC_MA=$B51)*IFERROR(VALUE(SUBSTITUTE($S$6:$S$100,"N","")),0)),SUMPRODUCT((BCC_MA=$B51)*IFERROR(VALUE(SUBSTITUTE($T$6:$T$100,"N","")),0)),SUMPRODUCT((BCC_MA=$B51)*IFERROR(VALUE(SUBSTITUTE($U$6:$U$100,"N","")),0)),SUMPRODUCT((BCC_MA=$B51)*IFERROR(VALUE(SUBSTITUTE($V$6:$V$100,"N","")),0)),SUMPRODUCT((BCC_MA=$B51)*IFERROR(VALUE(SUBSTITUTE($W$6:$W$100,"N","")),0)),SUMPRODUCT((BCC_MA=$B51)*IFERROR(VALUE(SUBSTITUTE($X$6:$X$100,"N","")),0)),SUMPRODUCT((BCC_MA=$B51)*IFERROR(VALUE(SUBSTITUTE($Y$6:$Y$100,"N","")),0)),SUMPRODUCT((BCC_MA=$B51)*IFERROR(VALUE(SUBSTITUTE($Z$6:$Z$100,"N","")),0)),SUMPRODUCT((BCC_MA=$B51)*IFERROR(VALUE(SUBSTITUTE($AA$6:$AA$100,"N","")),0)),SUMPRODUCT((BCC_MA=$B51)*IFERROR(VALUE(SUBSTITUTE($AB$6:$AB$100,"N","")),0)),SUMPRODUCT((BCC_MA=$B51)*IFERROR(VALUE(SUBSTITUTE($AC$6:$AC$100,"N","")),0)),SUMPRODUCT((BCC_MA=$B51)*IFERROR(VALUE(SUBSTITUTE($AD$6:$AD$100,"N","")),0)),SUMPRODUCT((BCC_MA=$B51)*IFERROR(VALUE(SUBSTITUTE($AE$6:$AE$100,"N","")),0)),SUMPRODUCT((BCC_MA=$B51)*IFERROR(VALUE(SUBSTITUTE($AF$6:$AF$100,"N","")),0)),SUMPRODUCT((BCC_MA=$B51)*IFERROR(VALUE(SUBSTITUTE($AG$6:$AG$100,"N","")),0)),SUMPRODUCT((BCC_MA=$B51)*IFERROR(VALUE(SUBSTITUTE($AH$6:$AH$100,"N","")),0)),SUMPRODUCT((BCC_MA=$B51)*IFERROR(VALUE(SUBSTITUTE($AI$6:$AI$100,"N","")),0)),SUMPRODUCT((BCC_MA=$B51)*IFERROR(VALUE(SUBSTITUTE($AJ$6:$AJ$100,"N","")),0)),SUMPRODUCT((BCC_MA=$B51)*IFERROR(VALUE(SUBSTITUTE($AK$6:$AK$100,"N","")),0))))</f>
        <v>8</v>
      </c>
    </row>
    <row r="52" customFormat="false" ht="15" hidden="false" customHeight="false" outlineLevel="0" collapsed="false">
      <c r="A52" s="17" t="n">
        <v>47</v>
      </c>
      <c r="B52" s="10" t="s">
        <v>190</v>
      </c>
      <c r="C52" s="17" t="str">
        <f aca="false">IF(B52="","",IFERROR(INDEX(NV_TEN,MATCH(B52,NV_MA,0)),"MÃ KHÔNG CÓ"))</f>
        <v>Hồ Xuân Đông</v>
      </c>
      <c r="D52" s="10" t="s">
        <v>78</v>
      </c>
      <c r="E52" s="18"/>
      <c r="F52" s="17" t="n">
        <f aca="false">IF(D52="","",IFERROR(INDEX(NH_GIO,MATCH(D52,NH_TEN,0)),"NHÓM?"))</f>
        <v>8</v>
      </c>
      <c r="G52" s="21"/>
      <c r="H52" s="21" t="n">
        <v>8</v>
      </c>
      <c r="I52" s="21"/>
      <c r="J52" s="21"/>
      <c r="K52" s="21" t="n">
        <v>8</v>
      </c>
      <c r="L52" s="21"/>
      <c r="M52" s="21"/>
      <c r="N52" s="21"/>
      <c r="O52" s="21" t="n">
        <v>8</v>
      </c>
      <c r="P52" s="21"/>
      <c r="Q52" s="21"/>
      <c r="R52" s="21" t="n">
        <v>8</v>
      </c>
      <c r="S52" s="21"/>
      <c r="T52" s="21" t="n">
        <v>8</v>
      </c>
      <c r="U52" s="21"/>
      <c r="V52" s="21"/>
      <c r="W52" s="21" t="n">
        <v>8</v>
      </c>
      <c r="X52" s="21"/>
      <c r="Y52" s="21"/>
      <c r="Z52" s="21"/>
      <c r="AA52" s="21"/>
      <c r="AB52" s="21"/>
      <c r="AC52" s="21"/>
      <c r="AD52" s="21"/>
      <c r="AE52" s="21"/>
      <c r="AF52" s="21"/>
      <c r="AG52" s="21" t="n">
        <v>8</v>
      </c>
      <c r="AH52" s="21"/>
      <c r="AI52" s="21"/>
      <c r="AJ52" s="21"/>
      <c r="AK52" s="21"/>
      <c r="AL52" s="22" t="n">
        <f aca="false">IF(B52="","",SUMPRODUCT(IFERROR(VALUE(SUBSTITUTE(G52:AK52,"N","")),0)))</f>
        <v>56</v>
      </c>
      <c r="AM52" s="23" t="n">
        <f aca="false">IF(B52="","",AL52/F52)</f>
        <v>7</v>
      </c>
      <c r="AN52" s="23" t="n">
        <f aca="false">IF(B52="","",SUMPRODUCT(ISNUMBER(SEARCH("N",G52:AK52))*IFERROR(VALUE(SUBSTITUTE(G52:AK52,"N","")),0))/F52)</f>
        <v>0</v>
      </c>
      <c r="AO52" s="10"/>
      <c r="AP52" s="10"/>
      <c r="AQ52" s="10"/>
      <c r="AR52" s="24" t="n">
        <f aca="false">IF(B52="",0,MAX(SUMPRODUCT((BCC_MA=$B52)*IFERROR(VALUE(SUBSTITUTE($G$6:$G$100,"N","")),0)),SUMPRODUCT((BCC_MA=$B52)*IFERROR(VALUE(SUBSTITUTE($H$6:$H$100,"N","")),0)),SUMPRODUCT((BCC_MA=$B52)*IFERROR(VALUE(SUBSTITUTE($I$6:$I$100,"N","")),0)),SUMPRODUCT((BCC_MA=$B52)*IFERROR(VALUE(SUBSTITUTE($J$6:$J$100,"N","")),0)),SUMPRODUCT((BCC_MA=$B52)*IFERROR(VALUE(SUBSTITUTE($K$6:$K$100,"N","")),0)),SUMPRODUCT((BCC_MA=$B52)*IFERROR(VALUE(SUBSTITUTE($L$6:$L$100,"N","")),0)),SUMPRODUCT((BCC_MA=$B52)*IFERROR(VALUE(SUBSTITUTE($M$6:$M$100,"N","")),0)),SUMPRODUCT((BCC_MA=$B52)*IFERROR(VALUE(SUBSTITUTE($N$6:$N$100,"N","")),0)),SUMPRODUCT((BCC_MA=$B52)*IFERROR(VALUE(SUBSTITUTE($O$6:$O$100,"N","")),0)),SUMPRODUCT((BCC_MA=$B52)*IFERROR(VALUE(SUBSTITUTE($P$6:$P$100,"N","")),0)),SUMPRODUCT((BCC_MA=$B52)*IFERROR(VALUE(SUBSTITUTE($Q$6:$Q$100,"N","")),0)),SUMPRODUCT((BCC_MA=$B52)*IFERROR(VALUE(SUBSTITUTE($R$6:$R$100,"N","")),0)),SUMPRODUCT((BCC_MA=$B52)*IFERROR(VALUE(SUBSTITUTE($S$6:$S$100,"N","")),0)),SUMPRODUCT((BCC_MA=$B52)*IFERROR(VALUE(SUBSTITUTE($T$6:$T$100,"N","")),0)),SUMPRODUCT((BCC_MA=$B52)*IFERROR(VALUE(SUBSTITUTE($U$6:$U$100,"N","")),0)),SUMPRODUCT((BCC_MA=$B52)*IFERROR(VALUE(SUBSTITUTE($V$6:$V$100,"N","")),0)),SUMPRODUCT((BCC_MA=$B52)*IFERROR(VALUE(SUBSTITUTE($W$6:$W$100,"N","")),0)),SUMPRODUCT((BCC_MA=$B52)*IFERROR(VALUE(SUBSTITUTE($X$6:$X$100,"N","")),0)),SUMPRODUCT((BCC_MA=$B52)*IFERROR(VALUE(SUBSTITUTE($Y$6:$Y$100,"N","")),0)),SUMPRODUCT((BCC_MA=$B52)*IFERROR(VALUE(SUBSTITUTE($Z$6:$Z$100,"N","")),0)),SUMPRODUCT((BCC_MA=$B52)*IFERROR(VALUE(SUBSTITUTE($AA$6:$AA$100,"N","")),0)),SUMPRODUCT((BCC_MA=$B52)*IFERROR(VALUE(SUBSTITUTE($AB$6:$AB$100,"N","")),0)),SUMPRODUCT((BCC_MA=$B52)*IFERROR(VALUE(SUBSTITUTE($AC$6:$AC$100,"N","")),0)),SUMPRODUCT((BCC_MA=$B52)*IFERROR(VALUE(SUBSTITUTE($AD$6:$AD$100,"N","")),0)),SUMPRODUCT((BCC_MA=$B52)*IFERROR(VALUE(SUBSTITUTE($AE$6:$AE$100,"N","")),0)),SUMPRODUCT((BCC_MA=$B52)*IFERROR(VALUE(SUBSTITUTE($AF$6:$AF$100,"N","")),0)),SUMPRODUCT((BCC_MA=$B52)*IFERROR(VALUE(SUBSTITUTE($AG$6:$AG$100,"N","")),0)),SUMPRODUCT((BCC_MA=$B52)*IFERROR(VALUE(SUBSTITUTE($AH$6:$AH$100,"N","")),0)),SUMPRODUCT((BCC_MA=$B52)*IFERROR(VALUE(SUBSTITUTE($AI$6:$AI$100,"N","")),0)),SUMPRODUCT((BCC_MA=$B52)*IFERROR(VALUE(SUBSTITUTE($AJ$6:$AJ$100,"N","")),0)),SUMPRODUCT((BCC_MA=$B52)*IFERROR(VALUE(SUBSTITUTE($AK$6:$AK$100,"N","")),0))))</f>
        <v>8</v>
      </c>
    </row>
    <row r="53" customFormat="false" ht="15" hidden="false" customHeight="false" outlineLevel="0" collapsed="false">
      <c r="A53" s="17" t="n">
        <v>48</v>
      </c>
      <c r="B53" s="10" t="s">
        <v>192</v>
      </c>
      <c r="C53" s="17" t="str">
        <f aca="false">IF(B53="","",IFERROR(INDEX(NV_TEN,MATCH(B53,NV_MA,0)),"MÃ KHÔNG CÓ"))</f>
        <v>Nguyễn Chí Thành</v>
      </c>
      <c r="D53" s="10" t="s">
        <v>78</v>
      </c>
      <c r="E53" s="18"/>
      <c r="F53" s="17" t="n">
        <f aca="false">IF(D53="","",IFERROR(INDEX(NH_GIO,MATCH(D53,NH_TEN,0)),"NHÓM?"))</f>
        <v>8</v>
      </c>
      <c r="G53" s="21"/>
      <c r="H53" s="21" t="n">
        <v>8</v>
      </c>
      <c r="I53" s="21"/>
      <c r="J53" s="21"/>
      <c r="K53" s="21" t="n">
        <v>8</v>
      </c>
      <c r="L53" s="21"/>
      <c r="M53" s="21"/>
      <c r="N53" s="21"/>
      <c r="O53" s="21" t="n">
        <v>8</v>
      </c>
      <c r="P53" s="21"/>
      <c r="Q53" s="21"/>
      <c r="R53" s="21" t="n">
        <v>8</v>
      </c>
      <c r="S53" s="21" t="n">
        <v>8</v>
      </c>
      <c r="T53" s="21" t="n">
        <v>8</v>
      </c>
      <c r="U53" s="21" t="n">
        <v>8</v>
      </c>
      <c r="V53" s="21" t="n">
        <v>8</v>
      </c>
      <c r="W53" s="21" t="n">
        <v>8</v>
      </c>
      <c r="X53" s="21"/>
      <c r="Y53" s="21"/>
      <c r="Z53" s="21"/>
      <c r="AA53" s="21"/>
      <c r="AB53" s="21"/>
      <c r="AC53" s="21"/>
      <c r="AD53" s="21"/>
      <c r="AE53" s="21"/>
      <c r="AF53" s="21"/>
      <c r="AG53" s="21" t="n">
        <v>8</v>
      </c>
      <c r="AH53" s="21"/>
      <c r="AI53" s="21" t="n">
        <v>8</v>
      </c>
      <c r="AJ53" s="21" t="n">
        <v>8</v>
      </c>
      <c r="AK53" s="21"/>
      <c r="AL53" s="22" t="n">
        <f aca="false">IF(B53="","",SUMPRODUCT(IFERROR(VALUE(SUBSTITUTE(G53:AK53,"N","")),0)))</f>
        <v>96</v>
      </c>
      <c r="AM53" s="23" t="n">
        <f aca="false">IF(B53="","",AL53/F53)</f>
        <v>12</v>
      </c>
      <c r="AN53" s="23" t="n">
        <f aca="false">IF(B53="","",SUMPRODUCT(ISNUMBER(SEARCH("N",G53:AK53))*IFERROR(VALUE(SUBSTITUTE(G53:AK53,"N","")),0))/F53)</f>
        <v>0</v>
      </c>
      <c r="AO53" s="10"/>
      <c r="AP53" s="10"/>
      <c r="AQ53" s="10"/>
      <c r="AR53" s="24" t="n">
        <f aca="false">IF(B53="",0,MAX(SUMPRODUCT((BCC_MA=$B53)*IFERROR(VALUE(SUBSTITUTE($G$6:$G$100,"N","")),0)),SUMPRODUCT((BCC_MA=$B53)*IFERROR(VALUE(SUBSTITUTE($H$6:$H$100,"N","")),0)),SUMPRODUCT((BCC_MA=$B53)*IFERROR(VALUE(SUBSTITUTE($I$6:$I$100,"N","")),0)),SUMPRODUCT((BCC_MA=$B53)*IFERROR(VALUE(SUBSTITUTE($J$6:$J$100,"N","")),0)),SUMPRODUCT((BCC_MA=$B53)*IFERROR(VALUE(SUBSTITUTE($K$6:$K$100,"N","")),0)),SUMPRODUCT((BCC_MA=$B53)*IFERROR(VALUE(SUBSTITUTE($L$6:$L$100,"N","")),0)),SUMPRODUCT((BCC_MA=$B53)*IFERROR(VALUE(SUBSTITUTE($M$6:$M$100,"N","")),0)),SUMPRODUCT((BCC_MA=$B53)*IFERROR(VALUE(SUBSTITUTE($N$6:$N$100,"N","")),0)),SUMPRODUCT((BCC_MA=$B53)*IFERROR(VALUE(SUBSTITUTE($O$6:$O$100,"N","")),0)),SUMPRODUCT((BCC_MA=$B53)*IFERROR(VALUE(SUBSTITUTE($P$6:$P$100,"N","")),0)),SUMPRODUCT((BCC_MA=$B53)*IFERROR(VALUE(SUBSTITUTE($Q$6:$Q$100,"N","")),0)),SUMPRODUCT((BCC_MA=$B53)*IFERROR(VALUE(SUBSTITUTE($R$6:$R$100,"N","")),0)),SUMPRODUCT((BCC_MA=$B53)*IFERROR(VALUE(SUBSTITUTE($S$6:$S$100,"N","")),0)),SUMPRODUCT((BCC_MA=$B53)*IFERROR(VALUE(SUBSTITUTE($T$6:$T$100,"N","")),0)),SUMPRODUCT((BCC_MA=$B53)*IFERROR(VALUE(SUBSTITUTE($U$6:$U$100,"N","")),0)),SUMPRODUCT((BCC_MA=$B53)*IFERROR(VALUE(SUBSTITUTE($V$6:$V$100,"N","")),0)),SUMPRODUCT((BCC_MA=$B53)*IFERROR(VALUE(SUBSTITUTE($W$6:$W$100,"N","")),0)),SUMPRODUCT((BCC_MA=$B53)*IFERROR(VALUE(SUBSTITUTE($X$6:$X$100,"N","")),0)),SUMPRODUCT((BCC_MA=$B53)*IFERROR(VALUE(SUBSTITUTE($Y$6:$Y$100,"N","")),0)),SUMPRODUCT((BCC_MA=$B53)*IFERROR(VALUE(SUBSTITUTE($Z$6:$Z$100,"N","")),0)),SUMPRODUCT((BCC_MA=$B53)*IFERROR(VALUE(SUBSTITUTE($AA$6:$AA$100,"N","")),0)),SUMPRODUCT((BCC_MA=$B53)*IFERROR(VALUE(SUBSTITUTE($AB$6:$AB$100,"N","")),0)),SUMPRODUCT((BCC_MA=$B53)*IFERROR(VALUE(SUBSTITUTE($AC$6:$AC$100,"N","")),0)),SUMPRODUCT((BCC_MA=$B53)*IFERROR(VALUE(SUBSTITUTE($AD$6:$AD$100,"N","")),0)),SUMPRODUCT((BCC_MA=$B53)*IFERROR(VALUE(SUBSTITUTE($AE$6:$AE$100,"N","")),0)),SUMPRODUCT((BCC_MA=$B53)*IFERROR(VALUE(SUBSTITUTE($AF$6:$AF$100,"N","")),0)),SUMPRODUCT((BCC_MA=$B53)*IFERROR(VALUE(SUBSTITUTE($AG$6:$AG$100,"N","")),0)),SUMPRODUCT((BCC_MA=$B53)*IFERROR(VALUE(SUBSTITUTE($AH$6:$AH$100,"N","")),0)),SUMPRODUCT((BCC_MA=$B53)*IFERROR(VALUE(SUBSTITUTE($AI$6:$AI$100,"N","")),0)),SUMPRODUCT((BCC_MA=$B53)*IFERROR(VALUE(SUBSTITUTE($AJ$6:$AJ$100,"N","")),0)),SUMPRODUCT((BCC_MA=$B53)*IFERROR(VALUE(SUBSTITUTE($AK$6:$AK$100,"N","")),0))))</f>
        <v>8</v>
      </c>
    </row>
    <row r="54" customFormat="false" ht="15" hidden="false" customHeight="false" outlineLevel="0" collapsed="false">
      <c r="A54" s="17" t="n">
        <v>49</v>
      </c>
      <c r="B54" s="10" t="s">
        <v>194</v>
      </c>
      <c r="C54" s="17" t="str">
        <f aca="false">IF(B54="","",IFERROR(INDEX(NV_TEN,MATCH(B54,NV_MA,0)),"MÃ KHÔNG CÓ"))</f>
        <v>Nguyễn Thị Vân</v>
      </c>
      <c r="D54" s="10" t="s">
        <v>78</v>
      </c>
      <c r="E54" s="18"/>
      <c r="F54" s="17" t="n">
        <f aca="false">IF(D54="","",IFERROR(INDEX(NH_GIO,MATCH(D54,NH_TEN,0)),"NHÓM?"))</f>
        <v>8</v>
      </c>
      <c r="G54" s="21"/>
      <c r="H54" s="21" t="n">
        <v>8</v>
      </c>
      <c r="I54" s="21"/>
      <c r="J54" s="21"/>
      <c r="K54" s="21" t="n">
        <v>8</v>
      </c>
      <c r="L54" s="21"/>
      <c r="M54" s="21"/>
      <c r="N54" s="21"/>
      <c r="O54" s="21" t="n">
        <v>8</v>
      </c>
      <c r="P54" s="21"/>
      <c r="Q54" s="21"/>
      <c r="R54" s="21" t="n">
        <v>8</v>
      </c>
      <c r="S54" s="21"/>
      <c r="T54" s="21" t="n">
        <v>8</v>
      </c>
      <c r="U54" s="21"/>
      <c r="V54" s="21"/>
      <c r="W54" s="21" t="n">
        <v>8</v>
      </c>
      <c r="X54" s="21"/>
      <c r="Y54" s="21"/>
      <c r="Z54" s="21"/>
      <c r="AA54" s="21"/>
      <c r="AB54" s="21"/>
      <c r="AC54" s="21"/>
      <c r="AD54" s="21"/>
      <c r="AE54" s="21"/>
      <c r="AF54" s="21"/>
      <c r="AG54" s="21" t="n">
        <v>8</v>
      </c>
      <c r="AH54" s="21"/>
      <c r="AI54" s="21"/>
      <c r="AJ54" s="21"/>
      <c r="AK54" s="21"/>
      <c r="AL54" s="22" t="n">
        <f aca="false">IF(B54="","",SUMPRODUCT(IFERROR(VALUE(SUBSTITUTE(G54:AK54,"N","")),0)))</f>
        <v>56</v>
      </c>
      <c r="AM54" s="23" t="n">
        <f aca="false">IF(B54="","",AL54/F54)</f>
        <v>7</v>
      </c>
      <c r="AN54" s="23" t="n">
        <f aca="false">IF(B54="","",SUMPRODUCT(ISNUMBER(SEARCH("N",G54:AK54))*IFERROR(VALUE(SUBSTITUTE(G54:AK54,"N","")),0))/F54)</f>
        <v>0</v>
      </c>
      <c r="AO54" s="10"/>
      <c r="AP54" s="10"/>
      <c r="AQ54" s="10"/>
      <c r="AR54" s="24" t="n">
        <f aca="false">IF(B54="",0,MAX(SUMPRODUCT((BCC_MA=$B54)*IFERROR(VALUE(SUBSTITUTE($G$6:$G$100,"N","")),0)),SUMPRODUCT((BCC_MA=$B54)*IFERROR(VALUE(SUBSTITUTE($H$6:$H$100,"N","")),0)),SUMPRODUCT((BCC_MA=$B54)*IFERROR(VALUE(SUBSTITUTE($I$6:$I$100,"N","")),0)),SUMPRODUCT((BCC_MA=$B54)*IFERROR(VALUE(SUBSTITUTE($J$6:$J$100,"N","")),0)),SUMPRODUCT((BCC_MA=$B54)*IFERROR(VALUE(SUBSTITUTE($K$6:$K$100,"N","")),0)),SUMPRODUCT((BCC_MA=$B54)*IFERROR(VALUE(SUBSTITUTE($L$6:$L$100,"N","")),0)),SUMPRODUCT((BCC_MA=$B54)*IFERROR(VALUE(SUBSTITUTE($M$6:$M$100,"N","")),0)),SUMPRODUCT((BCC_MA=$B54)*IFERROR(VALUE(SUBSTITUTE($N$6:$N$100,"N","")),0)),SUMPRODUCT((BCC_MA=$B54)*IFERROR(VALUE(SUBSTITUTE($O$6:$O$100,"N","")),0)),SUMPRODUCT((BCC_MA=$B54)*IFERROR(VALUE(SUBSTITUTE($P$6:$P$100,"N","")),0)),SUMPRODUCT((BCC_MA=$B54)*IFERROR(VALUE(SUBSTITUTE($Q$6:$Q$100,"N","")),0)),SUMPRODUCT((BCC_MA=$B54)*IFERROR(VALUE(SUBSTITUTE($R$6:$R$100,"N","")),0)),SUMPRODUCT((BCC_MA=$B54)*IFERROR(VALUE(SUBSTITUTE($S$6:$S$100,"N","")),0)),SUMPRODUCT((BCC_MA=$B54)*IFERROR(VALUE(SUBSTITUTE($T$6:$T$100,"N","")),0)),SUMPRODUCT((BCC_MA=$B54)*IFERROR(VALUE(SUBSTITUTE($U$6:$U$100,"N","")),0)),SUMPRODUCT((BCC_MA=$B54)*IFERROR(VALUE(SUBSTITUTE($V$6:$V$100,"N","")),0)),SUMPRODUCT((BCC_MA=$B54)*IFERROR(VALUE(SUBSTITUTE($W$6:$W$100,"N","")),0)),SUMPRODUCT((BCC_MA=$B54)*IFERROR(VALUE(SUBSTITUTE($X$6:$X$100,"N","")),0)),SUMPRODUCT((BCC_MA=$B54)*IFERROR(VALUE(SUBSTITUTE($Y$6:$Y$100,"N","")),0)),SUMPRODUCT((BCC_MA=$B54)*IFERROR(VALUE(SUBSTITUTE($Z$6:$Z$100,"N","")),0)),SUMPRODUCT((BCC_MA=$B54)*IFERROR(VALUE(SUBSTITUTE($AA$6:$AA$100,"N","")),0)),SUMPRODUCT((BCC_MA=$B54)*IFERROR(VALUE(SUBSTITUTE($AB$6:$AB$100,"N","")),0)),SUMPRODUCT((BCC_MA=$B54)*IFERROR(VALUE(SUBSTITUTE($AC$6:$AC$100,"N","")),0)),SUMPRODUCT((BCC_MA=$B54)*IFERROR(VALUE(SUBSTITUTE($AD$6:$AD$100,"N","")),0)),SUMPRODUCT((BCC_MA=$B54)*IFERROR(VALUE(SUBSTITUTE($AE$6:$AE$100,"N","")),0)),SUMPRODUCT((BCC_MA=$B54)*IFERROR(VALUE(SUBSTITUTE($AF$6:$AF$100,"N","")),0)),SUMPRODUCT((BCC_MA=$B54)*IFERROR(VALUE(SUBSTITUTE($AG$6:$AG$100,"N","")),0)),SUMPRODUCT((BCC_MA=$B54)*IFERROR(VALUE(SUBSTITUTE($AH$6:$AH$100,"N","")),0)),SUMPRODUCT((BCC_MA=$B54)*IFERROR(VALUE(SUBSTITUTE($AI$6:$AI$100,"N","")),0)),SUMPRODUCT((BCC_MA=$B54)*IFERROR(VALUE(SUBSTITUTE($AJ$6:$AJ$100,"N","")),0)),SUMPRODUCT((BCC_MA=$B54)*IFERROR(VALUE(SUBSTITUTE($AK$6:$AK$100,"N","")),0))))</f>
        <v>8</v>
      </c>
    </row>
    <row r="55" customFormat="false" ht="15" hidden="false" customHeight="false" outlineLevel="0" collapsed="false">
      <c r="A55" s="17" t="n">
        <v>50</v>
      </c>
      <c r="B55" s="10" t="s">
        <v>196</v>
      </c>
      <c r="C55" s="17" t="str">
        <f aca="false">IF(B55="","",IFERROR(INDEX(NV_TEN,MATCH(B55,NV_MA,0)),"MÃ KHÔNG CÓ"))</f>
        <v>Đào Thị Lương</v>
      </c>
      <c r="D55" s="10" t="s">
        <v>78</v>
      </c>
      <c r="E55" s="18"/>
      <c r="F55" s="17" t="n">
        <f aca="false">IF(D55="","",IFERROR(INDEX(NH_GIO,MATCH(D55,NH_TEN,0)),"NHÓM?"))</f>
        <v>8</v>
      </c>
      <c r="G55" s="21"/>
      <c r="H55" s="21" t="n">
        <v>8</v>
      </c>
      <c r="I55" s="21"/>
      <c r="J55" s="21"/>
      <c r="K55" s="21" t="n">
        <v>8</v>
      </c>
      <c r="L55" s="21"/>
      <c r="M55" s="21"/>
      <c r="N55" s="21"/>
      <c r="O55" s="21" t="n">
        <v>8</v>
      </c>
      <c r="P55" s="21"/>
      <c r="Q55" s="21"/>
      <c r="R55" s="21"/>
      <c r="S55" s="21"/>
      <c r="T55" s="21"/>
      <c r="U55" s="21"/>
      <c r="V55" s="21"/>
      <c r="W55" s="21"/>
      <c r="X55" s="21"/>
      <c r="Y55" s="21"/>
      <c r="Z55" s="21"/>
      <c r="AA55" s="21"/>
      <c r="AB55" s="21" t="n">
        <v>8</v>
      </c>
      <c r="AC55" s="21"/>
      <c r="AD55" s="21"/>
      <c r="AE55" s="21"/>
      <c r="AF55" s="21"/>
      <c r="AG55" s="21"/>
      <c r="AH55" s="21"/>
      <c r="AI55" s="21"/>
      <c r="AJ55" s="21"/>
      <c r="AK55" s="21"/>
      <c r="AL55" s="22" t="n">
        <f aca="false">IF(B55="","",SUMPRODUCT(IFERROR(VALUE(SUBSTITUTE(G55:AK55,"N","")),0)))</f>
        <v>32</v>
      </c>
      <c r="AM55" s="23" t="n">
        <f aca="false">IF(B55="","",AL55/F55)</f>
        <v>4</v>
      </c>
      <c r="AN55" s="23" t="n">
        <f aca="false">IF(B55="","",SUMPRODUCT(ISNUMBER(SEARCH("N",G55:AK55))*IFERROR(VALUE(SUBSTITUTE(G55:AK55,"N","")),0))/F55)</f>
        <v>0</v>
      </c>
      <c r="AO55" s="10"/>
      <c r="AP55" s="10"/>
      <c r="AQ55" s="10"/>
      <c r="AR55" s="24" t="n">
        <f aca="false">IF(B55="",0,MAX(SUMPRODUCT((BCC_MA=$B55)*IFERROR(VALUE(SUBSTITUTE($G$6:$G$100,"N","")),0)),SUMPRODUCT((BCC_MA=$B55)*IFERROR(VALUE(SUBSTITUTE($H$6:$H$100,"N","")),0)),SUMPRODUCT((BCC_MA=$B55)*IFERROR(VALUE(SUBSTITUTE($I$6:$I$100,"N","")),0)),SUMPRODUCT((BCC_MA=$B55)*IFERROR(VALUE(SUBSTITUTE($J$6:$J$100,"N","")),0)),SUMPRODUCT((BCC_MA=$B55)*IFERROR(VALUE(SUBSTITUTE($K$6:$K$100,"N","")),0)),SUMPRODUCT((BCC_MA=$B55)*IFERROR(VALUE(SUBSTITUTE($L$6:$L$100,"N","")),0)),SUMPRODUCT((BCC_MA=$B55)*IFERROR(VALUE(SUBSTITUTE($M$6:$M$100,"N","")),0)),SUMPRODUCT((BCC_MA=$B55)*IFERROR(VALUE(SUBSTITUTE($N$6:$N$100,"N","")),0)),SUMPRODUCT((BCC_MA=$B55)*IFERROR(VALUE(SUBSTITUTE($O$6:$O$100,"N","")),0)),SUMPRODUCT((BCC_MA=$B55)*IFERROR(VALUE(SUBSTITUTE($P$6:$P$100,"N","")),0)),SUMPRODUCT((BCC_MA=$B55)*IFERROR(VALUE(SUBSTITUTE($Q$6:$Q$100,"N","")),0)),SUMPRODUCT((BCC_MA=$B55)*IFERROR(VALUE(SUBSTITUTE($R$6:$R$100,"N","")),0)),SUMPRODUCT((BCC_MA=$B55)*IFERROR(VALUE(SUBSTITUTE($S$6:$S$100,"N","")),0)),SUMPRODUCT((BCC_MA=$B55)*IFERROR(VALUE(SUBSTITUTE($T$6:$T$100,"N","")),0)),SUMPRODUCT((BCC_MA=$B55)*IFERROR(VALUE(SUBSTITUTE($U$6:$U$100,"N","")),0)),SUMPRODUCT((BCC_MA=$B55)*IFERROR(VALUE(SUBSTITUTE($V$6:$V$100,"N","")),0)),SUMPRODUCT((BCC_MA=$B55)*IFERROR(VALUE(SUBSTITUTE($W$6:$W$100,"N","")),0)),SUMPRODUCT((BCC_MA=$B55)*IFERROR(VALUE(SUBSTITUTE($X$6:$X$100,"N","")),0)),SUMPRODUCT((BCC_MA=$B55)*IFERROR(VALUE(SUBSTITUTE($Y$6:$Y$100,"N","")),0)),SUMPRODUCT((BCC_MA=$B55)*IFERROR(VALUE(SUBSTITUTE($Z$6:$Z$100,"N","")),0)),SUMPRODUCT((BCC_MA=$B55)*IFERROR(VALUE(SUBSTITUTE($AA$6:$AA$100,"N","")),0)),SUMPRODUCT((BCC_MA=$B55)*IFERROR(VALUE(SUBSTITUTE($AB$6:$AB$100,"N","")),0)),SUMPRODUCT((BCC_MA=$B55)*IFERROR(VALUE(SUBSTITUTE($AC$6:$AC$100,"N","")),0)),SUMPRODUCT((BCC_MA=$B55)*IFERROR(VALUE(SUBSTITUTE($AD$6:$AD$100,"N","")),0)),SUMPRODUCT((BCC_MA=$B55)*IFERROR(VALUE(SUBSTITUTE($AE$6:$AE$100,"N","")),0)),SUMPRODUCT((BCC_MA=$B55)*IFERROR(VALUE(SUBSTITUTE($AF$6:$AF$100,"N","")),0)),SUMPRODUCT((BCC_MA=$B55)*IFERROR(VALUE(SUBSTITUTE($AG$6:$AG$100,"N","")),0)),SUMPRODUCT((BCC_MA=$B55)*IFERROR(VALUE(SUBSTITUTE($AH$6:$AH$100,"N","")),0)),SUMPRODUCT((BCC_MA=$B55)*IFERROR(VALUE(SUBSTITUTE($AI$6:$AI$100,"N","")),0)),SUMPRODUCT((BCC_MA=$B55)*IFERROR(VALUE(SUBSTITUTE($AJ$6:$AJ$100,"N","")),0)),SUMPRODUCT((BCC_MA=$B55)*IFERROR(VALUE(SUBSTITUTE($AK$6:$AK$100,"N","")),0))))</f>
        <v>8</v>
      </c>
    </row>
    <row r="56" customFormat="false" ht="15" hidden="false" customHeight="false" outlineLevel="0" collapsed="false">
      <c r="A56" s="17" t="n">
        <v>51</v>
      </c>
      <c r="B56" s="10" t="s">
        <v>198</v>
      </c>
      <c r="C56" s="17" t="str">
        <f aca="false">IF(B56="","",IFERROR(INDEX(NV_TEN,MATCH(B56,NV_MA,0)),"MÃ KHÔNG CÓ"))</f>
        <v>Trần Thị Anh</v>
      </c>
      <c r="D56" s="10" t="s">
        <v>78</v>
      </c>
      <c r="E56" s="18"/>
      <c r="F56" s="17" t="n">
        <f aca="false">IF(D56="","",IFERROR(INDEX(NH_GIO,MATCH(D56,NH_TEN,0)),"NHÓM?"))</f>
        <v>8</v>
      </c>
      <c r="G56" s="21"/>
      <c r="H56" s="21"/>
      <c r="I56" s="21"/>
      <c r="J56" s="21"/>
      <c r="K56" s="21" t="n">
        <v>8</v>
      </c>
      <c r="L56" s="21"/>
      <c r="M56" s="21"/>
      <c r="N56" s="21"/>
      <c r="O56" s="21" t="n">
        <v>8</v>
      </c>
      <c r="P56" s="21"/>
      <c r="Q56" s="21"/>
      <c r="R56" s="21"/>
      <c r="S56" s="21"/>
      <c r="T56" s="21"/>
      <c r="U56" s="21"/>
      <c r="V56" s="21"/>
      <c r="W56" s="21" t="n">
        <v>8</v>
      </c>
      <c r="X56" s="21"/>
      <c r="Y56" s="21"/>
      <c r="Z56" s="21"/>
      <c r="AA56" s="21"/>
      <c r="AB56" s="21"/>
      <c r="AC56" s="21"/>
      <c r="AD56" s="21"/>
      <c r="AE56" s="21"/>
      <c r="AF56" s="21"/>
      <c r="AG56" s="21" t="n">
        <v>8</v>
      </c>
      <c r="AH56" s="21"/>
      <c r="AI56" s="21"/>
      <c r="AJ56" s="21"/>
      <c r="AK56" s="21"/>
      <c r="AL56" s="22" t="n">
        <f aca="false">IF(B56="","",SUMPRODUCT(IFERROR(VALUE(SUBSTITUTE(G56:AK56,"N","")),0)))</f>
        <v>32</v>
      </c>
      <c r="AM56" s="23" t="n">
        <f aca="false">IF(B56="","",AL56/F56)</f>
        <v>4</v>
      </c>
      <c r="AN56" s="23" t="n">
        <f aca="false">IF(B56="","",SUMPRODUCT(ISNUMBER(SEARCH("N",G56:AK56))*IFERROR(VALUE(SUBSTITUTE(G56:AK56,"N","")),0))/F56)</f>
        <v>0</v>
      </c>
      <c r="AO56" s="10"/>
      <c r="AP56" s="10"/>
      <c r="AQ56" s="10"/>
      <c r="AR56" s="24" t="n">
        <f aca="false">IF(B56="",0,MAX(SUMPRODUCT((BCC_MA=$B56)*IFERROR(VALUE(SUBSTITUTE($G$6:$G$100,"N","")),0)),SUMPRODUCT((BCC_MA=$B56)*IFERROR(VALUE(SUBSTITUTE($H$6:$H$100,"N","")),0)),SUMPRODUCT((BCC_MA=$B56)*IFERROR(VALUE(SUBSTITUTE($I$6:$I$100,"N","")),0)),SUMPRODUCT((BCC_MA=$B56)*IFERROR(VALUE(SUBSTITUTE($J$6:$J$100,"N","")),0)),SUMPRODUCT((BCC_MA=$B56)*IFERROR(VALUE(SUBSTITUTE($K$6:$K$100,"N","")),0)),SUMPRODUCT((BCC_MA=$B56)*IFERROR(VALUE(SUBSTITUTE($L$6:$L$100,"N","")),0)),SUMPRODUCT((BCC_MA=$B56)*IFERROR(VALUE(SUBSTITUTE($M$6:$M$100,"N","")),0)),SUMPRODUCT((BCC_MA=$B56)*IFERROR(VALUE(SUBSTITUTE($N$6:$N$100,"N","")),0)),SUMPRODUCT((BCC_MA=$B56)*IFERROR(VALUE(SUBSTITUTE($O$6:$O$100,"N","")),0)),SUMPRODUCT((BCC_MA=$B56)*IFERROR(VALUE(SUBSTITUTE($P$6:$P$100,"N","")),0)),SUMPRODUCT((BCC_MA=$B56)*IFERROR(VALUE(SUBSTITUTE($Q$6:$Q$100,"N","")),0)),SUMPRODUCT((BCC_MA=$B56)*IFERROR(VALUE(SUBSTITUTE($R$6:$R$100,"N","")),0)),SUMPRODUCT((BCC_MA=$B56)*IFERROR(VALUE(SUBSTITUTE($S$6:$S$100,"N","")),0)),SUMPRODUCT((BCC_MA=$B56)*IFERROR(VALUE(SUBSTITUTE($T$6:$T$100,"N","")),0)),SUMPRODUCT((BCC_MA=$B56)*IFERROR(VALUE(SUBSTITUTE($U$6:$U$100,"N","")),0)),SUMPRODUCT((BCC_MA=$B56)*IFERROR(VALUE(SUBSTITUTE($V$6:$V$100,"N","")),0)),SUMPRODUCT((BCC_MA=$B56)*IFERROR(VALUE(SUBSTITUTE($W$6:$W$100,"N","")),0)),SUMPRODUCT((BCC_MA=$B56)*IFERROR(VALUE(SUBSTITUTE($X$6:$X$100,"N","")),0)),SUMPRODUCT((BCC_MA=$B56)*IFERROR(VALUE(SUBSTITUTE($Y$6:$Y$100,"N","")),0)),SUMPRODUCT((BCC_MA=$B56)*IFERROR(VALUE(SUBSTITUTE($Z$6:$Z$100,"N","")),0)),SUMPRODUCT((BCC_MA=$B56)*IFERROR(VALUE(SUBSTITUTE($AA$6:$AA$100,"N","")),0)),SUMPRODUCT((BCC_MA=$B56)*IFERROR(VALUE(SUBSTITUTE($AB$6:$AB$100,"N","")),0)),SUMPRODUCT((BCC_MA=$B56)*IFERROR(VALUE(SUBSTITUTE($AC$6:$AC$100,"N","")),0)),SUMPRODUCT((BCC_MA=$B56)*IFERROR(VALUE(SUBSTITUTE($AD$6:$AD$100,"N","")),0)),SUMPRODUCT((BCC_MA=$B56)*IFERROR(VALUE(SUBSTITUTE($AE$6:$AE$100,"N","")),0)),SUMPRODUCT((BCC_MA=$B56)*IFERROR(VALUE(SUBSTITUTE($AF$6:$AF$100,"N","")),0)),SUMPRODUCT((BCC_MA=$B56)*IFERROR(VALUE(SUBSTITUTE($AG$6:$AG$100,"N","")),0)),SUMPRODUCT((BCC_MA=$B56)*IFERROR(VALUE(SUBSTITUTE($AH$6:$AH$100,"N","")),0)),SUMPRODUCT((BCC_MA=$B56)*IFERROR(VALUE(SUBSTITUTE($AI$6:$AI$100,"N","")),0)),SUMPRODUCT((BCC_MA=$B56)*IFERROR(VALUE(SUBSTITUTE($AJ$6:$AJ$100,"N","")),0)),SUMPRODUCT((BCC_MA=$B56)*IFERROR(VALUE(SUBSTITUTE($AK$6:$AK$100,"N","")),0))))</f>
        <v>8</v>
      </c>
    </row>
    <row r="57" customFormat="false" ht="15" hidden="false" customHeight="false" outlineLevel="0" collapsed="false">
      <c r="A57" s="17" t="n">
        <v>52</v>
      </c>
      <c r="B57" s="10" t="s">
        <v>200</v>
      </c>
      <c r="C57" s="17" t="str">
        <f aca="false">IF(B57="","",IFERROR(INDEX(NV_TEN,MATCH(B57,NV_MA,0)),"MÃ KHÔNG CÓ"))</f>
        <v>Nguyễn Thị Kim Duyên</v>
      </c>
      <c r="D57" s="10" t="s">
        <v>78</v>
      </c>
      <c r="E57" s="18"/>
      <c r="F57" s="17" t="n">
        <f aca="false">IF(D57="","",IFERROR(INDEX(NH_GIO,MATCH(D57,NH_TEN,0)),"NHÓM?"))</f>
        <v>8</v>
      </c>
      <c r="G57" s="21"/>
      <c r="H57" s="21" t="n">
        <v>8</v>
      </c>
      <c r="I57" s="21"/>
      <c r="J57" s="21"/>
      <c r="K57" s="21" t="n">
        <v>8</v>
      </c>
      <c r="L57" s="21"/>
      <c r="M57" s="21"/>
      <c r="N57" s="21"/>
      <c r="O57" s="21" t="n">
        <v>8</v>
      </c>
      <c r="P57" s="21"/>
      <c r="Q57" s="21"/>
      <c r="R57" s="21" t="n">
        <v>8</v>
      </c>
      <c r="S57" s="21"/>
      <c r="T57" s="21" t="n">
        <v>8</v>
      </c>
      <c r="U57" s="21"/>
      <c r="V57" s="21"/>
      <c r="W57" s="21" t="n">
        <v>8</v>
      </c>
      <c r="X57" s="21"/>
      <c r="Y57" s="21"/>
      <c r="Z57" s="21"/>
      <c r="AA57" s="21"/>
      <c r="AB57" s="21"/>
      <c r="AC57" s="21"/>
      <c r="AD57" s="21"/>
      <c r="AE57" s="21"/>
      <c r="AF57" s="21"/>
      <c r="AG57" s="21" t="n">
        <v>8</v>
      </c>
      <c r="AH57" s="21"/>
      <c r="AI57" s="21"/>
      <c r="AJ57" s="21"/>
      <c r="AK57" s="21"/>
      <c r="AL57" s="22" t="n">
        <f aca="false">IF(B57="","",SUMPRODUCT(IFERROR(VALUE(SUBSTITUTE(G57:AK57,"N","")),0)))</f>
        <v>56</v>
      </c>
      <c r="AM57" s="23" t="n">
        <f aca="false">IF(B57="","",AL57/F57)</f>
        <v>7</v>
      </c>
      <c r="AN57" s="23" t="n">
        <f aca="false">IF(B57="","",SUMPRODUCT(ISNUMBER(SEARCH("N",G57:AK57))*IFERROR(VALUE(SUBSTITUTE(G57:AK57,"N","")),0))/F57)</f>
        <v>0</v>
      </c>
      <c r="AO57" s="10"/>
      <c r="AP57" s="10"/>
      <c r="AQ57" s="10"/>
      <c r="AR57" s="24" t="n">
        <f aca="false">IF(B57="",0,MAX(SUMPRODUCT((BCC_MA=$B57)*IFERROR(VALUE(SUBSTITUTE($G$6:$G$100,"N","")),0)),SUMPRODUCT((BCC_MA=$B57)*IFERROR(VALUE(SUBSTITUTE($H$6:$H$100,"N","")),0)),SUMPRODUCT((BCC_MA=$B57)*IFERROR(VALUE(SUBSTITUTE($I$6:$I$100,"N","")),0)),SUMPRODUCT((BCC_MA=$B57)*IFERROR(VALUE(SUBSTITUTE($J$6:$J$100,"N","")),0)),SUMPRODUCT((BCC_MA=$B57)*IFERROR(VALUE(SUBSTITUTE($K$6:$K$100,"N","")),0)),SUMPRODUCT((BCC_MA=$B57)*IFERROR(VALUE(SUBSTITUTE($L$6:$L$100,"N","")),0)),SUMPRODUCT((BCC_MA=$B57)*IFERROR(VALUE(SUBSTITUTE($M$6:$M$100,"N","")),0)),SUMPRODUCT((BCC_MA=$B57)*IFERROR(VALUE(SUBSTITUTE($N$6:$N$100,"N","")),0)),SUMPRODUCT((BCC_MA=$B57)*IFERROR(VALUE(SUBSTITUTE($O$6:$O$100,"N","")),0)),SUMPRODUCT((BCC_MA=$B57)*IFERROR(VALUE(SUBSTITUTE($P$6:$P$100,"N","")),0)),SUMPRODUCT((BCC_MA=$B57)*IFERROR(VALUE(SUBSTITUTE($Q$6:$Q$100,"N","")),0)),SUMPRODUCT((BCC_MA=$B57)*IFERROR(VALUE(SUBSTITUTE($R$6:$R$100,"N","")),0)),SUMPRODUCT((BCC_MA=$B57)*IFERROR(VALUE(SUBSTITUTE($S$6:$S$100,"N","")),0)),SUMPRODUCT((BCC_MA=$B57)*IFERROR(VALUE(SUBSTITUTE($T$6:$T$100,"N","")),0)),SUMPRODUCT((BCC_MA=$B57)*IFERROR(VALUE(SUBSTITUTE($U$6:$U$100,"N","")),0)),SUMPRODUCT((BCC_MA=$B57)*IFERROR(VALUE(SUBSTITUTE($V$6:$V$100,"N","")),0)),SUMPRODUCT((BCC_MA=$B57)*IFERROR(VALUE(SUBSTITUTE($W$6:$W$100,"N","")),0)),SUMPRODUCT((BCC_MA=$B57)*IFERROR(VALUE(SUBSTITUTE($X$6:$X$100,"N","")),0)),SUMPRODUCT((BCC_MA=$B57)*IFERROR(VALUE(SUBSTITUTE($Y$6:$Y$100,"N","")),0)),SUMPRODUCT((BCC_MA=$B57)*IFERROR(VALUE(SUBSTITUTE($Z$6:$Z$100,"N","")),0)),SUMPRODUCT((BCC_MA=$B57)*IFERROR(VALUE(SUBSTITUTE($AA$6:$AA$100,"N","")),0)),SUMPRODUCT((BCC_MA=$B57)*IFERROR(VALUE(SUBSTITUTE($AB$6:$AB$100,"N","")),0)),SUMPRODUCT((BCC_MA=$B57)*IFERROR(VALUE(SUBSTITUTE($AC$6:$AC$100,"N","")),0)),SUMPRODUCT((BCC_MA=$B57)*IFERROR(VALUE(SUBSTITUTE($AD$6:$AD$100,"N","")),0)),SUMPRODUCT((BCC_MA=$B57)*IFERROR(VALUE(SUBSTITUTE($AE$6:$AE$100,"N","")),0)),SUMPRODUCT((BCC_MA=$B57)*IFERROR(VALUE(SUBSTITUTE($AF$6:$AF$100,"N","")),0)),SUMPRODUCT((BCC_MA=$B57)*IFERROR(VALUE(SUBSTITUTE($AG$6:$AG$100,"N","")),0)),SUMPRODUCT((BCC_MA=$B57)*IFERROR(VALUE(SUBSTITUTE($AH$6:$AH$100,"N","")),0)),SUMPRODUCT((BCC_MA=$B57)*IFERROR(VALUE(SUBSTITUTE($AI$6:$AI$100,"N","")),0)),SUMPRODUCT((BCC_MA=$B57)*IFERROR(VALUE(SUBSTITUTE($AJ$6:$AJ$100,"N","")),0)),SUMPRODUCT((BCC_MA=$B57)*IFERROR(VALUE(SUBSTITUTE($AK$6:$AK$100,"N","")),0))))</f>
        <v>8</v>
      </c>
    </row>
    <row r="58" customFormat="false" ht="15" hidden="false" customHeight="false" outlineLevel="0" collapsed="false">
      <c r="A58" s="17" t="n">
        <v>53</v>
      </c>
      <c r="B58" s="10" t="s">
        <v>202</v>
      </c>
      <c r="C58" s="17" t="str">
        <f aca="false">IF(B58="","",IFERROR(INDEX(NV_TEN,MATCH(B58,NV_MA,0)),"MÃ KHÔNG CÓ"))</f>
        <v>Trần Thị Gái</v>
      </c>
      <c r="D58" s="10" t="s">
        <v>78</v>
      </c>
      <c r="E58" s="18"/>
      <c r="F58" s="17" t="n">
        <f aca="false">IF(D58="","",IFERROR(INDEX(NH_GIO,MATCH(D58,NH_TEN,0)),"NHÓM?"))</f>
        <v>8</v>
      </c>
      <c r="G58" s="21"/>
      <c r="H58" s="21" t="n">
        <v>8</v>
      </c>
      <c r="I58" s="21"/>
      <c r="J58" s="21"/>
      <c r="K58" s="21" t="n">
        <v>8</v>
      </c>
      <c r="L58" s="21"/>
      <c r="M58" s="21"/>
      <c r="N58" s="21"/>
      <c r="O58" s="21" t="n">
        <v>8</v>
      </c>
      <c r="P58" s="21"/>
      <c r="Q58" s="21"/>
      <c r="R58" s="21"/>
      <c r="S58" s="21"/>
      <c r="T58" s="21"/>
      <c r="U58" s="21"/>
      <c r="V58" s="21"/>
      <c r="W58" s="21" t="n">
        <v>8</v>
      </c>
      <c r="X58" s="21"/>
      <c r="Y58" s="21"/>
      <c r="Z58" s="21"/>
      <c r="AA58" s="21"/>
      <c r="AB58" s="21"/>
      <c r="AC58" s="21"/>
      <c r="AD58" s="21"/>
      <c r="AE58" s="21"/>
      <c r="AF58" s="21"/>
      <c r="AG58" s="21" t="n">
        <v>8</v>
      </c>
      <c r="AH58" s="21"/>
      <c r="AI58" s="21"/>
      <c r="AJ58" s="21"/>
      <c r="AK58" s="21"/>
      <c r="AL58" s="22" t="n">
        <f aca="false">IF(B58="","",SUMPRODUCT(IFERROR(VALUE(SUBSTITUTE(G58:AK58,"N","")),0)))</f>
        <v>40</v>
      </c>
      <c r="AM58" s="23" t="n">
        <f aca="false">IF(B58="","",AL58/F58)</f>
        <v>5</v>
      </c>
      <c r="AN58" s="23" t="n">
        <f aca="false">IF(B58="","",SUMPRODUCT(ISNUMBER(SEARCH("N",G58:AK58))*IFERROR(VALUE(SUBSTITUTE(G58:AK58,"N","")),0))/F58)</f>
        <v>0</v>
      </c>
      <c r="AO58" s="10"/>
      <c r="AP58" s="10"/>
      <c r="AQ58" s="10"/>
      <c r="AR58" s="24" t="n">
        <f aca="false">IF(B58="",0,MAX(SUMPRODUCT((BCC_MA=$B58)*IFERROR(VALUE(SUBSTITUTE($G$6:$G$100,"N","")),0)),SUMPRODUCT((BCC_MA=$B58)*IFERROR(VALUE(SUBSTITUTE($H$6:$H$100,"N","")),0)),SUMPRODUCT((BCC_MA=$B58)*IFERROR(VALUE(SUBSTITUTE($I$6:$I$100,"N","")),0)),SUMPRODUCT((BCC_MA=$B58)*IFERROR(VALUE(SUBSTITUTE($J$6:$J$100,"N","")),0)),SUMPRODUCT((BCC_MA=$B58)*IFERROR(VALUE(SUBSTITUTE($K$6:$K$100,"N","")),0)),SUMPRODUCT((BCC_MA=$B58)*IFERROR(VALUE(SUBSTITUTE($L$6:$L$100,"N","")),0)),SUMPRODUCT((BCC_MA=$B58)*IFERROR(VALUE(SUBSTITUTE($M$6:$M$100,"N","")),0)),SUMPRODUCT((BCC_MA=$B58)*IFERROR(VALUE(SUBSTITUTE($N$6:$N$100,"N","")),0)),SUMPRODUCT((BCC_MA=$B58)*IFERROR(VALUE(SUBSTITUTE($O$6:$O$100,"N","")),0)),SUMPRODUCT((BCC_MA=$B58)*IFERROR(VALUE(SUBSTITUTE($P$6:$P$100,"N","")),0)),SUMPRODUCT((BCC_MA=$B58)*IFERROR(VALUE(SUBSTITUTE($Q$6:$Q$100,"N","")),0)),SUMPRODUCT((BCC_MA=$B58)*IFERROR(VALUE(SUBSTITUTE($R$6:$R$100,"N","")),0)),SUMPRODUCT((BCC_MA=$B58)*IFERROR(VALUE(SUBSTITUTE($S$6:$S$100,"N","")),0)),SUMPRODUCT((BCC_MA=$B58)*IFERROR(VALUE(SUBSTITUTE($T$6:$T$100,"N","")),0)),SUMPRODUCT((BCC_MA=$B58)*IFERROR(VALUE(SUBSTITUTE($U$6:$U$100,"N","")),0)),SUMPRODUCT((BCC_MA=$B58)*IFERROR(VALUE(SUBSTITUTE($V$6:$V$100,"N","")),0)),SUMPRODUCT((BCC_MA=$B58)*IFERROR(VALUE(SUBSTITUTE($W$6:$W$100,"N","")),0)),SUMPRODUCT((BCC_MA=$B58)*IFERROR(VALUE(SUBSTITUTE($X$6:$X$100,"N","")),0)),SUMPRODUCT((BCC_MA=$B58)*IFERROR(VALUE(SUBSTITUTE($Y$6:$Y$100,"N","")),0)),SUMPRODUCT((BCC_MA=$B58)*IFERROR(VALUE(SUBSTITUTE($Z$6:$Z$100,"N","")),0)),SUMPRODUCT((BCC_MA=$B58)*IFERROR(VALUE(SUBSTITUTE($AA$6:$AA$100,"N","")),0)),SUMPRODUCT((BCC_MA=$B58)*IFERROR(VALUE(SUBSTITUTE($AB$6:$AB$100,"N","")),0)),SUMPRODUCT((BCC_MA=$B58)*IFERROR(VALUE(SUBSTITUTE($AC$6:$AC$100,"N","")),0)),SUMPRODUCT((BCC_MA=$B58)*IFERROR(VALUE(SUBSTITUTE($AD$6:$AD$100,"N","")),0)),SUMPRODUCT((BCC_MA=$B58)*IFERROR(VALUE(SUBSTITUTE($AE$6:$AE$100,"N","")),0)),SUMPRODUCT((BCC_MA=$B58)*IFERROR(VALUE(SUBSTITUTE($AF$6:$AF$100,"N","")),0)),SUMPRODUCT((BCC_MA=$B58)*IFERROR(VALUE(SUBSTITUTE($AG$6:$AG$100,"N","")),0)),SUMPRODUCT((BCC_MA=$B58)*IFERROR(VALUE(SUBSTITUTE($AH$6:$AH$100,"N","")),0)),SUMPRODUCT((BCC_MA=$B58)*IFERROR(VALUE(SUBSTITUTE($AI$6:$AI$100,"N","")),0)),SUMPRODUCT((BCC_MA=$B58)*IFERROR(VALUE(SUBSTITUTE($AJ$6:$AJ$100,"N","")),0)),SUMPRODUCT((BCC_MA=$B58)*IFERROR(VALUE(SUBSTITUTE($AK$6:$AK$100,"N","")),0))))</f>
        <v>8</v>
      </c>
    </row>
    <row r="59" customFormat="false" ht="15" hidden="false" customHeight="false" outlineLevel="0" collapsed="false">
      <c r="A59" s="17" t="n">
        <v>54</v>
      </c>
      <c r="B59" s="10" t="s">
        <v>204</v>
      </c>
      <c r="C59" s="17" t="str">
        <f aca="false">IF(B59="","",IFERROR(INDEX(NV_TEN,MATCH(B59,NV_MA,0)),"MÃ KHÔNG CÓ"))</f>
        <v>Phạm Thị Thu</v>
      </c>
      <c r="D59" s="10" t="s">
        <v>78</v>
      </c>
      <c r="E59" s="18"/>
      <c r="F59" s="17" t="n">
        <f aca="false">IF(D59="","",IFERROR(INDEX(NH_GIO,MATCH(D59,NH_TEN,0)),"NHÓM?"))</f>
        <v>8</v>
      </c>
      <c r="G59" s="21"/>
      <c r="H59" s="21" t="n">
        <v>8</v>
      </c>
      <c r="I59" s="21"/>
      <c r="J59" s="21"/>
      <c r="K59" s="21" t="n">
        <v>8</v>
      </c>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2" t="n">
        <f aca="false">IF(B59="","",SUMPRODUCT(IFERROR(VALUE(SUBSTITUTE(G59:AK59,"N","")),0)))</f>
        <v>16</v>
      </c>
      <c r="AM59" s="23" t="n">
        <f aca="false">IF(B59="","",AL59/F59)</f>
        <v>2</v>
      </c>
      <c r="AN59" s="23" t="n">
        <f aca="false">IF(B59="","",SUMPRODUCT(ISNUMBER(SEARCH("N",G59:AK59))*IFERROR(VALUE(SUBSTITUTE(G59:AK59,"N","")),0))/F59)</f>
        <v>0</v>
      </c>
      <c r="AO59" s="10"/>
      <c r="AP59" s="10"/>
      <c r="AQ59" s="10"/>
      <c r="AR59" s="24" t="n">
        <f aca="false">IF(B59="",0,MAX(SUMPRODUCT((BCC_MA=$B59)*IFERROR(VALUE(SUBSTITUTE($G$6:$G$100,"N","")),0)),SUMPRODUCT((BCC_MA=$B59)*IFERROR(VALUE(SUBSTITUTE($H$6:$H$100,"N","")),0)),SUMPRODUCT((BCC_MA=$B59)*IFERROR(VALUE(SUBSTITUTE($I$6:$I$100,"N","")),0)),SUMPRODUCT((BCC_MA=$B59)*IFERROR(VALUE(SUBSTITUTE($J$6:$J$100,"N","")),0)),SUMPRODUCT((BCC_MA=$B59)*IFERROR(VALUE(SUBSTITUTE($K$6:$K$100,"N","")),0)),SUMPRODUCT((BCC_MA=$B59)*IFERROR(VALUE(SUBSTITUTE($L$6:$L$100,"N","")),0)),SUMPRODUCT((BCC_MA=$B59)*IFERROR(VALUE(SUBSTITUTE($M$6:$M$100,"N","")),0)),SUMPRODUCT((BCC_MA=$B59)*IFERROR(VALUE(SUBSTITUTE($N$6:$N$100,"N","")),0)),SUMPRODUCT((BCC_MA=$B59)*IFERROR(VALUE(SUBSTITUTE($O$6:$O$100,"N","")),0)),SUMPRODUCT((BCC_MA=$B59)*IFERROR(VALUE(SUBSTITUTE($P$6:$P$100,"N","")),0)),SUMPRODUCT((BCC_MA=$B59)*IFERROR(VALUE(SUBSTITUTE($Q$6:$Q$100,"N","")),0)),SUMPRODUCT((BCC_MA=$B59)*IFERROR(VALUE(SUBSTITUTE($R$6:$R$100,"N","")),0)),SUMPRODUCT((BCC_MA=$B59)*IFERROR(VALUE(SUBSTITUTE($S$6:$S$100,"N","")),0)),SUMPRODUCT((BCC_MA=$B59)*IFERROR(VALUE(SUBSTITUTE($T$6:$T$100,"N","")),0)),SUMPRODUCT((BCC_MA=$B59)*IFERROR(VALUE(SUBSTITUTE($U$6:$U$100,"N","")),0)),SUMPRODUCT((BCC_MA=$B59)*IFERROR(VALUE(SUBSTITUTE($V$6:$V$100,"N","")),0)),SUMPRODUCT((BCC_MA=$B59)*IFERROR(VALUE(SUBSTITUTE($W$6:$W$100,"N","")),0)),SUMPRODUCT((BCC_MA=$B59)*IFERROR(VALUE(SUBSTITUTE($X$6:$X$100,"N","")),0)),SUMPRODUCT((BCC_MA=$B59)*IFERROR(VALUE(SUBSTITUTE($Y$6:$Y$100,"N","")),0)),SUMPRODUCT((BCC_MA=$B59)*IFERROR(VALUE(SUBSTITUTE($Z$6:$Z$100,"N","")),0)),SUMPRODUCT((BCC_MA=$B59)*IFERROR(VALUE(SUBSTITUTE($AA$6:$AA$100,"N","")),0)),SUMPRODUCT((BCC_MA=$B59)*IFERROR(VALUE(SUBSTITUTE($AB$6:$AB$100,"N","")),0)),SUMPRODUCT((BCC_MA=$B59)*IFERROR(VALUE(SUBSTITUTE($AC$6:$AC$100,"N","")),0)),SUMPRODUCT((BCC_MA=$B59)*IFERROR(VALUE(SUBSTITUTE($AD$6:$AD$100,"N","")),0)),SUMPRODUCT((BCC_MA=$B59)*IFERROR(VALUE(SUBSTITUTE($AE$6:$AE$100,"N","")),0)),SUMPRODUCT((BCC_MA=$B59)*IFERROR(VALUE(SUBSTITUTE($AF$6:$AF$100,"N","")),0)),SUMPRODUCT((BCC_MA=$B59)*IFERROR(VALUE(SUBSTITUTE($AG$6:$AG$100,"N","")),0)),SUMPRODUCT((BCC_MA=$B59)*IFERROR(VALUE(SUBSTITUTE($AH$6:$AH$100,"N","")),0)),SUMPRODUCT((BCC_MA=$B59)*IFERROR(VALUE(SUBSTITUTE($AI$6:$AI$100,"N","")),0)),SUMPRODUCT((BCC_MA=$B59)*IFERROR(VALUE(SUBSTITUTE($AJ$6:$AJ$100,"N","")),0)),SUMPRODUCT((BCC_MA=$B59)*IFERROR(VALUE(SUBSTITUTE($AK$6:$AK$100,"N","")),0))))</f>
        <v>8</v>
      </c>
    </row>
    <row r="60" customFormat="false" ht="15" hidden="false" customHeight="false" outlineLevel="0" collapsed="false">
      <c r="A60" s="17" t="n">
        <v>55</v>
      </c>
      <c r="B60" s="10" t="s">
        <v>206</v>
      </c>
      <c r="C60" s="17" t="str">
        <f aca="false">IF(B60="","",IFERROR(INDEX(NV_TEN,MATCH(B60,NV_MA,0)),"MÃ KHÔNG CÓ"))</f>
        <v>La Trọng Sơn</v>
      </c>
      <c r="D60" s="10" t="s">
        <v>78</v>
      </c>
      <c r="E60" s="18"/>
      <c r="F60" s="17" t="n">
        <f aca="false">IF(D60="","",IFERROR(INDEX(NH_GIO,MATCH(D60,NH_TEN,0)),"NHÓM?"))</f>
        <v>8</v>
      </c>
      <c r="G60" s="21" t="n">
        <v>8</v>
      </c>
      <c r="H60" s="21" t="n">
        <v>8</v>
      </c>
      <c r="I60" s="21" t="n">
        <v>8</v>
      </c>
      <c r="J60" s="21" t="n">
        <v>12</v>
      </c>
      <c r="K60" s="21" t="n">
        <v>8</v>
      </c>
      <c r="L60" s="21" t="n">
        <v>8</v>
      </c>
      <c r="M60" s="21" t="n">
        <v>8</v>
      </c>
      <c r="N60" s="21"/>
      <c r="O60" s="21" t="n">
        <v>8</v>
      </c>
      <c r="P60" s="21" t="n">
        <v>8</v>
      </c>
      <c r="Q60" s="21" t="n">
        <v>8</v>
      </c>
      <c r="R60" s="21" t="n">
        <v>8</v>
      </c>
      <c r="S60" s="21" t="n">
        <v>8</v>
      </c>
      <c r="T60" s="21" t="n">
        <v>8</v>
      </c>
      <c r="U60" s="21" t="n">
        <v>8</v>
      </c>
      <c r="V60" s="21" t="n">
        <v>8</v>
      </c>
      <c r="W60" s="21" t="n">
        <v>8</v>
      </c>
      <c r="X60" s="21"/>
      <c r="Y60" s="21"/>
      <c r="Z60" s="21"/>
      <c r="AA60" s="21"/>
      <c r="AB60" s="21" t="n">
        <v>8</v>
      </c>
      <c r="AC60" s="21"/>
      <c r="AD60" s="21"/>
      <c r="AE60" s="21"/>
      <c r="AF60" s="21"/>
      <c r="AG60" s="21" t="n">
        <v>8</v>
      </c>
      <c r="AH60" s="21" t="n">
        <v>8</v>
      </c>
      <c r="AI60" s="21" t="n">
        <v>8</v>
      </c>
      <c r="AJ60" s="21" t="n">
        <v>8</v>
      </c>
      <c r="AK60" s="21" t="n">
        <v>8</v>
      </c>
      <c r="AL60" s="22" t="n">
        <f aca="false">IF(B60="","",SUMPRODUCT(IFERROR(VALUE(SUBSTITUTE(G60:AK60,"N","")),0)))</f>
        <v>180</v>
      </c>
      <c r="AM60" s="23" t="n">
        <f aca="false">IF(B60="","",AL60/F60)</f>
        <v>22.5</v>
      </c>
      <c r="AN60" s="23" t="n">
        <f aca="false">IF(B60="","",SUMPRODUCT(ISNUMBER(SEARCH("N",G60:AK60))*IFERROR(VALUE(SUBSTITUTE(G60:AK60,"N","")),0))/F60)</f>
        <v>0</v>
      </c>
      <c r="AO60" s="10"/>
      <c r="AP60" s="10"/>
      <c r="AQ60" s="10"/>
      <c r="AR60" s="24" t="n">
        <f aca="false">IF(B60="",0,MAX(SUMPRODUCT((BCC_MA=$B60)*IFERROR(VALUE(SUBSTITUTE($G$6:$G$100,"N","")),0)),SUMPRODUCT((BCC_MA=$B60)*IFERROR(VALUE(SUBSTITUTE($H$6:$H$100,"N","")),0)),SUMPRODUCT((BCC_MA=$B60)*IFERROR(VALUE(SUBSTITUTE($I$6:$I$100,"N","")),0)),SUMPRODUCT((BCC_MA=$B60)*IFERROR(VALUE(SUBSTITUTE($J$6:$J$100,"N","")),0)),SUMPRODUCT((BCC_MA=$B60)*IFERROR(VALUE(SUBSTITUTE($K$6:$K$100,"N","")),0)),SUMPRODUCT((BCC_MA=$B60)*IFERROR(VALUE(SUBSTITUTE($L$6:$L$100,"N","")),0)),SUMPRODUCT((BCC_MA=$B60)*IFERROR(VALUE(SUBSTITUTE($M$6:$M$100,"N","")),0)),SUMPRODUCT((BCC_MA=$B60)*IFERROR(VALUE(SUBSTITUTE($N$6:$N$100,"N","")),0)),SUMPRODUCT((BCC_MA=$B60)*IFERROR(VALUE(SUBSTITUTE($O$6:$O$100,"N","")),0)),SUMPRODUCT((BCC_MA=$B60)*IFERROR(VALUE(SUBSTITUTE($P$6:$P$100,"N","")),0)),SUMPRODUCT((BCC_MA=$B60)*IFERROR(VALUE(SUBSTITUTE($Q$6:$Q$100,"N","")),0)),SUMPRODUCT((BCC_MA=$B60)*IFERROR(VALUE(SUBSTITUTE($R$6:$R$100,"N","")),0)),SUMPRODUCT((BCC_MA=$B60)*IFERROR(VALUE(SUBSTITUTE($S$6:$S$100,"N","")),0)),SUMPRODUCT((BCC_MA=$B60)*IFERROR(VALUE(SUBSTITUTE($T$6:$T$100,"N","")),0)),SUMPRODUCT((BCC_MA=$B60)*IFERROR(VALUE(SUBSTITUTE($U$6:$U$100,"N","")),0)),SUMPRODUCT((BCC_MA=$B60)*IFERROR(VALUE(SUBSTITUTE($V$6:$V$100,"N","")),0)),SUMPRODUCT((BCC_MA=$B60)*IFERROR(VALUE(SUBSTITUTE($W$6:$W$100,"N","")),0)),SUMPRODUCT((BCC_MA=$B60)*IFERROR(VALUE(SUBSTITUTE($X$6:$X$100,"N","")),0)),SUMPRODUCT((BCC_MA=$B60)*IFERROR(VALUE(SUBSTITUTE($Y$6:$Y$100,"N","")),0)),SUMPRODUCT((BCC_MA=$B60)*IFERROR(VALUE(SUBSTITUTE($Z$6:$Z$100,"N","")),0)),SUMPRODUCT((BCC_MA=$B60)*IFERROR(VALUE(SUBSTITUTE($AA$6:$AA$100,"N","")),0)),SUMPRODUCT((BCC_MA=$B60)*IFERROR(VALUE(SUBSTITUTE($AB$6:$AB$100,"N","")),0)),SUMPRODUCT((BCC_MA=$B60)*IFERROR(VALUE(SUBSTITUTE($AC$6:$AC$100,"N","")),0)),SUMPRODUCT((BCC_MA=$B60)*IFERROR(VALUE(SUBSTITUTE($AD$6:$AD$100,"N","")),0)),SUMPRODUCT((BCC_MA=$B60)*IFERROR(VALUE(SUBSTITUTE($AE$6:$AE$100,"N","")),0)),SUMPRODUCT((BCC_MA=$B60)*IFERROR(VALUE(SUBSTITUTE($AF$6:$AF$100,"N","")),0)),SUMPRODUCT((BCC_MA=$B60)*IFERROR(VALUE(SUBSTITUTE($AG$6:$AG$100,"N","")),0)),SUMPRODUCT((BCC_MA=$B60)*IFERROR(VALUE(SUBSTITUTE($AH$6:$AH$100,"N","")),0)),SUMPRODUCT((BCC_MA=$B60)*IFERROR(VALUE(SUBSTITUTE($AI$6:$AI$100,"N","")),0)),SUMPRODUCT((BCC_MA=$B60)*IFERROR(VALUE(SUBSTITUTE($AJ$6:$AJ$100,"N","")),0)),SUMPRODUCT((BCC_MA=$B60)*IFERROR(VALUE(SUBSTITUTE($AK$6:$AK$100,"N","")),0))))</f>
        <v>12</v>
      </c>
    </row>
    <row r="61" customFormat="false" ht="15" hidden="false" customHeight="false" outlineLevel="0" collapsed="false">
      <c r="A61" s="17" t="n">
        <v>56</v>
      </c>
      <c r="B61" s="10" t="s">
        <v>208</v>
      </c>
      <c r="C61" s="17" t="str">
        <f aca="false">IF(B61="","",IFERROR(INDEX(NV_TEN,MATCH(B61,NV_MA,0)),"MÃ KHÔNG CÓ"))</f>
        <v>Nguyễn Đình Bình</v>
      </c>
      <c r="D61" s="10" t="s">
        <v>78</v>
      </c>
      <c r="E61" s="18"/>
      <c r="F61" s="17" t="n">
        <f aca="false">IF(D61="","",IFERROR(INDEX(NH_GIO,MATCH(D61,NH_TEN,0)),"NHÓM?"))</f>
        <v>8</v>
      </c>
      <c r="G61" s="21" t="n">
        <v>8</v>
      </c>
      <c r="H61" s="21" t="n">
        <v>8</v>
      </c>
      <c r="I61" s="21" t="n">
        <v>8</v>
      </c>
      <c r="J61" s="21" t="n">
        <v>12</v>
      </c>
      <c r="K61" s="21" t="n">
        <v>8</v>
      </c>
      <c r="L61" s="21" t="n">
        <v>8</v>
      </c>
      <c r="M61" s="21" t="n">
        <v>8</v>
      </c>
      <c r="N61" s="21"/>
      <c r="O61" s="21" t="n">
        <v>8</v>
      </c>
      <c r="P61" s="21" t="n">
        <v>8</v>
      </c>
      <c r="Q61" s="21" t="n">
        <v>8</v>
      </c>
      <c r="R61" s="21"/>
      <c r="S61" s="21" t="n">
        <v>8</v>
      </c>
      <c r="T61" s="21" t="n">
        <v>8</v>
      </c>
      <c r="U61" s="21" t="n">
        <v>8</v>
      </c>
      <c r="V61" s="21" t="n">
        <v>8</v>
      </c>
      <c r="W61" s="21" t="n">
        <v>8</v>
      </c>
      <c r="X61" s="21"/>
      <c r="Y61" s="21"/>
      <c r="Z61" s="21"/>
      <c r="AA61" s="21"/>
      <c r="AB61" s="21" t="n">
        <v>8</v>
      </c>
      <c r="AC61" s="21"/>
      <c r="AD61" s="21"/>
      <c r="AE61" s="21"/>
      <c r="AF61" s="21"/>
      <c r="AG61" s="21" t="n">
        <v>8</v>
      </c>
      <c r="AH61" s="21" t="n">
        <v>8</v>
      </c>
      <c r="AI61" s="21" t="n">
        <v>8</v>
      </c>
      <c r="AJ61" s="21" t="n">
        <v>8</v>
      </c>
      <c r="AK61" s="21" t="n">
        <v>8</v>
      </c>
      <c r="AL61" s="22" t="n">
        <f aca="false">IF(B61="","",SUMPRODUCT(IFERROR(VALUE(SUBSTITUTE(G61:AK61,"N","")),0)))</f>
        <v>172</v>
      </c>
      <c r="AM61" s="23" t="n">
        <f aca="false">IF(B61="","",AL61/F61)</f>
        <v>21.5</v>
      </c>
      <c r="AN61" s="23" t="n">
        <f aca="false">IF(B61="","",SUMPRODUCT(ISNUMBER(SEARCH("N",G61:AK61))*IFERROR(VALUE(SUBSTITUTE(G61:AK61,"N","")),0))/F61)</f>
        <v>0</v>
      </c>
      <c r="AO61" s="10"/>
      <c r="AP61" s="10"/>
      <c r="AQ61" s="10"/>
      <c r="AR61" s="24" t="n">
        <f aca="false">IF(B61="",0,MAX(SUMPRODUCT((BCC_MA=$B61)*IFERROR(VALUE(SUBSTITUTE($G$6:$G$100,"N","")),0)),SUMPRODUCT((BCC_MA=$B61)*IFERROR(VALUE(SUBSTITUTE($H$6:$H$100,"N","")),0)),SUMPRODUCT((BCC_MA=$B61)*IFERROR(VALUE(SUBSTITUTE($I$6:$I$100,"N","")),0)),SUMPRODUCT((BCC_MA=$B61)*IFERROR(VALUE(SUBSTITUTE($J$6:$J$100,"N","")),0)),SUMPRODUCT((BCC_MA=$B61)*IFERROR(VALUE(SUBSTITUTE($K$6:$K$100,"N","")),0)),SUMPRODUCT((BCC_MA=$B61)*IFERROR(VALUE(SUBSTITUTE($L$6:$L$100,"N","")),0)),SUMPRODUCT((BCC_MA=$B61)*IFERROR(VALUE(SUBSTITUTE($M$6:$M$100,"N","")),0)),SUMPRODUCT((BCC_MA=$B61)*IFERROR(VALUE(SUBSTITUTE($N$6:$N$100,"N","")),0)),SUMPRODUCT((BCC_MA=$B61)*IFERROR(VALUE(SUBSTITUTE($O$6:$O$100,"N","")),0)),SUMPRODUCT((BCC_MA=$B61)*IFERROR(VALUE(SUBSTITUTE($P$6:$P$100,"N","")),0)),SUMPRODUCT((BCC_MA=$B61)*IFERROR(VALUE(SUBSTITUTE($Q$6:$Q$100,"N","")),0)),SUMPRODUCT((BCC_MA=$B61)*IFERROR(VALUE(SUBSTITUTE($R$6:$R$100,"N","")),0)),SUMPRODUCT((BCC_MA=$B61)*IFERROR(VALUE(SUBSTITUTE($S$6:$S$100,"N","")),0)),SUMPRODUCT((BCC_MA=$B61)*IFERROR(VALUE(SUBSTITUTE($T$6:$T$100,"N","")),0)),SUMPRODUCT((BCC_MA=$B61)*IFERROR(VALUE(SUBSTITUTE($U$6:$U$100,"N","")),0)),SUMPRODUCT((BCC_MA=$B61)*IFERROR(VALUE(SUBSTITUTE($V$6:$V$100,"N","")),0)),SUMPRODUCT((BCC_MA=$B61)*IFERROR(VALUE(SUBSTITUTE($W$6:$W$100,"N","")),0)),SUMPRODUCT((BCC_MA=$B61)*IFERROR(VALUE(SUBSTITUTE($X$6:$X$100,"N","")),0)),SUMPRODUCT((BCC_MA=$B61)*IFERROR(VALUE(SUBSTITUTE($Y$6:$Y$100,"N","")),0)),SUMPRODUCT((BCC_MA=$B61)*IFERROR(VALUE(SUBSTITUTE($Z$6:$Z$100,"N","")),0)),SUMPRODUCT((BCC_MA=$B61)*IFERROR(VALUE(SUBSTITUTE($AA$6:$AA$100,"N","")),0)),SUMPRODUCT((BCC_MA=$B61)*IFERROR(VALUE(SUBSTITUTE($AB$6:$AB$100,"N","")),0)),SUMPRODUCT((BCC_MA=$B61)*IFERROR(VALUE(SUBSTITUTE($AC$6:$AC$100,"N","")),0)),SUMPRODUCT((BCC_MA=$B61)*IFERROR(VALUE(SUBSTITUTE($AD$6:$AD$100,"N","")),0)),SUMPRODUCT((BCC_MA=$B61)*IFERROR(VALUE(SUBSTITUTE($AE$6:$AE$100,"N","")),0)),SUMPRODUCT((BCC_MA=$B61)*IFERROR(VALUE(SUBSTITUTE($AF$6:$AF$100,"N","")),0)),SUMPRODUCT((BCC_MA=$B61)*IFERROR(VALUE(SUBSTITUTE($AG$6:$AG$100,"N","")),0)),SUMPRODUCT((BCC_MA=$B61)*IFERROR(VALUE(SUBSTITUTE($AH$6:$AH$100,"N","")),0)),SUMPRODUCT((BCC_MA=$B61)*IFERROR(VALUE(SUBSTITUTE($AI$6:$AI$100,"N","")),0)),SUMPRODUCT((BCC_MA=$B61)*IFERROR(VALUE(SUBSTITUTE($AJ$6:$AJ$100,"N","")),0)),SUMPRODUCT((BCC_MA=$B61)*IFERROR(VALUE(SUBSTITUTE($AK$6:$AK$100,"N","")),0))))</f>
        <v>12</v>
      </c>
    </row>
    <row r="62" customFormat="false" ht="15" hidden="false" customHeight="false" outlineLevel="0" collapsed="false">
      <c r="A62" s="17" t="n">
        <v>57</v>
      </c>
      <c r="B62" s="10" t="s">
        <v>212</v>
      </c>
      <c r="C62" s="17" t="str">
        <f aca="false">IF(B62="","",IFERROR(INDEX(NV_TEN,MATCH(B62,NV_MA,0)),"MÃ KHÔNG CÓ"))</f>
        <v>Nghen</v>
      </c>
      <c r="D62" s="10" t="s">
        <v>81</v>
      </c>
      <c r="E62" s="18"/>
      <c r="F62" s="17" t="n">
        <f aca="false">IF(D62="","",IFERROR(INDEX(NH_GIO,MATCH(D62,NH_TEN,0)),"NHÓM?"))</f>
        <v>8</v>
      </c>
      <c r="G62" s="21" t="n">
        <v>8</v>
      </c>
      <c r="H62" s="21" t="n">
        <v>8</v>
      </c>
      <c r="I62" s="21" t="n">
        <v>8</v>
      </c>
      <c r="J62" s="21" t="n">
        <v>8</v>
      </c>
      <c r="K62" s="21" t="n">
        <v>8</v>
      </c>
      <c r="L62" s="21" t="n">
        <v>8</v>
      </c>
      <c r="M62" s="21" t="n">
        <v>8</v>
      </c>
      <c r="N62" s="21" t="n">
        <v>8</v>
      </c>
      <c r="O62" s="21" t="n">
        <v>8</v>
      </c>
      <c r="P62" s="21" t="n">
        <v>8</v>
      </c>
      <c r="Q62" s="21" t="n">
        <v>8</v>
      </c>
      <c r="R62" s="21" t="n">
        <v>8</v>
      </c>
      <c r="S62" s="21" t="n">
        <v>8</v>
      </c>
      <c r="T62" s="21" t="n">
        <v>8</v>
      </c>
      <c r="U62" s="21" t="n">
        <v>8</v>
      </c>
      <c r="V62" s="21" t="n">
        <v>8</v>
      </c>
      <c r="W62" s="21" t="n">
        <v>8</v>
      </c>
      <c r="X62" s="21" t="n">
        <v>8</v>
      </c>
      <c r="Y62" s="21" t="n">
        <v>8</v>
      </c>
      <c r="Z62" s="21" t="n">
        <v>8</v>
      </c>
      <c r="AA62" s="21" t="n">
        <v>8</v>
      </c>
      <c r="AB62" s="21" t="n">
        <v>8</v>
      </c>
      <c r="AC62" s="21" t="n">
        <v>8</v>
      </c>
      <c r="AD62" s="21" t="n">
        <v>8</v>
      </c>
      <c r="AE62" s="21" t="n">
        <v>8</v>
      </c>
      <c r="AF62" s="21" t="n">
        <v>8</v>
      </c>
      <c r="AG62" s="21" t="n">
        <v>8</v>
      </c>
      <c r="AH62" s="21" t="n">
        <v>8</v>
      </c>
      <c r="AI62" s="21" t="n">
        <v>8</v>
      </c>
      <c r="AJ62" s="21" t="n">
        <v>8</v>
      </c>
      <c r="AK62" s="21" t="n">
        <v>8</v>
      </c>
      <c r="AL62" s="22" t="n">
        <f aca="false">IF(B62="","",SUMPRODUCT(IFERROR(VALUE(SUBSTITUTE(G62:AK62,"N","")),0)))</f>
        <v>248</v>
      </c>
      <c r="AM62" s="23" t="n">
        <f aca="false">IF(B62="","",AL62/F62)</f>
        <v>31</v>
      </c>
      <c r="AN62" s="23" t="n">
        <f aca="false">IF(B62="","",SUMPRODUCT(ISNUMBER(SEARCH("N",G62:AK62))*IFERROR(VALUE(SUBSTITUTE(G62:AK62,"N","")),0))/F62)</f>
        <v>0</v>
      </c>
      <c r="AO62" s="10"/>
      <c r="AP62" s="10"/>
      <c r="AQ62" s="10"/>
      <c r="AR62" s="24" t="n">
        <f aca="false">IF(B62="",0,MAX(SUMPRODUCT((BCC_MA=$B62)*IFERROR(VALUE(SUBSTITUTE($G$6:$G$100,"N","")),0)),SUMPRODUCT((BCC_MA=$B62)*IFERROR(VALUE(SUBSTITUTE($H$6:$H$100,"N","")),0)),SUMPRODUCT((BCC_MA=$B62)*IFERROR(VALUE(SUBSTITUTE($I$6:$I$100,"N","")),0)),SUMPRODUCT((BCC_MA=$B62)*IFERROR(VALUE(SUBSTITUTE($J$6:$J$100,"N","")),0)),SUMPRODUCT((BCC_MA=$B62)*IFERROR(VALUE(SUBSTITUTE($K$6:$K$100,"N","")),0)),SUMPRODUCT((BCC_MA=$B62)*IFERROR(VALUE(SUBSTITUTE($L$6:$L$100,"N","")),0)),SUMPRODUCT((BCC_MA=$B62)*IFERROR(VALUE(SUBSTITUTE($M$6:$M$100,"N","")),0)),SUMPRODUCT((BCC_MA=$B62)*IFERROR(VALUE(SUBSTITUTE($N$6:$N$100,"N","")),0)),SUMPRODUCT((BCC_MA=$B62)*IFERROR(VALUE(SUBSTITUTE($O$6:$O$100,"N","")),0)),SUMPRODUCT((BCC_MA=$B62)*IFERROR(VALUE(SUBSTITUTE($P$6:$P$100,"N","")),0)),SUMPRODUCT((BCC_MA=$B62)*IFERROR(VALUE(SUBSTITUTE($Q$6:$Q$100,"N","")),0)),SUMPRODUCT((BCC_MA=$B62)*IFERROR(VALUE(SUBSTITUTE($R$6:$R$100,"N","")),0)),SUMPRODUCT((BCC_MA=$B62)*IFERROR(VALUE(SUBSTITUTE($S$6:$S$100,"N","")),0)),SUMPRODUCT((BCC_MA=$B62)*IFERROR(VALUE(SUBSTITUTE($T$6:$T$100,"N","")),0)),SUMPRODUCT((BCC_MA=$B62)*IFERROR(VALUE(SUBSTITUTE($U$6:$U$100,"N","")),0)),SUMPRODUCT((BCC_MA=$B62)*IFERROR(VALUE(SUBSTITUTE($V$6:$V$100,"N","")),0)),SUMPRODUCT((BCC_MA=$B62)*IFERROR(VALUE(SUBSTITUTE($W$6:$W$100,"N","")),0)),SUMPRODUCT((BCC_MA=$B62)*IFERROR(VALUE(SUBSTITUTE($X$6:$X$100,"N","")),0)),SUMPRODUCT((BCC_MA=$B62)*IFERROR(VALUE(SUBSTITUTE($Y$6:$Y$100,"N","")),0)),SUMPRODUCT((BCC_MA=$B62)*IFERROR(VALUE(SUBSTITUTE($Z$6:$Z$100,"N","")),0)),SUMPRODUCT((BCC_MA=$B62)*IFERROR(VALUE(SUBSTITUTE($AA$6:$AA$100,"N","")),0)),SUMPRODUCT((BCC_MA=$B62)*IFERROR(VALUE(SUBSTITUTE($AB$6:$AB$100,"N","")),0)),SUMPRODUCT((BCC_MA=$B62)*IFERROR(VALUE(SUBSTITUTE($AC$6:$AC$100,"N","")),0)),SUMPRODUCT((BCC_MA=$B62)*IFERROR(VALUE(SUBSTITUTE($AD$6:$AD$100,"N","")),0)),SUMPRODUCT((BCC_MA=$B62)*IFERROR(VALUE(SUBSTITUTE($AE$6:$AE$100,"N","")),0)),SUMPRODUCT((BCC_MA=$B62)*IFERROR(VALUE(SUBSTITUTE($AF$6:$AF$100,"N","")),0)),SUMPRODUCT((BCC_MA=$B62)*IFERROR(VALUE(SUBSTITUTE($AG$6:$AG$100,"N","")),0)),SUMPRODUCT((BCC_MA=$B62)*IFERROR(VALUE(SUBSTITUTE($AH$6:$AH$100,"N","")),0)),SUMPRODUCT((BCC_MA=$B62)*IFERROR(VALUE(SUBSTITUTE($AI$6:$AI$100,"N","")),0)),SUMPRODUCT((BCC_MA=$B62)*IFERROR(VALUE(SUBSTITUTE($AJ$6:$AJ$100,"N","")),0)),SUMPRODUCT((BCC_MA=$B62)*IFERROR(VALUE(SUBSTITUTE($AK$6:$AK$100,"N","")),0))))</f>
        <v>8</v>
      </c>
    </row>
    <row r="63" customFormat="false" ht="15" hidden="false" customHeight="false" outlineLevel="0" collapsed="false">
      <c r="A63" s="17" t="n">
        <v>58</v>
      </c>
      <c r="B63" s="10" t="s">
        <v>216</v>
      </c>
      <c r="C63" s="17" t="str">
        <f aca="false">IF(B63="","",IFERROR(INDEX(NV_TEN,MATCH(B63,NV_MA,0)),"MÃ KHÔNG CÓ"))</f>
        <v>Ken</v>
      </c>
      <c r="D63" s="10" t="s">
        <v>81</v>
      </c>
      <c r="E63" s="18"/>
      <c r="F63" s="17" t="n">
        <f aca="false">IF(D63="","",IFERROR(INDEX(NH_GIO,MATCH(D63,NH_TEN,0)),"NHÓM?"))</f>
        <v>8</v>
      </c>
      <c r="G63" s="21"/>
      <c r="H63" s="21"/>
      <c r="I63" s="21"/>
      <c r="J63" s="21"/>
      <c r="K63" s="21"/>
      <c r="L63" s="21"/>
      <c r="M63" s="21"/>
      <c r="N63" s="21"/>
      <c r="O63" s="21"/>
      <c r="P63" s="21"/>
      <c r="Q63" s="21"/>
      <c r="R63" s="21"/>
      <c r="S63" s="21" t="n">
        <v>8</v>
      </c>
      <c r="T63" s="21" t="n">
        <v>8</v>
      </c>
      <c r="U63" s="21" t="n">
        <v>8</v>
      </c>
      <c r="V63" s="21" t="n">
        <v>8</v>
      </c>
      <c r="W63" s="21" t="n">
        <v>8</v>
      </c>
      <c r="X63" s="21" t="n">
        <v>8</v>
      </c>
      <c r="Y63" s="21" t="n">
        <v>8</v>
      </c>
      <c r="Z63" s="21" t="n">
        <v>8</v>
      </c>
      <c r="AA63" s="21" t="n">
        <v>8</v>
      </c>
      <c r="AB63" s="21" t="n">
        <v>8</v>
      </c>
      <c r="AC63" s="21" t="n">
        <v>8</v>
      </c>
      <c r="AD63" s="21" t="n">
        <v>8</v>
      </c>
      <c r="AE63" s="21" t="n">
        <v>8</v>
      </c>
      <c r="AF63" s="21" t="n">
        <v>8</v>
      </c>
      <c r="AG63" s="21" t="n">
        <v>8</v>
      </c>
      <c r="AH63" s="21" t="n">
        <v>8</v>
      </c>
      <c r="AI63" s="21" t="n">
        <v>8</v>
      </c>
      <c r="AJ63" s="21" t="n">
        <v>8</v>
      </c>
      <c r="AK63" s="21" t="n">
        <v>8</v>
      </c>
      <c r="AL63" s="22" t="n">
        <f aca="false">IF(B63="","",SUMPRODUCT(IFERROR(VALUE(SUBSTITUTE(G63:AK63,"N","")),0)))</f>
        <v>152</v>
      </c>
      <c r="AM63" s="23" t="n">
        <f aca="false">IF(B63="","",AL63/F63)</f>
        <v>19</v>
      </c>
      <c r="AN63" s="23" t="n">
        <f aca="false">IF(B63="","",SUMPRODUCT(ISNUMBER(SEARCH("N",G63:AK63))*IFERROR(VALUE(SUBSTITUTE(G63:AK63,"N","")),0))/F63)</f>
        <v>0</v>
      </c>
      <c r="AO63" s="10"/>
      <c r="AP63" s="10"/>
      <c r="AQ63" s="10"/>
      <c r="AR63" s="24" t="n">
        <f aca="false">IF(B63="",0,MAX(SUMPRODUCT((BCC_MA=$B63)*IFERROR(VALUE(SUBSTITUTE($G$6:$G$100,"N","")),0)),SUMPRODUCT((BCC_MA=$B63)*IFERROR(VALUE(SUBSTITUTE($H$6:$H$100,"N","")),0)),SUMPRODUCT((BCC_MA=$B63)*IFERROR(VALUE(SUBSTITUTE($I$6:$I$100,"N","")),0)),SUMPRODUCT((BCC_MA=$B63)*IFERROR(VALUE(SUBSTITUTE($J$6:$J$100,"N","")),0)),SUMPRODUCT((BCC_MA=$B63)*IFERROR(VALUE(SUBSTITUTE($K$6:$K$100,"N","")),0)),SUMPRODUCT((BCC_MA=$B63)*IFERROR(VALUE(SUBSTITUTE($L$6:$L$100,"N","")),0)),SUMPRODUCT((BCC_MA=$B63)*IFERROR(VALUE(SUBSTITUTE($M$6:$M$100,"N","")),0)),SUMPRODUCT((BCC_MA=$B63)*IFERROR(VALUE(SUBSTITUTE($N$6:$N$100,"N","")),0)),SUMPRODUCT((BCC_MA=$B63)*IFERROR(VALUE(SUBSTITUTE($O$6:$O$100,"N","")),0)),SUMPRODUCT((BCC_MA=$B63)*IFERROR(VALUE(SUBSTITUTE($P$6:$P$100,"N","")),0)),SUMPRODUCT((BCC_MA=$B63)*IFERROR(VALUE(SUBSTITUTE($Q$6:$Q$100,"N","")),0)),SUMPRODUCT((BCC_MA=$B63)*IFERROR(VALUE(SUBSTITUTE($R$6:$R$100,"N","")),0)),SUMPRODUCT((BCC_MA=$B63)*IFERROR(VALUE(SUBSTITUTE($S$6:$S$100,"N","")),0)),SUMPRODUCT((BCC_MA=$B63)*IFERROR(VALUE(SUBSTITUTE($T$6:$T$100,"N","")),0)),SUMPRODUCT((BCC_MA=$B63)*IFERROR(VALUE(SUBSTITUTE($U$6:$U$100,"N","")),0)),SUMPRODUCT((BCC_MA=$B63)*IFERROR(VALUE(SUBSTITUTE($V$6:$V$100,"N","")),0)),SUMPRODUCT((BCC_MA=$B63)*IFERROR(VALUE(SUBSTITUTE($W$6:$W$100,"N","")),0)),SUMPRODUCT((BCC_MA=$B63)*IFERROR(VALUE(SUBSTITUTE($X$6:$X$100,"N","")),0)),SUMPRODUCT((BCC_MA=$B63)*IFERROR(VALUE(SUBSTITUTE($Y$6:$Y$100,"N","")),0)),SUMPRODUCT((BCC_MA=$B63)*IFERROR(VALUE(SUBSTITUTE($Z$6:$Z$100,"N","")),0)),SUMPRODUCT((BCC_MA=$B63)*IFERROR(VALUE(SUBSTITUTE($AA$6:$AA$100,"N","")),0)),SUMPRODUCT((BCC_MA=$B63)*IFERROR(VALUE(SUBSTITUTE($AB$6:$AB$100,"N","")),0)),SUMPRODUCT((BCC_MA=$B63)*IFERROR(VALUE(SUBSTITUTE($AC$6:$AC$100,"N","")),0)),SUMPRODUCT((BCC_MA=$B63)*IFERROR(VALUE(SUBSTITUTE($AD$6:$AD$100,"N","")),0)),SUMPRODUCT((BCC_MA=$B63)*IFERROR(VALUE(SUBSTITUTE($AE$6:$AE$100,"N","")),0)),SUMPRODUCT((BCC_MA=$B63)*IFERROR(VALUE(SUBSTITUTE($AF$6:$AF$100,"N","")),0)),SUMPRODUCT((BCC_MA=$B63)*IFERROR(VALUE(SUBSTITUTE($AG$6:$AG$100,"N","")),0)),SUMPRODUCT((BCC_MA=$B63)*IFERROR(VALUE(SUBSTITUTE($AH$6:$AH$100,"N","")),0)),SUMPRODUCT((BCC_MA=$B63)*IFERROR(VALUE(SUBSTITUTE($AI$6:$AI$100,"N","")),0)),SUMPRODUCT((BCC_MA=$B63)*IFERROR(VALUE(SUBSTITUTE($AJ$6:$AJ$100,"N","")),0)),SUMPRODUCT((BCC_MA=$B63)*IFERROR(VALUE(SUBSTITUTE($AK$6:$AK$100,"N","")),0))))</f>
        <v>8</v>
      </c>
    </row>
    <row r="64" customFormat="false" ht="15" hidden="false" customHeight="false" outlineLevel="0" collapsed="false">
      <c r="A64" s="17" t="n">
        <v>59</v>
      </c>
      <c r="B64" s="10" t="s">
        <v>218</v>
      </c>
      <c r="C64" s="17" t="str">
        <f aca="false">IF(B64="","",IFERROR(INDEX(NV_TEN,MATCH(B64,NV_MA,0)),"MÃ KHÔNG CÓ"))</f>
        <v>Dương</v>
      </c>
      <c r="D64" s="10" t="s">
        <v>81</v>
      </c>
      <c r="E64" s="18"/>
      <c r="F64" s="17" t="n">
        <f aca="false">IF(D64="","",IFERROR(INDEX(NH_GIO,MATCH(D64,NH_TEN,0)),"NHÓM?"))</f>
        <v>8</v>
      </c>
      <c r="G64" s="21" t="n">
        <v>8</v>
      </c>
      <c r="H64" s="21" t="n">
        <v>8</v>
      </c>
      <c r="I64" s="21" t="n">
        <v>8</v>
      </c>
      <c r="J64" s="21" t="n">
        <v>8</v>
      </c>
      <c r="K64" s="21" t="n">
        <v>8</v>
      </c>
      <c r="L64" s="21" t="n">
        <v>8</v>
      </c>
      <c r="M64" s="21" t="n">
        <v>8</v>
      </c>
      <c r="N64" s="21" t="n">
        <v>8</v>
      </c>
      <c r="O64" s="21" t="n">
        <v>8</v>
      </c>
      <c r="P64" s="21" t="n">
        <v>8</v>
      </c>
      <c r="Q64" s="21" t="n">
        <v>8</v>
      </c>
      <c r="R64" s="21" t="n">
        <v>8</v>
      </c>
      <c r="S64" s="21" t="n">
        <v>8</v>
      </c>
      <c r="T64" s="21" t="n">
        <v>8</v>
      </c>
      <c r="U64" s="21" t="n">
        <v>8</v>
      </c>
      <c r="V64" s="21" t="n">
        <v>8</v>
      </c>
      <c r="W64" s="21" t="n">
        <v>8</v>
      </c>
      <c r="X64" s="21" t="n">
        <v>8</v>
      </c>
      <c r="Y64" s="21" t="n">
        <v>8</v>
      </c>
      <c r="Z64" s="21" t="n">
        <v>8</v>
      </c>
      <c r="AA64" s="21" t="n">
        <v>8</v>
      </c>
      <c r="AB64" s="21" t="n">
        <v>8</v>
      </c>
      <c r="AC64" s="21" t="n">
        <v>8</v>
      </c>
      <c r="AD64" s="21" t="n">
        <v>8</v>
      </c>
      <c r="AE64" s="21" t="n">
        <v>8</v>
      </c>
      <c r="AF64" s="21" t="n">
        <v>8</v>
      </c>
      <c r="AG64" s="21" t="n">
        <v>8</v>
      </c>
      <c r="AH64" s="21" t="n">
        <v>8</v>
      </c>
      <c r="AI64" s="21" t="n">
        <v>8</v>
      </c>
      <c r="AJ64" s="21" t="n">
        <v>8</v>
      </c>
      <c r="AK64" s="21" t="n">
        <v>8</v>
      </c>
      <c r="AL64" s="22" t="n">
        <f aca="false">IF(B64="","",SUMPRODUCT(IFERROR(VALUE(SUBSTITUTE(G64:AK64,"N","")),0)))</f>
        <v>248</v>
      </c>
      <c r="AM64" s="23" t="n">
        <f aca="false">IF(B64="","",AL64/F64)</f>
        <v>31</v>
      </c>
      <c r="AN64" s="23" t="n">
        <f aca="false">IF(B64="","",SUMPRODUCT(ISNUMBER(SEARCH("N",G64:AK64))*IFERROR(VALUE(SUBSTITUTE(G64:AK64,"N","")),0))/F64)</f>
        <v>0</v>
      </c>
      <c r="AO64" s="10"/>
      <c r="AP64" s="10"/>
      <c r="AQ64" s="10"/>
      <c r="AR64" s="24" t="n">
        <f aca="false">IF(B64="",0,MAX(SUMPRODUCT((BCC_MA=$B64)*IFERROR(VALUE(SUBSTITUTE($G$6:$G$100,"N","")),0)),SUMPRODUCT((BCC_MA=$B64)*IFERROR(VALUE(SUBSTITUTE($H$6:$H$100,"N","")),0)),SUMPRODUCT((BCC_MA=$B64)*IFERROR(VALUE(SUBSTITUTE($I$6:$I$100,"N","")),0)),SUMPRODUCT((BCC_MA=$B64)*IFERROR(VALUE(SUBSTITUTE($J$6:$J$100,"N","")),0)),SUMPRODUCT((BCC_MA=$B64)*IFERROR(VALUE(SUBSTITUTE($K$6:$K$100,"N","")),0)),SUMPRODUCT((BCC_MA=$B64)*IFERROR(VALUE(SUBSTITUTE($L$6:$L$100,"N","")),0)),SUMPRODUCT((BCC_MA=$B64)*IFERROR(VALUE(SUBSTITUTE($M$6:$M$100,"N","")),0)),SUMPRODUCT((BCC_MA=$B64)*IFERROR(VALUE(SUBSTITUTE($N$6:$N$100,"N","")),0)),SUMPRODUCT((BCC_MA=$B64)*IFERROR(VALUE(SUBSTITUTE($O$6:$O$100,"N","")),0)),SUMPRODUCT((BCC_MA=$B64)*IFERROR(VALUE(SUBSTITUTE($P$6:$P$100,"N","")),0)),SUMPRODUCT((BCC_MA=$B64)*IFERROR(VALUE(SUBSTITUTE($Q$6:$Q$100,"N","")),0)),SUMPRODUCT((BCC_MA=$B64)*IFERROR(VALUE(SUBSTITUTE($R$6:$R$100,"N","")),0)),SUMPRODUCT((BCC_MA=$B64)*IFERROR(VALUE(SUBSTITUTE($S$6:$S$100,"N","")),0)),SUMPRODUCT((BCC_MA=$B64)*IFERROR(VALUE(SUBSTITUTE($T$6:$T$100,"N","")),0)),SUMPRODUCT((BCC_MA=$B64)*IFERROR(VALUE(SUBSTITUTE($U$6:$U$100,"N","")),0)),SUMPRODUCT((BCC_MA=$B64)*IFERROR(VALUE(SUBSTITUTE($V$6:$V$100,"N","")),0)),SUMPRODUCT((BCC_MA=$B64)*IFERROR(VALUE(SUBSTITUTE($W$6:$W$100,"N","")),0)),SUMPRODUCT((BCC_MA=$B64)*IFERROR(VALUE(SUBSTITUTE($X$6:$X$100,"N","")),0)),SUMPRODUCT((BCC_MA=$B64)*IFERROR(VALUE(SUBSTITUTE($Y$6:$Y$100,"N","")),0)),SUMPRODUCT((BCC_MA=$B64)*IFERROR(VALUE(SUBSTITUTE($Z$6:$Z$100,"N","")),0)),SUMPRODUCT((BCC_MA=$B64)*IFERROR(VALUE(SUBSTITUTE($AA$6:$AA$100,"N","")),0)),SUMPRODUCT((BCC_MA=$B64)*IFERROR(VALUE(SUBSTITUTE($AB$6:$AB$100,"N","")),0)),SUMPRODUCT((BCC_MA=$B64)*IFERROR(VALUE(SUBSTITUTE($AC$6:$AC$100,"N","")),0)),SUMPRODUCT((BCC_MA=$B64)*IFERROR(VALUE(SUBSTITUTE($AD$6:$AD$100,"N","")),0)),SUMPRODUCT((BCC_MA=$B64)*IFERROR(VALUE(SUBSTITUTE($AE$6:$AE$100,"N","")),0)),SUMPRODUCT((BCC_MA=$B64)*IFERROR(VALUE(SUBSTITUTE($AF$6:$AF$100,"N","")),0)),SUMPRODUCT((BCC_MA=$B64)*IFERROR(VALUE(SUBSTITUTE($AG$6:$AG$100,"N","")),0)),SUMPRODUCT((BCC_MA=$B64)*IFERROR(VALUE(SUBSTITUTE($AH$6:$AH$100,"N","")),0)),SUMPRODUCT((BCC_MA=$B64)*IFERROR(VALUE(SUBSTITUTE($AI$6:$AI$100,"N","")),0)),SUMPRODUCT((BCC_MA=$B64)*IFERROR(VALUE(SUBSTITUTE($AJ$6:$AJ$100,"N","")),0)),SUMPRODUCT((BCC_MA=$B64)*IFERROR(VALUE(SUBSTITUTE($AK$6:$AK$100,"N","")),0))))</f>
        <v>8</v>
      </c>
    </row>
    <row r="65" customFormat="false" ht="15" hidden="false" customHeight="false" outlineLevel="0" collapsed="false">
      <c r="A65" s="17" t="str">
        <f aca="false">IF(B65="","",ROW()-5)</f>
        <v/>
      </c>
      <c r="B65" s="10"/>
      <c r="C65" s="17" t="str">
        <f aca="false">IF(B65="","",IFERROR(INDEX(NV_TEN,MATCH(B65,NV_MA,0)),"MÃ KHÔNG CÓ"))</f>
        <v/>
      </c>
      <c r="D65" s="10"/>
      <c r="E65" s="18"/>
      <c r="F65" s="17" t="str">
        <f aca="false">IF(D65="","",IFERROR(INDEX(NH_GIO,MATCH(D65,NH_TEN,0)),"NHÓM?"))</f>
        <v/>
      </c>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2" t="str">
        <f aca="false">IF(B65="","",SUMPRODUCT(IFERROR(VALUE(SUBSTITUTE(G65:AK65,"N","")),0)))</f>
        <v/>
      </c>
      <c r="AM65" s="23" t="str">
        <f aca="false">IF(B65="","",AL65/F65)</f>
        <v/>
      </c>
      <c r="AN65" s="23" t="str">
        <f aca="false">IF(B65="","",SUMPRODUCT(ISNUMBER(SEARCH("N",G65:AK65))*IFERROR(VALUE(SUBSTITUTE(G65:AK65,"N","")),0))/F65)</f>
        <v/>
      </c>
      <c r="AO65" s="10"/>
      <c r="AP65" s="10"/>
      <c r="AQ65" s="10"/>
      <c r="AR65" s="24" t="n">
        <f aca="false">IF(B65="",0,MAX(SUMPRODUCT((BCC_MA=$B65)*IFERROR(VALUE(SUBSTITUTE($G$6:$G$100,"N","")),0)),SUMPRODUCT((BCC_MA=$B65)*IFERROR(VALUE(SUBSTITUTE($H$6:$H$100,"N","")),0)),SUMPRODUCT((BCC_MA=$B65)*IFERROR(VALUE(SUBSTITUTE($I$6:$I$100,"N","")),0)),SUMPRODUCT((BCC_MA=$B65)*IFERROR(VALUE(SUBSTITUTE($J$6:$J$100,"N","")),0)),SUMPRODUCT((BCC_MA=$B65)*IFERROR(VALUE(SUBSTITUTE($K$6:$K$100,"N","")),0)),SUMPRODUCT((BCC_MA=$B65)*IFERROR(VALUE(SUBSTITUTE($L$6:$L$100,"N","")),0)),SUMPRODUCT((BCC_MA=$B65)*IFERROR(VALUE(SUBSTITUTE($M$6:$M$100,"N","")),0)),SUMPRODUCT((BCC_MA=$B65)*IFERROR(VALUE(SUBSTITUTE($N$6:$N$100,"N","")),0)),SUMPRODUCT((BCC_MA=$B65)*IFERROR(VALUE(SUBSTITUTE($O$6:$O$100,"N","")),0)),SUMPRODUCT((BCC_MA=$B65)*IFERROR(VALUE(SUBSTITUTE($P$6:$P$100,"N","")),0)),SUMPRODUCT((BCC_MA=$B65)*IFERROR(VALUE(SUBSTITUTE($Q$6:$Q$100,"N","")),0)),SUMPRODUCT((BCC_MA=$B65)*IFERROR(VALUE(SUBSTITUTE($R$6:$R$100,"N","")),0)),SUMPRODUCT((BCC_MA=$B65)*IFERROR(VALUE(SUBSTITUTE($S$6:$S$100,"N","")),0)),SUMPRODUCT((BCC_MA=$B65)*IFERROR(VALUE(SUBSTITUTE($T$6:$T$100,"N","")),0)),SUMPRODUCT((BCC_MA=$B65)*IFERROR(VALUE(SUBSTITUTE($U$6:$U$100,"N","")),0)),SUMPRODUCT((BCC_MA=$B65)*IFERROR(VALUE(SUBSTITUTE($V$6:$V$100,"N","")),0)),SUMPRODUCT((BCC_MA=$B65)*IFERROR(VALUE(SUBSTITUTE($W$6:$W$100,"N","")),0)),SUMPRODUCT((BCC_MA=$B65)*IFERROR(VALUE(SUBSTITUTE($X$6:$X$100,"N","")),0)),SUMPRODUCT((BCC_MA=$B65)*IFERROR(VALUE(SUBSTITUTE($Y$6:$Y$100,"N","")),0)),SUMPRODUCT((BCC_MA=$B65)*IFERROR(VALUE(SUBSTITUTE($Z$6:$Z$100,"N","")),0)),SUMPRODUCT((BCC_MA=$B65)*IFERROR(VALUE(SUBSTITUTE($AA$6:$AA$100,"N","")),0)),SUMPRODUCT((BCC_MA=$B65)*IFERROR(VALUE(SUBSTITUTE($AB$6:$AB$100,"N","")),0)),SUMPRODUCT((BCC_MA=$B65)*IFERROR(VALUE(SUBSTITUTE($AC$6:$AC$100,"N","")),0)),SUMPRODUCT((BCC_MA=$B65)*IFERROR(VALUE(SUBSTITUTE($AD$6:$AD$100,"N","")),0)),SUMPRODUCT((BCC_MA=$B65)*IFERROR(VALUE(SUBSTITUTE($AE$6:$AE$100,"N","")),0)),SUMPRODUCT((BCC_MA=$B65)*IFERROR(VALUE(SUBSTITUTE($AF$6:$AF$100,"N","")),0)),SUMPRODUCT((BCC_MA=$B65)*IFERROR(VALUE(SUBSTITUTE($AG$6:$AG$100,"N","")),0)),SUMPRODUCT((BCC_MA=$B65)*IFERROR(VALUE(SUBSTITUTE($AH$6:$AH$100,"N","")),0)),SUMPRODUCT((BCC_MA=$B65)*IFERROR(VALUE(SUBSTITUTE($AI$6:$AI$100,"N","")),0)),SUMPRODUCT((BCC_MA=$B65)*IFERROR(VALUE(SUBSTITUTE($AJ$6:$AJ$100,"N","")),0)),SUMPRODUCT((BCC_MA=$B65)*IFERROR(VALUE(SUBSTITUTE($AK$6:$AK$100,"N","")),0))))</f>
        <v>0</v>
      </c>
    </row>
    <row r="66" customFormat="false" ht="15" hidden="false" customHeight="false" outlineLevel="0" collapsed="false">
      <c r="A66" s="17" t="str">
        <f aca="false">IF(B66="","",ROW()-5)</f>
        <v/>
      </c>
      <c r="B66" s="10"/>
      <c r="C66" s="17" t="str">
        <f aca="false">IF(B66="","",IFERROR(INDEX(NV_TEN,MATCH(B66,NV_MA,0)),"MÃ KHÔNG CÓ"))</f>
        <v/>
      </c>
      <c r="D66" s="10"/>
      <c r="E66" s="18"/>
      <c r="F66" s="17" t="str">
        <f aca="false">IF(D66="","",IFERROR(INDEX(NH_GIO,MATCH(D66,NH_TEN,0)),"NHÓM?"))</f>
        <v/>
      </c>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2" t="str">
        <f aca="false">IF(B66="","",SUMPRODUCT(IFERROR(VALUE(SUBSTITUTE(G66:AK66,"N","")),0)))</f>
        <v/>
      </c>
      <c r="AM66" s="23" t="str">
        <f aca="false">IF(B66="","",AL66/F66)</f>
        <v/>
      </c>
      <c r="AN66" s="23" t="str">
        <f aca="false">IF(B66="","",SUMPRODUCT(ISNUMBER(SEARCH("N",G66:AK66))*IFERROR(VALUE(SUBSTITUTE(G66:AK66,"N","")),0))/F66)</f>
        <v/>
      </c>
      <c r="AO66" s="10"/>
      <c r="AP66" s="10"/>
      <c r="AQ66" s="10"/>
      <c r="AR66" s="24" t="n">
        <f aca="false">IF(B66="",0,MAX(SUMPRODUCT((BCC_MA=$B66)*IFERROR(VALUE(SUBSTITUTE($G$6:$G$100,"N","")),0)),SUMPRODUCT((BCC_MA=$B66)*IFERROR(VALUE(SUBSTITUTE($H$6:$H$100,"N","")),0)),SUMPRODUCT((BCC_MA=$B66)*IFERROR(VALUE(SUBSTITUTE($I$6:$I$100,"N","")),0)),SUMPRODUCT((BCC_MA=$B66)*IFERROR(VALUE(SUBSTITUTE($J$6:$J$100,"N","")),0)),SUMPRODUCT((BCC_MA=$B66)*IFERROR(VALUE(SUBSTITUTE($K$6:$K$100,"N","")),0)),SUMPRODUCT((BCC_MA=$B66)*IFERROR(VALUE(SUBSTITUTE($L$6:$L$100,"N","")),0)),SUMPRODUCT((BCC_MA=$B66)*IFERROR(VALUE(SUBSTITUTE($M$6:$M$100,"N","")),0)),SUMPRODUCT((BCC_MA=$B66)*IFERROR(VALUE(SUBSTITUTE($N$6:$N$100,"N","")),0)),SUMPRODUCT((BCC_MA=$B66)*IFERROR(VALUE(SUBSTITUTE($O$6:$O$100,"N","")),0)),SUMPRODUCT((BCC_MA=$B66)*IFERROR(VALUE(SUBSTITUTE($P$6:$P$100,"N","")),0)),SUMPRODUCT((BCC_MA=$B66)*IFERROR(VALUE(SUBSTITUTE($Q$6:$Q$100,"N","")),0)),SUMPRODUCT((BCC_MA=$B66)*IFERROR(VALUE(SUBSTITUTE($R$6:$R$100,"N","")),0)),SUMPRODUCT((BCC_MA=$B66)*IFERROR(VALUE(SUBSTITUTE($S$6:$S$100,"N","")),0)),SUMPRODUCT((BCC_MA=$B66)*IFERROR(VALUE(SUBSTITUTE($T$6:$T$100,"N","")),0)),SUMPRODUCT((BCC_MA=$B66)*IFERROR(VALUE(SUBSTITUTE($U$6:$U$100,"N","")),0)),SUMPRODUCT((BCC_MA=$B66)*IFERROR(VALUE(SUBSTITUTE($V$6:$V$100,"N","")),0)),SUMPRODUCT((BCC_MA=$B66)*IFERROR(VALUE(SUBSTITUTE($W$6:$W$100,"N","")),0)),SUMPRODUCT((BCC_MA=$B66)*IFERROR(VALUE(SUBSTITUTE($X$6:$X$100,"N","")),0)),SUMPRODUCT((BCC_MA=$B66)*IFERROR(VALUE(SUBSTITUTE($Y$6:$Y$100,"N","")),0)),SUMPRODUCT((BCC_MA=$B66)*IFERROR(VALUE(SUBSTITUTE($Z$6:$Z$100,"N","")),0)),SUMPRODUCT((BCC_MA=$B66)*IFERROR(VALUE(SUBSTITUTE($AA$6:$AA$100,"N","")),0)),SUMPRODUCT((BCC_MA=$B66)*IFERROR(VALUE(SUBSTITUTE($AB$6:$AB$100,"N","")),0)),SUMPRODUCT((BCC_MA=$B66)*IFERROR(VALUE(SUBSTITUTE($AC$6:$AC$100,"N","")),0)),SUMPRODUCT((BCC_MA=$B66)*IFERROR(VALUE(SUBSTITUTE($AD$6:$AD$100,"N","")),0)),SUMPRODUCT((BCC_MA=$B66)*IFERROR(VALUE(SUBSTITUTE($AE$6:$AE$100,"N","")),0)),SUMPRODUCT((BCC_MA=$B66)*IFERROR(VALUE(SUBSTITUTE($AF$6:$AF$100,"N","")),0)),SUMPRODUCT((BCC_MA=$B66)*IFERROR(VALUE(SUBSTITUTE($AG$6:$AG$100,"N","")),0)),SUMPRODUCT((BCC_MA=$B66)*IFERROR(VALUE(SUBSTITUTE($AH$6:$AH$100,"N","")),0)),SUMPRODUCT((BCC_MA=$B66)*IFERROR(VALUE(SUBSTITUTE($AI$6:$AI$100,"N","")),0)),SUMPRODUCT((BCC_MA=$B66)*IFERROR(VALUE(SUBSTITUTE($AJ$6:$AJ$100,"N","")),0)),SUMPRODUCT((BCC_MA=$B66)*IFERROR(VALUE(SUBSTITUTE($AK$6:$AK$100,"N","")),0))))</f>
        <v>0</v>
      </c>
    </row>
    <row r="67" customFormat="false" ht="15" hidden="false" customHeight="false" outlineLevel="0" collapsed="false">
      <c r="A67" s="17" t="str">
        <f aca="false">IF(B67="","",ROW()-5)</f>
        <v/>
      </c>
      <c r="B67" s="10"/>
      <c r="C67" s="17" t="str">
        <f aca="false">IF(B67="","",IFERROR(INDEX(NV_TEN,MATCH(B67,NV_MA,0)),"MÃ KHÔNG CÓ"))</f>
        <v/>
      </c>
      <c r="D67" s="10"/>
      <c r="E67" s="18"/>
      <c r="F67" s="17" t="str">
        <f aca="false">IF(D67="","",IFERROR(INDEX(NH_GIO,MATCH(D67,NH_TEN,0)),"NHÓM?"))</f>
        <v/>
      </c>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2" t="str">
        <f aca="false">IF(B67="","",SUMPRODUCT(IFERROR(VALUE(SUBSTITUTE(G67:AK67,"N","")),0)))</f>
        <v/>
      </c>
      <c r="AM67" s="23" t="str">
        <f aca="false">IF(B67="","",AL67/F67)</f>
        <v/>
      </c>
      <c r="AN67" s="23" t="str">
        <f aca="false">IF(B67="","",SUMPRODUCT(ISNUMBER(SEARCH("N",G67:AK67))*IFERROR(VALUE(SUBSTITUTE(G67:AK67,"N","")),0))/F67)</f>
        <v/>
      </c>
      <c r="AO67" s="10"/>
      <c r="AP67" s="10"/>
      <c r="AQ67" s="10"/>
      <c r="AR67" s="24" t="n">
        <f aca="false">IF(B67="",0,MAX(SUMPRODUCT((BCC_MA=$B67)*IFERROR(VALUE(SUBSTITUTE($G$6:$G$100,"N","")),0)),SUMPRODUCT((BCC_MA=$B67)*IFERROR(VALUE(SUBSTITUTE($H$6:$H$100,"N","")),0)),SUMPRODUCT((BCC_MA=$B67)*IFERROR(VALUE(SUBSTITUTE($I$6:$I$100,"N","")),0)),SUMPRODUCT((BCC_MA=$B67)*IFERROR(VALUE(SUBSTITUTE($J$6:$J$100,"N","")),0)),SUMPRODUCT((BCC_MA=$B67)*IFERROR(VALUE(SUBSTITUTE($K$6:$K$100,"N","")),0)),SUMPRODUCT((BCC_MA=$B67)*IFERROR(VALUE(SUBSTITUTE($L$6:$L$100,"N","")),0)),SUMPRODUCT((BCC_MA=$B67)*IFERROR(VALUE(SUBSTITUTE($M$6:$M$100,"N","")),0)),SUMPRODUCT((BCC_MA=$B67)*IFERROR(VALUE(SUBSTITUTE($N$6:$N$100,"N","")),0)),SUMPRODUCT((BCC_MA=$B67)*IFERROR(VALUE(SUBSTITUTE($O$6:$O$100,"N","")),0)),SUMPRODUCT((BCC_MA=$B67)*IFERROR(VALUE(SUBSTITUTE($P$6:$P$100,"N","")),0)),SUMPRODUCT((BCC_MA=$B67)*IFERROR(VALUE(SUBSTITUTE($Q$6:$Q$100,"N","")),0)),SUMPRODUCT((BCC_MA=$B67)*IFERROR(VALUE(SUBSTITUTE($R$6:$R$100,"N","")),0)),SUMPRODUCT((BCC_MA=$B67)*IFERROR(VALUE(SUBSTITUTE($S$6:$S$100,"N","")),0)),SUMPRODUCT((BCC_MA=$B67)*IFERROR(VALUE(SUBSTITUTE($T$6:$T$100,"N","")),0)),SUMPRODUCT((BCC_MA=$B67)*IFERROR(VALUE(SUBSTITUTE($U$6:$U$100,"N","")),0)),SUMPRODUCT((BCC_MA=$B67)*IFERROR(VALUE(SUBSTITUTE($V$6:$V$100,"N","")),0)),SUMPRODUCT((BCC_MA=$B67)*IFERROR(VALUE(SUBSTITUTE($W$6:$W$100,"N","")),0)),SUMPRODUCT((BCC_MA=$B67)*IFERROR(VALUE(SUBSTITUTE($X$6:$X$100,"N","")),0)),SUMPRODUCT((BCC_MA=$B67)*IFERROR(VALUE(SUBSTITUTE($Y$6:$Y$100,"N","")),0)),SUMPRODUCT((BCC_MA=$B67)*IFERROR(VALUE(SUBSTITUTE($Z$6:$Z$100,"N","")),0)),SUMPRODUCT((BCC_MA=$B67)*IFERROR(VALUE(SUBSTITUTE($AA$6:$AA$100,"N","")),0)),SUMPRODUCT((BCC_MA=$B67)*IFERROR(VALUE(SUBSTITUTE($AB$6:$AB$100,"N","")),0)),SUMPRODUCT((BCC_MA=$B67)*IFERROR(VALUE(SUBSTITUTE($AC$6:$AC$100,"N","")),0)),SUMPRODUCT((BCC_MA=$B67)*IFERROR(VALUE(SUBSTITUTE($AD$6:$AD$100,"N","")),0)),SUMPRODUCT((BCC_MA=$B67)*IFERROR(VALUE(SUBSTITUTE($AE$6:$AE$100,"N","")),0)),SUMPRODUCT((BCC_MA=$B67)*IFERROR(VALUE(SUBSTITUTE($AF$6:$AF$100,"N","")),0)),SUMPRODUCT((BCC_MA=$B67)*IFERROR(VALUE(SUBSTITUTE($AG$6:$AG$100,"N","")),0)),SUMPRODUCT((BCC_MA=$B67)*IFERROR(VALUE(SUBSTITUTE($AH$6:$AH$100,"N","")),0)),SUMPRODUCT((BCC_MA=$B67)*IFERROR(VALUE(SUBSTITUTE($AI$6:$AI$100,"N","")),0)),SUMPRODUCT((BCC_MA=$B67)*IFERROR(VALUE(SUBSTITUTE($AJ$6:$AJ$100,"N","")),0)),SUMPRODUCT((BCC_MA=$B67)*IFERROR(VALUE(SUBSTITUTE($AK$6:$AK$100,"N","")),0))))</f>
        <v>0</v>
      </c>
    </row>
    <row r="68" customFormat="false" ht="15" hidden="false" customHeight="false" outlineLevel="0" collapsed="false">
      <c r="A68" s="17" t="str">
        <f aca="false">IF(B68="","",ROW()-5)</f>
        <v/>
      </c>
      <c r="B68" s="10"/>
      <c r="C68" s="17" t="str">
        <f aca="false">IF(B68="","",IFERROR(INDEX(NV_TEN,MATCH(B68,NV_MA,0)),"MÃ KHÔNG CÓ"))</f>
        <v/>
      </c>
      <c r="D68" s="10"/>
      <c r="E68" s="18"/>
      <c r="F68" s="17" t="str">
        <f aca="false">IF(D68="","",IFERROR(INDEX(NH_GIO,MATCH(D68,NH_TEN,0)),"NHÓM?"))</f>
        <v/>
      </c>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2" t="str">
        <f aca="false">IF(B68="","",SUMPRODUCT(IFERROR(VALUE(SUBSTITUTE(G68:AK68,"N","")),0)))</f>
        <v/>
      </c>
      <c r="AM68" s="23" t="str">
        <f aca="false">IF(B68="","",AL68/F68)</f>
        <v/>
      </c>
      <c r="AN68" s="23" t="str">
        <f aca="false">IF(B68="","",SUMPRODUCT(ISNUMBER(SEARCH("N",G68:AK68))*IFERROR(VALUE(SUBSTITUTE(G68:AK68,"N","")),0))/F68)</f>
        <v/>
      </c>
      <c r="AO68" s="10"/>
      <c r="AP68" s="10"/>
      <c r="AQ68" s="10"/>
      <c r="AR68" s="24" t="n">
        <f aca="false">IF(B68="",0,MAX(SUMPRODUCT((BCC_MA=$B68)*IFERROR(VALUE(SUBSTITUTE($G$6:$G$100,"N","")),0)),SUMPRODUCT((BCC_MA=$B68)*IFERROR(VALUE(SUBSTITUTE($H$6:$H$100,"N","")),0)),SUMPRODUCT((BCC_MA=$B68)*IFERROR(VALUE(SUBSTITUTE($I$6:$I$100,"N","")),0)),SUMPRODUCT((BCC_MA=$B68)*IFERROR(VALUE(SUBSTITUTE($J$6:$J$100,"N","")),0)),SUMPRODUCT((BCC_MA=$B68)*IFERROR(VALUE(SUBSTITUTE($K$6:$K$100,"N","")),0)),SUMPRODUCT((BCC_MA=$B68)*IFERROR(VALUE(SUBSTITUTE($L$6:$L$100,"N","")),0)),SUMPRODUCT((BCC_MA=$B68)*IFERROR(VALUE(SUBSTITUTE($M$6:$M$100,"N","")),0)),SUMPRODUCT((BCC_MA=$B68)*IFERROR(VALUE(SUBSTITUTE($N$6:$N$100,"N","")),0)),SUMPRODUCT((BCC_MA=$B68)*IFERROR(VALUE(SUBSTITUTE($O$6:$O$100,"N","")),0)),SUMPRODUCT((BCC_MA=$B68)*IFERROR(VALUE(SUBSTITUTE($P$6:$P$100,"N","")),0)),SUMPRODUCT((BCC_MA=$B68)*IFERROR(VALUE(SUBSTITUTE($Q$6:$Q$100,"N","")),0)),SUMPRODUCT((BCC_MA=$B68)*IFERROR(VALUE(SUBSTITUTE($R$6:$R$100,"N","")),0)),SUMPRODUCT((BCC_MA=$B68)*IFERROR(VALUE(SUBSTITUTE($S$6:$S$100,"N","")),0)),SUMPRODUCT((BCC_MA=$B68)*IFERROR(VALUE(SUBSTITUTE($T$6:$T$100,"N","")),0)),SUMPRODUCT((BCC_MA=$B68)*IFERROR(VALUE(SUBSTITUTE($U$6:$U$100,"N","")),0)),SUMPRODUCT((BCC_MA=$B68)*IFERROR(VALUE(SUBSTITUTE($V$6:$V$100,"N","")),0)),SUMPRODUCT((BCC_MA=$B68)*IFERROR(VALUE(SUBSTITUTE($W$6:$W$100,"N","")),0)),SUMPRODUCT((BCC_MA=$B68)*IFERROR(VALUE(SUBSTITUTE($X$6:$X$100,"N","")),0)),SUMPRODUCT((BCC_MA=$B68)*IFERROR(VALUE(SUBSTITUTE($Y$6:$Y$100,"N","")),0)),SUMPRODUCT((BCC_MA=$B68)*IFERROR(VALUE(SUBSTITUTE($Z$6:$Z$100,"N","")),0)),SUMPRODUCT((BCC_MA=$B68)*IFERROR(VALUE(SUBSTITUTE($AA$6:$AA$100,"N","")),0)),SUMPRODUCT((BCC_MA=$B68)*IFERROR(VALUE(SUBSTITUTE($AB$6:$AB$100,"N","")),0)),SUMPRODUCT((BCC_MA=$B68)*IFERROR(VALUE(SUBSTITUTE($AC$6:$AC$100,"N","")),0)),SUMPRODUCT((BCC_MA=$B68)*IFERROR(VALUE(SUBSTITUTE($AD$6:$AD$100,"N","")),0)),SUMPRODUCT((BCC_MA=$B68)*IFERROR(VALUE(SUBSTITUTE($AE$6:$AE$100,"N","")),0)),SUMPRODUCT((BCC_MA=$B68)*IFERROR(VALUE(SUBSTITUTE($AF$6:$AF$100,"N","")),0)),SUMPRODUCT((BCC_MA=$B68)*IFERROR(VALUE(SUBSTITUTE($AG$6:$AG$100,"N","")),0)),SUMPRODUCT((BCC_MA=$B68)*IFERROR(VALUE(SUBSTITUTE($AH$6:$AH$100,"N","")),0)),SUMPRODUCT((BCC_MA=$B68)*IFERROR(VALUE(SUBSTITUTE($AI$6:$AI$100,"N","")),0)),SUMPRODUCT((BCC_MA=$B68)*IFERROR(VALUE(SUBSTITUTE($AJ$6:$AJ$100,"N","")),0)),SUMPRODUCT((BCC_MA=$B68)*IFERROR(VALUE(SUBSTITUTE($AK$6:$AK$100,"N","")),0))))</f>
        <v>0</v>
      </c>
    </row>
    <row r="69" customFormat="false" ht="15" hidden="false" customHeight="false" outlineLevel="0" collapsed="false">
      <c r="A69" s="17" t="str">
        <f aca="false">IF(B69="","",ROW()-5)</f>
        <v/>
      </c>
      <c r="B69" s="10"/>
      <c r="C69" s="17" t="str">
        <f aca="false">IF(B69="","",IFERROR(INDEX(NV_TEN,MATCH(B69,NV_MA,0)),"MÃ KHÔNG CÓ"))</f>
        <v/>
      </c>
      <c r="D69" s="10"/>
      <c r="E69" s="18"/>
      <c r="F69" s="17" t="str">
        <f aca="false">IF(D69="","",IFERROR(INDEX(NH_GIO,MATCH(D69,NH_TEN,0)),"NHÓM?"))</f>
        <v/>
      </c>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2" t="str">
        <f aca="false">IF(B69="","",SUMPRODUCT(IFERROR(VALUE(SUBSTITUTE(G69:AK69,"N","")),0)))</f>
        <v/>
      </c>
      <c r="AM69" s="23" t="str">
        <f aca="false">IF(B69="","",AL69/F69)</f>
        <v/>
      </c>
      <c r="AN69" s="23" t="str">
        <f aca="false">IF(B69="","",SUMPRODUCT(ISNUMBER(SEARCH("N",G69:AK69))*IFERROR(VALUE(SUBSTITUTE(G69:AK69,"N","")),0))/F69)</f>
        <v/>
      </c>
      <c r="AO69" s="10"/>
      <c r="AP69" s="10"/>
      <c r="AQ69" s="10"/>
      <c r="AR69" s="24" t="n">
        <f aca="false">IF(B69="",0,MAX(SUMPRODUCT((BCC_MA=$B69)*IFERROR(VALUE(SUBSTITUTE($G$6:$G$100,"N","")),0)),SUMPRODUCT((BCC_MA=$B69)*IFERROR(VALUE(SUBSTITUTE($H$6:$H$100,"N","")),0)),SUMPRODUCT((BCC_MA=$B69)*IFERROR(VALUE(SUBSTITUTE($I$6:$I$100,"N","")),0)),SUMPRODUCT((BCC_MA=$B69)*IFERROR(VALUE(SUBSTITUTE($J$6:$J$100,"N","")),0)),SUMPRODUCT((BCC_MA=$B69)*IFERROR(VALUE(SUBSTITUTE($K$6:$K$100,"N","")),0)),SUMPRODUCT((BCC_MA=$B69)*IFERROR(VALUE(SUBSTITUTE($L$6:$L$100,"N","")),0)),SUMPRODUCT((BCC_MA=$B69)*IFERROR(VALUE(SUBSTITUTE($M$6:$M$100,"N","")),0)),SUMPRODUCT((BCC_MA=$B69)*IFERROR(VALUE(SUBSTITUTE($N$6:$N$100,"N","")),0)),SUMPRODUCT((BCC_MA=$B69)*IFERROR(VALUE(SUBSTITUTE($O$6:$O$100,"N","")),0)),SUMPRODUCT((BCC_MA=$B69)*IFERROR(VALUE(SUBSTITUTE($P$6:$P$100,"N","")),0)),SUMPRODUCT((BCC_MA=$B69)*IFERROR(VALUE(SUBSTITUTE($Q$6:$Q$100,"N","")),0)),SUMPRODUCT((BCC_MA=$B69)*IFERROR(VALUE(SUBSTITUTE($R$6:$R$100,"N","")),0)),SUMPRODUCT((BCC_MA=$B69)*IFERROR(VALUE(SUBSTITUTE($S$6:$S$100,"N","")),0)),SUMPRODUCT((BCC_MA=$B69)*IFERROR(VALUE(SUBSTITUTE($T$6:$T$100,"N","")),0)),SUMPRODUCT((BCC_MA=$B69)*IFERROR(VALUE(SUBSTITUTE($U$6:$U$100,"N","")),0)),SUMPRODUCT((BCC_MA=$B69)*IFERROR(VALUE(SUBSTITUTE($V$6:$V$100,"N","")),0)),SUMPRODUCT((BCC_MA=$B69)*IFERROR(VALUE(SUBSTITUTE($W$6:$W$100,"N","")),0)),SUMPRODUCT((BCC_MA=$B69)*IFERROR(VALUE(SUBSTITUTE($X$6:$X$100,"N","")),0)),SUMPRODUCT((BCC_MA=$B69)*IFERROR(VALUE(SUBSTITUTE($Y$6:$Y$100,"N","")),0)),SUMPRODUCT((BCC_MA=$B69)*IFERROR(VALUE(SUBSTITUTE($Z$6:$Z$100,"N","")),0)),SUMPRODUCT((BCC_MA=$B69)*IFERROR(VALUE(SUBSTITUTE($AA$6:$AA$100,"N","")),0)),SUMPRODUCT((BCC_MA=$B69)*IFERROR(VALUE(SUBSTITUTE($AB$6:$AB$100,"N","")),0)),SUMPRODUCT((BCC_MA=$B69)*IFERROR(VALUE(SUBSTITUTE($AC$6:$AC$100,"N","")),0)),SUMPRODUCT((BCC_MA=$B69)*IFERROR(VALUE(SUBSTITUTE($AD$6:$AD$100,"N","")),0)),SUMPRODUCT((BCC_MA=$B69)*IFERROR(VALUE(SUBSTITUTE($AE$6:$AE$100,"N","")),0)),SUMPRODUCT((BCC_MA=$B69)*IFERROR(VALUE(SUBSTITUTE($AF$6:$AF$100,"N","")),0)),SUMPRODUCT((BCC_MA=$B69)*IFERROR(VALUE(SUBSTITUTE($AG$6:$AG$100,"N","")),0)),SUMPRODUCT((BCC_MA=$B69)*IFERROR(VALUE(SUBSTITUTE($AH$6:$AH$100,"N","")),0)),SUMPRODUCT((BCC_MA=$B69)*IFERROR(VALUE(SUBSTITUTE($AI$6:$AI$100,"N","")),0)),SUMPRODUCT((BCC_MA=$B69)*IFERROR(VALUE(SUBSTITUTE($AJ$6:$AJ$100,"N","")),0)),SUMPRODUCT((BCC_MA=$B69)*IFERROR(VALUE(SUBSTITUTE($AK$6:$AK$100,"N","")),0))))</f>
        <v>0</v>
      </c>
    </row>
    <row r="70" customFormat="false" ht="15" hidden="false" customHeight="false" outlineLevel="0" collapsed="false">
      <c r="A70" s="17" t="str">
        <f aca="false">IF(B70="","",ROW()-5)</f>
        <v/>
      </c>
      <c r="B70" s="10"/>
      <c r="C70" s="17" t="str">
        <f aca="false">IF(B70="","",IFERROR(INDEX(NV_TEN,MATCH(B70,NV_MA,0)),"MÃ KHÔNG CÓ"))</f>
        <v/>
      </c>
      <c r="D70" s="10"/>
      <c r="E70" s="18"/>
      <c r="F70" s="17" t="str">
        <f aca="false">IF(D70="","",IFERROR(INDEX(NH_GIO,MATCH(D70,NH_TEN,0)),"NHÓM?"))</f>
        <v/>
      </c>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2" t="str">
        <f aca="false">IF(B70="","",SUMPRODUCT(IFERROR(VALUE(SUBSTITUTE(G70:AK70,"N","")),0)))</f>
        <v/>
      </c>
      <c r="AM70" s="23" t="str">
        <f aca="false">IF(B70="","",AL70/F70)</f>
        <v/>
      </c>
      <c r="AN70" s="23" t="str">
        <f aca="false">IF(B70="","",SUMPRODUCT(ISNUMBER(SEARCH("N",G70:AK70))*IFERROR(VALUE(SUBSTITUTE(G70:AK70,"N","")),0))/F70)</f>
        <v/>
      </c>
      <c r="AO70" s="10"/>
      <c r="AP70" s="10"/>
      <c r="AQ70" s="10"/>
      <c r="AR70" s="24" t="n">
        <f aca="false">IF(B70="",0,MAX(SUMPRODUCT((BCC_MA=$B70)*IFERROR(VALUE(SUBSTITUTE($G$6:$G$100,"N","")),0)),SUMPRODUCT((BCC_MA=$B70)*IFERROR(VALUE(SUBSTITUTE($H$6:$H$100,"N","")),0)),SUMPRODUCT((BCC_MA=$B70)*IFERROR(VALUE(SUBSTITUTE($I$6:$I$100,"N","")),0)),SUMPRODUCT((BCC_MA=$B70)*IFERROR(VALUE(SUBSTITUTE($J$6:$J$100,"N","")),0)),SUMPRODUCT((BCC_MA=$B70)*IFERROR(VALUE(SUBSTITUTE($K$6:$K$100,"N","")),0)),SUMPRODUCT((BCC_MA=$B70)*IFERROR(VALUE(SUBSTITUTE($L$6:$L$100,"N","")),0)),SUMPRODUCT((BCC_MA=$B70)*IFERROR(VALUE(SUBSTITUTE($M$6:$M$100,"N","")),0)),SUMPRODUCT((BCC_MA=$B70)*IFERROR(VALUE(SUBSTITUTE($N$6:$N$100,"N","")),0)),SUMPRODUCT((BCC_MA=$B70)*IFERROR(VALUE(SUBSTITUTE($O$6:$O$100,"N","")),0)),SUMPRODUCT((BCC_MA=$B70)*IFERROR(VALUE(SUBSTITUTE($P$6:$P$100,"N","")),0)),SUMPRODUCT((BCC_MA=$B70)*IFERROR(VALUE(SUBSTITUTE($Q$6:$Q$100,"N","")),0)),SUMPRODUCT((BCC_MA=$B70)*IFERROR(VALUE(SUBSTITUTE($R$6:$R$100,"N","")),0)),SUMPRODUCT((BCC_MA=$B70)*IFERROR(VALUE(SUBSTITUTE($S$6:$S$100,"N","")),0)),SUMPRODUCT((BCC_MA=$B70)*IFERROR(VALUE(SUBSTITUTE($T$6:$T$100,"N","")),0)),SUMPRODUCT((BCC_MA=$B70)*IFERROR(VALUE(SUBSTITUTE($U$6:$U$100,"N","")),0)),SUMPRODUCT((BCC_MA=$B70)*IFERROR(VALUE(SUBSTITUTE($V$6:$V$100,"N","")),0)),SUMPRODUCT((BCC_MA=$B70)*IFERROR(VALUE(SUBSTITUTE($W$6:$W$100,"N","")),0)),SUMPRODUCT((BCC_MA=$B70)*IFERROR(VALUE(SUBSTITUTE($X$6:$X$100,"N","")),0)),SUMPRODUCT((BCC_MA=$B70)*IFERROR(VALUE(SUBSTITUTE($Y$6:$Y$100,"N","")),0)),SUMPRODUCT((BCC_MA=$B70)*IFERROR(VALUE(SUBSTITUTE($Z$6:$Z$100,"N","")),0)),SUMPRODUCT((BCC_MA=$B70)*IFERROR(VALUE(SUBSTITUTE($AA$6:$AA$100,"N","")),0)),SUMPRODUCT((BCC_MA=$B70)*IFERROR(VALUE(SUBSTITUTE($AB$6:$AB$100,"N","")),0)),SUMPRODUCT((BCC_MA=$B70)*IFERROR(VALUE(SUBSTITUTE($AC$6:$AC$100,"N","")),0)),SUMPRODUCT((BCC_MA=$B70)*IFERROR(VALUE(SUBSTITUTE($AD$6:$AD$100,"N","")),0)),SUMPRODUCT((BCC_MA=$B70)*IFERROR(VALUE(SUBSTITUTE($AE$6:$AE$100,"N","")),0)),SUMPRODUCT((BCC_MA=$B70)*IFERROR(VALUE(SUBSTITUTE($AF$6:$AF$100,"N","")),0)),SUMPRODUCT((BCC_MA=$B70)*IFERROR(VALUE(SUBSTITUTE($AG$6:$AG$100,"N","")),0)),SUMPRODUCT((BCC_MA=$B70)*IFERROR(VALUE(SUBSTITUTE($AH$6:$AH$100,"N","")),0)),SUMPRODUCT((BCC_MA=$B70)*IFERROR(VALUE(SUBSTITUTE($AI$6:$AI$100,"N","")),0)),SUMPRODUCT((BCC_MA=$B70)*IFERROR(VALUE(SUBSTITUTE($AJ$6:$AJ$100,"N","")),0)),SUMPRODUCT((BCC_MA=$B70)*IFERROR(VALUE(SUBSTITUTE($AK$6:$AK$100,"N","")),0))))</f>
        <v>0</v>
      </c>
    </row>
    <row r="71" customFormat="false" ht="15" hidden="false" customHeight="false" outlineLevel="0" collapsed="false">
      <c r="A71" s="17" t="str">
        <f aca="false">IF(B71="","",ROW()-5)</f>
        <v/>
      </c>
      <c r="B71" s="10"/>
      <c r="C71" s="17" t="str">
        <f aca="false">IF(B71="","",IFERROR(INDEX(NV_TEN,MATCH(B71,NV_MA,0)),"MÃ KHÔNG CÓ"))</f>
        <v/>
      </c>
      <c r="D71" s="10"/>
      <c r="E71" s="18"/>
      <c r="F71" s="17" t="str">
        <f aca="false">IF(D71="","",IFERROR(INDEX(NH_GIO,MATCH(D71,NH_TEN,0)),"NHÓM?"))</f>
        <v/>
      </c>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2" t="str">
        <f aca="false">IF(B71="","",SUMPRODUCT(IFERROR(VALUE(SUBSTITUTE(G71:AK71,"N","")),0)))</f>
        <v/>
      </c>
      <c r="AM71" s="23" t="str">
        <f aca="false">IF(B71="","",AL71/F71)</f>
        <v/>
      </c>
      <c r="AN71" s="23" t="str">
        <f aca="false">IF(B71="","",SUMPRODUCT(ISNUMBER(SEARCH("N",G71:AK71))*IFERROR(VALUE(SUBSTITUTE(G71:AK71,"N","")),0))/F71)</f>
        <v/>
      </c>
      <c r="AO71" s="10"/>
      <c r="AP71" s="10"/>
      <c r="AQ71" s="10"/>
      <c r="AR71" s="24" t="n">
        <f aca="false">IF(B71="",0,MAX(SUMPRODUCT((BCC_MA=$B71)*IFERROR(VALUE(SUBSTITUTE($G$6:$G$100,"N","")),0)),SUMPRODUCT((BCC_MA=$B71)*IFERROR(VALUE(SUBSTITUTE($H$6:$H$100,"N","")),0)),SUMPRODUCT((BCC_MA=$B71)*IFERROR(VALUE(SUBSTITUTE($I$6:$I$100,"N","")),0)),SUMPRODUCT((BCC_MA=$B71)*IFERROR(VALUE(SUBSTITUTE($J$6:$J$100,"N","")),0)),SUMPRODUCT((BCC_MA=$B71)*IFERROR(VALUE(SUBSTITUTE($K$6:$K$100,"N","")),0)),SUMPRODUCT((BCC_MA=$B71)*IFERROR(VALUE(SUBSTITUTE($L$6:$L$100,"N","")),0)),SUMPRODUCT((BCC_MA=$B71)*IFERROR(VALUE(SUBSTITUTE($M$6:$M$100,"N","")),0)),SUMPRODUCT((BCC_MA=$B71)*IFERROR(VALUE(SUBSTITUTE($N$6:$N$100,"N","")),0)),SUMPRODUCT((BCC_MA=$B71)*IFERROR(VALUE(SUBSTITUTE($O$6:$O$100,"N","")),0)),SUMPRODUCT((BCC_MA=$B71)*IFERROR(VALUE(SUBSTITUTE($P$6:$P$100,"N","")),0)),SUMPRODUCT((BCC_MA=$B71)*IFERROR(VALUE(SUBSTITUTE($Q$6:$Q$100,"N","")),0)),SUMPRODUCT((BCC_MA=$B71)*IFERROR(VALUE(SUBSTITUTE($R$6:$R$100,"N","")),0)),SUMPRODUCT((BCC_MA=$B71)*IFERROR(VALUE(SUBSTITUTE($S$6:$S$100,"N","")),0)),SUMPRODUCT((BCC_MA=$B71)*IFERROR(VALUE(SUBSTITUTE($T$6:$T$100,"N","")),0)),SUMPRODUCT((BCC_MA=$B71)*IFERROR(VALUE(SUBSTITUTE($U$6:$U$100,"N","")),0)),SUMPRODUCT((BCC_MA=$B71)*IFERROR(VALUE(SUBSTITUTE($V$6:$V$100,"N","")),0)),SUMPRODUCT((BCC_MA=$B71)*IFERROR(VALUE(SUBSTITUTE($W$6:$W$100,"N","")),0)),SUMPRODUCT((BCC_MA=$B71)*IFERROR(VALUE(SUBSTITUTE($X$6:$X$100,"N","")),0)),SUMPRODUCT((BCC_MA=$B71)*IFERROR(VALUE(SUBSTITUTE($Y$6:$Y$100,"N","")),0)),SUMPRODUCT((BCC_MA=$B71)*IFERROR(VALUE(SUBSTITUTE($Z$6:$Z$100,"N","")),0)),SUMPRODUCT((BCC_MA=$B71)*IFERROR(VALUE(SUBSTITUTE($AA$6:$AA$100,"N","")),0)),SUMPRODUCT((BCC_MA=$B71)*IFERROR(VALUE(SUBSTITUTE($AB$6:$AB$100,"N","")),0)),SUMPRODUCT((BCC_MA=$B71)*IFERROR(VALUE(SUBSTITUTE($AC$6:$AC$100,"N","")),0)),SUMPRODUCT((BCC_MA=$B71)*IFERROR(VALUE(SUBSTITUTE($AD$6:$AD$100,"N","")),0)),SUMPRODUCT((BCC_MA=$B71)*IFERROR(VALUE(SUBSTITUTE($AE$6:$AE$100,"N","")),0)),SUMPRODUCT((BCC_MA=$B71)*IFERROR(VALUE(SUBSTITUTE($AF$6:$AF$100,"N","")),0)),SUMPRODUCT((BCC_MA=$B71)*IFERROR(VALUE(SUBSTITUTE($AG$6:$AG$100,"N","")),0)),SUMPRODUCT((BCC_MA=$B71)*IFERROR(VALUE(SUBSTITUTE($AH$6:$AH$100,"N","")),0)),SUMPRODUCT((BCC_MA=$B71)*IFERROR(VALUE(SUBSTITUTE($AI$6:$AI$100,"N","")),0)),SUMPRODUCT((BCC_MA=$B71)*IFERROR(VALUE(SUBSTITUTE($AJ$6:$AJ$100,"N","")),0)),SUMPRODUCT((BCC_MA=$B71)*IFERROR(VALUE(SUBSTITUTE($AK$6:$AK$100,"N","")),0))))</f>
        <v>0</v>
      </c>
    </row>
    <row r="72" customFormat="false" ht="15" hidden="false" customHeight="false" outlineLevel="0" collapsed="false">
      <c r="A72" s="17" t="str">
        <f aca="false">IF(B72="","",ROW()-5)</f>
        <v/>
      </c>
      <c r="B72" s="10"/>
      <c r="C72" s="17" t="str">
        <f aca="false">IF(B72="","",IFERROR(INDEX(NV_TEN,MATCH(B72,NV_MA,0)),"MÃ KHÔNG CÓ"))</f>
        <v/>
      </c>
      <c r="D72" s="10"/>
      <c r="E72" s="18"/>
      <c r="F72" s="17" t="str">
        <f aca="false">IF(D72="","",IFERROR(INDEX(NH_GIO,MATCH(D72,NH_TEN,0)),"NHÓM?"))</f>
        <v/>
      </c>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2" t="str">
        <f aca="false">IF(B72="","",SUMPRODUCT(IFERROR(VALUE(SUBSTITUTE(G72:AK72,"N","")),0)))</f>
        <v/>
      </c>
      <c r="AM72" s="23" t="str">
        <f aca="false">IF(B72="","",AL72/F72)</f>
        <v/>
      </c>
      <c r="AN72" s="23" t="str">
        <f aca="false">IF(B72="","",SUMPRODUCT(ISNUMBER(SEARCH("N",G72:AK72))*IFERROR(VALUE(SUBSTITUTE(G72:AK72,"N","")),0))/F72)</f>
        <v/>
      </c>
      <c r="AO72" s="10"/>
      <c r="AP72" s="10"/>
      <c r="AQ72" s="10"/>
      <c r="AR72" s="24" t="n">
        <f aca="false">IF(B72="",0,MAX(SUMPRODUCT((BCC_MA=$B72)*IFERROR(VALUE(SUBSTITUTE($G$6:$G$100,"N","")),0)),SUMPRODUCT((BCC_MA=$B72)*IFERROR(VALUE(SUBSTITUTE($H$6:$H$100,"N","")),0)),SUMPRODUCT((BCC_MA=$B72)*IFERROR(VALUE(SUBSTITUTE($I$6:$I$100,"N","")),0)),SUMPRODUCT((BCC_MA=$B72)*IFERROR(VALUE(SUBSTITUTE($J$6:$J$100,"N","")),0)),SUMPRODUCT((BCC_MA=$B72)*IFERROR(VALUE(SUBSTITUTE($K$6:$K$100,"N","")),0)),SUMPRODUCT((BCC_MA=$B72)*IFERROR(VALUE(SUBSTITUTE($L$6:$L$100,"N","")),0)),SUMPRODUCT((BCC_MA=$B72)*IFERROR(VALUE(SUBSTITUTE($M$6:$M$100,"N","")),0)),SUMPRODUCT((BCC_MA=$B72)*IFERROR(VALUE(SUBSTITUTE($N$6:$N$100,"N","")),0)),SUMPRODUCT((BCC_MA=$B72)*IFERROR(VALUE(SUBSTITUTE($O$6:$O$100,"N","")),0)),SUMPRODUCT((BCC_MA=$B72)*IFERROR(VALUE(SUBSTITUTE($P$6:$P$100,"N","")),0)),SUMPRODUCT((BCC_MA=$B72)*IFERROR(VALUE(SUBSTITUTE($Q$6:$Q$100,"N","")),0)),SUMPRODUCT((BCC_MA=$B72)*IFERROR(VALUE(SUBSTITUTE($R$6:$R$100,"N","")),0)),SUMPRODUCT((BCC_MA=$B72)*IFERROR(VALUE(SUBSTITUTE($S$6:$S$100,"N","")),0)),SUMPRODUCT((BCC_MA=$B72)*IFERROR(VALUE(SUBSTITUTE($T$6:$T$100,"N","")),0)),SUMPRODUCT((BCC_MA=$B72)*IFERROR(VALUE(SUBSTITUTE($U$6:$U$100,"N","")),0)),SUMPRODUCT((BCC_MA=$B72)*IFERROR(VALUE(SUBSTITUTE($V$6:$V$100,"N","")),0)),SUMPRODUCT((BCC_MA=$B72)*IFERROR(VALUE(SUBSTITUTE($W$6:$W$100,"N","")),0)),SUMPRODUCT((BCC_MA=$B72)*IFERROR(VALUE(SUBSTITUTE($X$6:$X$100,"N","")),0)),SUMPRODUCT((BCC_MA=$B72)*IFERROR(VALUE(SUBSTITUTE($Y$6:$Y$100,"N","")),0)),SUMPRODUCT((BCC_MA=$B72)*IFERROR(VALUE(SUBSTITUTE($Z$6:$Z$100,"N","")),0)),SUMPRODUCT((BCC_MA=$B72)*IFERROR(VALUE(SUBSTITUTE($AA$6:$AA$100,"N","")),0)),SUMPRODUCT((BCC_MA=$B72)*IFERROR(VALUE(SUBSTITUTE($AB$6:$AB$100,"N","")),0)),SUMPRODUCT((BCC_MA=$B72)*IFERROR(VALUE(SUBSTITUTE($AC$6:$AC$100,"N","")),0)),SUMPRODUCT((BCC_MA=$B72)*IFERROR(VALUE(SUBSTITUTE($AD$6:$AD$100,"N","")),0)),SUMPRODUCT((BCC_MA=$B72)*IFERROR(VALUE(SUBSTITUTE($AE$6:$AE$100,"N","")),0)),SUMPRODUCT((BCC_MA=$B72)*IFERROR(VALUE(SUBSTITUTE($AF$6:$AF$100,"N","")),0)),SUMPRODUCT((BCC_MA=$B72)*IFERROR(VALUE(SUBSTITUTE($AG$6:$AG$100,"N","")),0)),SUMPRODUCT((BCC_MA=$B72)*IFERROR(VALUE(SUBSTITUTE($AH$6:$AH$100,"N","")),0)),SUMPRODUCT((BCC_MA=$B72)*IFERROR(VALUE(SUBSTITUTE($AI$6:$AI$100,"N","")),0)),SUMPRODUCT((BCC_MA=$B72)*IFERROR(VALUE(SUBSTITUTE($AJ$6:$AJ$100,"N","")),0)),SUMPRODUCT((BCC_MA=$B72)*IFERROR(VALUE(SUBSTITUTE($AK$6:$AK$100,"N","")),0))))</f>
        <v>0</v>
      </c>
    </row>
    <row r="73" customFormat="false" ht="15" hidden="false" customHeight="false" outlineLevel="0" collapsed="false">
      <c r="A73" s="17" t="str">
        <f aca="false">IF(B73="","",ROW()-5)</f>
        <v/>
      </c>
      <c r="B73" s="10"/>
      <c r="C73" s="17" t="str">
        <f aca="false">IF(B73="","",IFERROR(INDEX(NV_TEN,MATCH(B73,NV_MA,0)),"MÃ KHÔNG CÓ"))</f>
        <v/>
      </c>
      <c r="D73" s="10"/>
      <c r="E73" s="18"/>
      <c r="F73" s="17" t="str">
        <f aca="false">IF(D73="","",IFERROR(INDEX(NH_GIO,MATCH(D73,NH_TEN,0)),"NHÓM?"))</f>
        <v/>
      </c>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2" t="str">
        <f aca="false">IF(B73="","",SUMPRODUCT(IFERROR(VALUE(SUBSTITUTE(G73:AK73,"N","")),0)))</f>
        <v/>
      </c>
      <c r="AM73" s="23" t="str">
        <f aca="false">IF(B73="","",AL73/F73)</f>
        <v/>
      </c>
      <c r="AN73" s="23" t="str">
        <f aca="false">IF(B73="","",SUMPRODUCT(ISNUMBER(SEARCH("N",G73:AK73))*IFERROR(VALUE(SUBSTITUTE(G73:AK73,"N","")),0))/F73)</f>
        <v/>
      </c>
      <c r="AO73" s="10"/>
      <c r="AP73" s="10"/>
      <c r="AQ73" s="10"/>
      <c r="AR73" s="24" t="n">
        <f aca="false">IF(B73="",0,MAX(SUMPRODUCT((BCC_MA=$B73)*IFERROR(VALUE(SUBSTITUTE($G$6:$G$100,"N","")),0)),SUMPRODUCT((BCC_MA=$B73)*IFERROR(VALUE(SUBSTITUTE($H$6:$H$100,"N","")),0)),SUMPRODUCT((BCC_MA=$B73)*IFERROR(VALUE(SUBSTITUTE($I$6:$I$100,"N","")),0)),SUMPRODUCT((BCC_MA=$B73)*IFERROR(VALUE(SUBSTITUTE($J$6:$J$100,"N","")),0)),SUMPRODUCT((BCC_MA=$B73)*IFERROR(VALUE(SUBSTITUTE($K$6:$K$100,"N","")),0)),SUMPRODUCT((BCC_MA=$B73)*IFERROR(VALUE(SUBSTITUTE($L$6:$L$100,"N","")),0)),SUMPRODUCT((BCC_MA=$B73)*IFERROR(VALUE(SUBSTITUTE($M$6:$M$100,"N","")),0)),SUMPRODUCT((BCC_MA=$B73)*IFERROR(VALUE(SUBSTITUTE($N$6:$N$100,"N","")),0)),SUMPRODUCT((BCC_MA=$B73)*IFERROR(VALUE(SUBSTITUTE($O$6:$O$100,"N","")),0)),SUMPRODUCT((BCC_MA=$B73)*IFERROR(VALUE(SUBSTITUTE($P$6:$P$100,"N","")),0)),SUMPRODUCT((BCC_MA=$B73)*IFERROR(VALUE(SUBSTITUTE($Q$6:$Q$100,"N","")),0)),SUMPRODUCT((BCC_MA=$B73)*IFERROR(VALUE(SUBSTITUTE($R$6:$R$100,"N","")),0)),SUMPRODUCT((BCC_MA=$B73)*IFERROR(VALUE(SUBSTITUTE($S$6:$S$100,"N","")),0)),SUMPRODUCT((BCC_MA=$B73)*IFERROR(VALUE(SUBSTITUTE($T$6:$T$100,"N","")),0)),SUMPRODUCT((BCC_MA=$B73)*IFERROR(VALUE(SUBSTITUTE($U$6:$U$100,"N","")),0)),SUMPRODUCT((BCC_MA=$B73)*IFERROR(VALUE(SUBSTITUTE($V$6:$V$100,"N","")),0)),SUMPRODUCT((BCC_MA=$B73)*IFERROR(VALUE(SUBSTITUTE($W$6:$W$100,"N","")),0)),SUMPRODUCT((BCC_MA=$B73)*IFERROR(VALUE(SUBSTITUTE($X$6:$X$100,"N","")),0)),SUMPRODUCT((BCC_MA=$B73)*IFERROR(VALUE(SUBSTITUTE($Y$6:$Y$100,"N","")),0)),SUMPRODUCT((BCC_MA=$B73)*IFERROR(VALUE(SUBSTITUTE($Z$6:$Z$100,"N","")),0)),SUMPRODUCT((BCC_MA=$B73)*IFERROR(VALUE(SUBSTITUTE($AA$6:$AA$100,"N","")),0)),SUMPRODUCT((BCC_MA=$B73)*IFERROR(VALUE(SUBSTITUTE($AB$6:$AB$100,"N","")),0)),SUMPRODUCT((BCC_MA=$B73)*IFERROR(VALUE(SUBSTITUTE($AC$6:$AC$100,"N","")),0)),SUMPRODUCT((BCC_MA=$B73)*IFERROR(VALUE(SUBSTITUTE($AD$6:$AD$100,"N","")),0)),SUMPRODUCT((BCC_MA=$B73)*IFERROR(VALUE(SUBSTITUTE($AE$6:$AE$100,"N","")),0)),SUMPRODUCT((BCC_MA=$B73)*IFERROR(VALUE(SUBSTITUTE($AF$6:$AF$100,"N","")),0)),SUMPRODUCT((BCC_MA=$B73)*IFERROR(VALUE(SUBSTITUTE($AG$6:$AG$100,"N","")),0)),SUMPRODUCT((BCC_MA=$B73)*IFERROR(VALUE(SUBSTITUTE($AH$6:$AH$100,"N","")),0)),SUMPRODUCT((BCC_MA=$B73)*IFERROR(VALUE(SUBSTITUTE($AI$6:$AI$100,"N","")),0)),SUMPRODUCT((BCC_MA=$B73)*IFERROR(VALUE(SUBSTITUTE($AJ$6:$AJ$100,"N","")),0)),SUMPRODUCT((BCC_MA=$B73)*IFERROR(VALUE(SUBSTITUTE($AK$6:$AK$100,"N","")),0))))</f>
        <v>0</v>
      </c>
    </row>
    <row r="74" customFormat="false" ht="15" hidden="false" customHeight="false" outlineLevel="0" collapsed="false">
      <c r="A74" s="17" t="str">
        <f aca="false">IF(B74="","",ROW()-5)</f>
        <v/>
      </c>
      <c r="B74" s="10"/>
      <c r="C74" s="17" t="str">
        <f aca="false">IF(B74="","",IFERROR(INDEX(NV_TEN,MATCH(B74,NV_MA,0)),"MÃ KHÔNG CÓ"))</f>
        <v/>
      </c>
      <c r="D74" s="10"/>
      <c r="E74" s="18"/>
      <c r="F74" s="17" t="str">
        <f aca="false">IF(D74="","",IFERROR(INDEX(NH_GIO,MATCH(D74,NH_TEN,0)),"NHÓM?"))</f>
        <v/>
      </c>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2" t="str">
        <f aca="false">IF(B74="","",SUMPRODUCT(IFERROR(VALUE(SUBSTITUTE(G74:AK74,"N","")),0)))</f>
        <v/>
      </c>
      <c r="AM74" s="23" t="str">
        <f aca="false">IF(B74="","",AL74/F74)</f>
        <v/>
      </c>
      <c r="AN74" s="23" t="str">
        <f aca="false">IF(B74="","",SUMPRODUCT(ISNUMBER(SEARCH("N",G74:AK74))*IFERROR(VALUE(SUBSTITUTE(G74:AK74,"N","")),0))/F74)</f>
        <v/>
      </c>
      <c r="AO74" s="10"/>
      <c r="AP74" s="10"/>
      <c r="AQ74" s="10"/>
      <c r="AR74" s="24" t="n">
        <f aca="false">IF(B74="",0,MAX(SUMPRODUCT((BCC_MA=$B74)*IFERROR(VALUE(SUBSTITUTE($G$6:$G$100,"N","")),0)),SUMPRODUCT((BCC_MA=$B74)*IFERROR(VALUE(SUBSTITUTE($H$6:$H$100,"N","")),0)),SUMPRODUCT((BCC_MA=$B74)*IFERROR(VALUE(SUBSTITUTE($I$6:$I$100,"N","")),0)),SUMPRODUCT((BCC_MA=$B74)*IFERROR(VALUE(SUBSTITUTE($J$6:$J$100,"N","")),0)),SUMPRODUCT((BCC_MA=$B74)*IFERROR(VALUE(SUBSTITUTE($K$6:$K$100,"N","")),0)),SUMPRODUCT((BCC_MA=$B74)*IFERROR(VALUE(SUBSTITUTE($L$6:$L$100,"N","")),0)),SUMPRODUCT((BCC_MA=$B74)*IFERROR(VALUE(SUBSTITUTE($M$6:$M$100,"N","")),0)),SUMPRODUCT((BCC_MA=$B74)*IFERROR(VALUE(SUBSTITUTE($N$6:$N$100,"N","")),0)),SUMPRODUCT((BCC_MA=$B74)*IFERROR(VALUE(SUBSTITUTE($O$6:$O$100,"N","")),0)),SUMPRODUCT((BCC_MA=$B74)*IFERROR(VALUE(SUBSTITUTE($P$6:$P$100,"N","")),0)),SUMPRODUCT((BCC_MA=$B74)*IFERROR(VALUE(SUBSTITUTE($Q$6:$Q$100,"N","")),0)),SUMPRODUCT((BCC_MA=$B74)*IFERROR(VALUE(SUBSTITUTE($R$6:$R$100,"N","")),0)),SUMPRODUCT((BCC_MA=$B74)*IFERROR(VALUE(SUBSTITUTE($S$6:$S$100,"N","")),0)),SUMPRODUCT((BCC_MA=$B74)*IFERROR(VALUE(SUBSTITUTE($T$6:$T$100,"N","")),0)),SUMPRODUCT((BCC_MA=$B74)*IFERROR(VALUE(SUBSTITUTE($U$6:$U$100,"N","")),0)),SUMPRODUCT((BCC_MA=$B74)*IFERROR(VALUE(SUBSTITUTE($V$6:$V$100,"N","")),0)),SUMPRODUCT((BCC_MA=$B74)*IFERROR(VALUE(SUBSTITUTE($W$6:$W$100,"N","")),0)),SUMPRODUCT((BCC_MA=$B74)*IFERROR(VALUE(SUBSTITUTE($X$6:$X$100,"N","")),0)),SUMPRODUCT((BCC_MA=$B74)*IFERROR(VALUE(SUBSTITUTE($Y$6:$Y$100,"N","")),0)),SUMPRODUCT((BCC_MA=$B74)*IFERROR(VALUE(SUBSTITUTE($Z$6:$Z$100,"N","")),0)),SUMPRODUCT((BCC_MA=$B74)*IFERROR(VALUE(SUBSTITUTE($AA$6:$AA$100,"N","")),0)),SUMPRODUCT((BCC_MA=$B74)*IFERROR(VALUE(SUBSTITUTE($AB$6:$AB$100,"N","")),0)),SUMPRODUCT((BCC_MA=$B74)*IFERROR(VALUE(SUBSTITUTE($AC$6:$AC$100,"N","")),0)),SUMPRODUCT((BCC_MA=$B74)*IFERROR(VALUE(SUBSTITUTE($AD$6:$AD$100,"N","")),0)),SUMPRODUCT((BCC_MA=$B74)*IFERROR(VALUE(SUBSTITUTE($AE$6:$AE$100,"N","")),0)),SUMPRODUCT((BCC_MA=$B74)*IFERROR(VALUE(SUBSTITUTE($AF$6:$AF$100,"N","")),0)),SUMPRODUCT((BCC_MA=$B74)*IFERROR(VALUE(SUBSTITUTE($AG$6:$AG$100,"N","")),0)),SUMPRODUCT((BCC_MA=$B74)*IFERROR(VALUE(SUBSTITUTE($AH$6:$AH$100,"N","")),0)),SUMPRODUCT((BCC_MA=$B74)*IFERROR(VALUE(SUBSTITUTE($AI$6:$AI$100,"N","")),0)),SUMPRODUCT((BCC_MA=$B74)*IFERROR(VALUE(SUBSTITUTE($AJ$6:$AJ$100,"N","")),0)),SUMPRODUCT((BCC_MA=$B74)*IFERROR(VALUE(SUBSTITUTE($AK$6:$AK$100,"N","")),0))))</f>
        <v>0</v>
      </c>
    </row>
    <row r="75" customFormat="false" ht="15" hidden="false" customHeight="false" outlineLevel="0" collapsed="false">
      <c r="A75" s="17" t="str">
        <f aca="false">IF(B75="","",ROW()-5)</f>
        <v/>
      </c>
      <c r="B75" s="10"/>
      <c r="C75" s="17" t="str">
        <f aca="false">IF(B75="","",IFERROR(INDEX(NV_TEN,MATCH(B75,NV_MA,0)),"MÃ KHÔNG CÓ"))</f>
        <v/>
      </c>
      <c r="D75" s="10"/>
      <c r="E75" s="18"/>
      <c r="F75" s="17" t="str">
        <f aca="false">IF(D75="","",IFERROR(INDEX(NH_GIO,MATCH(D75,NH_TEN,0)),"NHÓM?"))</f>
        <v/>
      </c>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2" t="str">
        <f aca="false">IF(B75="","",SUMPRODUCT(IFERROR(VALUE(SUBSTITUTE(G75:AK75,"N","")),0)))</f>
        <v/>
      </c>
      <c r="AM75" s="23" t="str">
        <f aca="false">IF(B75="","",AL75/F75)</f>
        <v/>
      </c>
      <c r="AN75" s="23" t="str">
        <f aca="false">IF(B75="","",SUMPRODUCT(ISNUMBER(SEARCH("N",G75:AK75))*IFERROR(VALUE(SUBSTITUTE(G75:AK75,"N","")),0))/F75)</f>
        <v/>
      </c>
      <c r="AO75" s="10"/>
      <c r="AP75" s="10"/>
      <c r="AQ75" s="10"/>
      <c r="AR75" s="24" t="n">
        <f aca="false">IF(B75="",0,MAX(SUMPRODUCT((BCC_MA=$B75)*IFERROR(VALUE(SUBSTITUTE($G$6:$G$100,"N","")),0)),SUMPRODUCT((BCC_MA=$B75)*IFERROR(VALUE(SUBSTITUTE($H$6:$H$100,"N","")),0)),SUMPRODUCT((BCC_MA=$B75)*IFERROR(VALUE(SUBSTITUTE($I$6:$I$100,"N","")),0)),SUMPRODUCT((BCC_MA=$B75)*IFERROR(VALUE(SUBSTITUTE($J$6:$J$100,"N","")),0)),SUMPRODUCT((BCC_MA=$B75)*IFERROR(VALUE(SUBSTITUTE($K$6:$K$100,"N","")),0)),SUMPRODUCT((BCC_MA=$B75)*IFERROR(VALUE(SUBSTITUTE($L$6:$L$100,"N","")),0)),SUMPRODUCT((BCC_MA=$B75)*IFERROR(VALUE(SUBSTITUTE($M$6:$M$100,"N","")),0)),SUMPRODUCT((BCC_MA=$B75)*IFERROR(VALUE(SUBSTITUTE($N$6:$N$100,"N","")),0)),SUMPRODUCT((BCC_MA=$B75)*IFERROR(VALUE(SUBSTITUTE($O$6:$O$100,"N","")),0)),SUMPRODUCT((BCC_MA=$B75)*IFERROR(VALUE(SUBSTITUTE($P$6:$P$100,"N","")),0)),SUMPRODUCT((BCC_MA=$B75)*IFERROR(VALUE(SUBSTITUTE($Q$6:$Q$100,"N","")),0)),SUMPRODUCT((BCC_MA=$B75)*IFERROR(VALUE(SUBSTITUTE($R$6:$R$100,"N","")),0)),SUMPRODUCT((BCC_MA=$B75)*IFERROR(VALUE(SUBSTITUTE($S$6:$S$100,"N","")),0)),SUMPRODUCT((BCC_MA=$B75)*IFERROR(VALUE(SUBSTITUTE($T$6:$T$100,"N","")),0)),SUMPRODUCT((BCC_MA=$B75)*IFERROR(VALUE(SUBSTITUTE($U$6:$U$100,"N","")),0)),SUMPRODUCT((BCC_MA=$B75)*IFERROR(VALUE(SUBSTITUTE($V$6:$V$100,"N","")),0)),SUMPRODUCT((BCC_MA=$B75)*IFERROR(VALUE(SUBSTITUTE($W$6:$W$100,"N","")),0)),SUMPRODUCT((BCC_MA=$B75)*IFERROR(VALUE(SUBSTITUTE($X$6:$X$100,"N","")),0)),SUMPRODUCT((BCC_MA=$B75)*IFERROR(VALUE(SUBSTITUTE($Y$6:$Y$100,"N","")),0)),SUMPRODUCT((BCC_MA=$B75)*IFERROR(VALUE(SUBSTITUTE($Z$6:$Z$100,"N","")),0)),SUMPRODUCT((BCC_MA=$B75)*IFERROR(VALUE(SUBSTITUTE($AA$6:$AA$100,"N","")),0)),SUMPRODUCT((BCC_MA=$B75)*IFERROR(VALUE(SUBSTITUTE($AB$6:$AB$100,"N","")),0)),SUMPRODUCT((BCC_MA=$B75)*IFERROR(VALUE(SUBSTITUTE($AC$6:$AC$100,"N","")),0)),SUMPRODUCT((BCC_MA=$B75)*IFERROR(VALUE(SUBSTITUTE($AD$6:$AD$100,"N","")),0)),SUMPRODUCT((BCC_MA=$B75)*IFERROR(VALUE(SUBSTITUTE($AE$6:$AE$100,"N","")),0)),SUMPRODUCT((BCC_MA=$B75)*IFERROR(VALUE(SUBSTITUTE($AF$6:$AF$100,"N","")),0)),SUMPRODUCT((BCC_MA=$B75)*IFERROR(VALUE(SUBSTITUTE($AG$6:$AG$100,"N","")),0)),SUMPRODUCT((BCC_MA=$B75)*IFERROR(VALUE(SUBSTITUTE($AH$6:$AH$100,"N","")),0)),SUMPRODUCT((BCC_MA=$B75)*IFERROR(VALUE(SUBSTITUTE($AI$6:$AI$100,"N","")),0)),SUMPRODUCT((BCC_MA=$B75)*IFERROR(VALUE(SUBSTITUTE($AJ$6:$AJ$100,"N","")),0)),SUMPRODUCT((BCC_MA=$B75)*IFERROR(VALUE(SUBSTITUTE($AK$6:$AK$100,"N","")),0))))</f>
        <v>0</v>
      </c>
    </row>
    <row r="76" customFormat="false" ht="15" hidden="false" customHeight="false" outlineLevel="0" collapsed="false">
      <c r="A76" s="17" t="str">
        <f aca="false">IF(B76="","",ROW()-5)</f>
        <v/>
      </c>
      <c r="B76" s="10"/>
      <c r="C76" s="17" t="str">
        <f aca="false">IF(B76="","",IFERROR(INDEX(NV_TEN,MATCH(B76,NV_MA,0)),"MÃ KHÔNG CÓ"))</f>
        <v/>
      </c>
      <c r="D76" s="10"/>
      <c r="E76" s="18"/>
      <c r="F76" s="17" t="str">
        <f aca="false">IF(D76="","",IFERROR(INDEX(NH_GIO,MATCH(D76,NH_TEN,0)),"NHÓM?"))</f>
        <v/>
      </c>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2" t="str">
        <f aca="false">IF(B76="","",SUMPRODUCT(IFERROR(VALUE(SUBSTITUTE(G76:AK76,"N","")),0)))</f>
        <v/>
      </c>
      <c r="AM76" s="23" t="str">
        <f aca="false">IF(B76="","",AL76/F76)</f>
        <v/>
      </c>
      <c r="AN76" s="23" t="str">
        <f aca="false">IF(B76="","",SUMPRODUCT(ISNUMBER(SEARCH("N",G76:AK76))*IFERROR(VALUE(SUBSTITUTE(G76:AK76,"N","")),0))/F76)</f>
        <v/>
      </c>
      <c r="AO76" s="10"/>
      <c r="AP76" s="10"/>
      <c r="AQ76" s="10"/>
      <c r="AR76" s="24" t="n">
        <f aca="false">IF(B76="",0,MAX(SUMPRODUCT((BCC_MA=$B76)*IFERROR(VALUE(SUBSTITUTE($G$6:$G$100,"N","")),0)),SUMPRODUCT((BCC_MA=$B76)*IFERROR(VALUE(SUBSTITUTE($H$6:$H$100,"N","")),0)),SUMPRODUCT((BCC_MA=$B76)*IFERROR(VALUE(SUBSTITUTE($I$6:$I$100,"N","")),0)),SUMPRODUCT((BCC_MA=$B76)*IFERROR(VALUE(SUBSTITUTE($J$6:$J$100,"N","")),0)),SUMPRODUCT((BCC_MA=$B76)*IFERROR(VALUE(SUBSTITUTE($K$6:$K$100,"N","")),0)),SUMPRODUCT((BCC_MA=$B76)*IFERROR(VALUE(SUBSTITUTE($L$6:$L$100,"N","")),0)),SUMPRODUCT((BCC_MA=$B76)*IFERROR(VALUE(SUBSTITUTE($M$6:$M$100,"N","")),0)),SUMPRODUCT((BCC_MA=$B76)*IFERROR(VALUE(SUBSTITUTE($N$6:$N$100,"N","")),0)),SUMPRODUCT((BCC_MA=$B76)*IFERROR(VALUE(SUBSTITUTE($O$6:$O$100,"N","")),0)),SUMPRODUCT((BCC_MA=$B76)*IFERROR(VALUE(SUBSTITUTE($P$6:$P$100,"N","")),0)),SUMPRODUCT((BCC_MA=$B76)*IFERROR(VALUE(SUBSTITUTE($Q$6:$Q$100,"N","")),0)),SUMPRODUCT((BCC_MA=$B76)*IFERROR(VALUE(SUBSTITUTE($R$6:$R$100,"N","")),0)),SUMPRODUCT((BCC_MA=$B76)*IFERROR(VALUE(SUBSTITUTE($S$6:$S$100,"N","")),0)),SUMPRODUCT((BCC_MA=$B76)*IFERROR(VALUE(SUBSTITUTE($T$6:$T$100,"N","")),0)),SUMPRODUCT((BCC_MA=$B76)*IFERROR(VALUE(SUBSTITUTE($U$6:$U$100,"N","")),0)),SUMPRODUCT((BCC_MA=$B76)*IFERROR(VALUE(SUBSTITUTE($V$6:$V$100,"N","")),0)),SUMPRODUCT((BCC_MA=$B76)*IFERROR(VALUE(SUBSTITUTE($W$6:$W$100,"N","")),0)),SUMPRODUCT((BCC_MA=$B76)*IFERROR(VALUE(SUBSTITUTE($X$6:$X$100,"N","")),0)),SUMPRODUCT((BCC_MA=$B76)*IFERROR(VALUE(SUBSTITUTE($Y$6:$Y$100,"N","")),0)),SUMPRODUCT((BCC_MA=$B76)*IFERROR(VALUE(SUBSTITUTE($Z$6:$Z$100,"N","")),0)),SUMPRODUCT((BCC_MA=$B76)*IFERROR(VALUE(SUBSTITUTE($AA$6:$AA$100,"N","")),0)),SUMPRODUCT((BCC_MA=$B76)*IFERROR(VALUE(SUBSTITUTE($AB$6:$AB$100,"N","")),0)),SUMPRODUCT((BCC_MA=$B76)*IFERROR(VALUE(SUBSTITUTE($AC$6:$AC$100,"N","")),0)),SUMPRODUCT((BCC_MA=$B76)*IFERROR(VALUE(SUBSTITUTE($AD$6:$AD$100,"N","")),0)),SUMPRODUCT((BCC_MA=$B76)*IFERROR(VALUE(SUBSTITUTE($AE$6:$AE$100,"N","")),0)),SUMPRODUCT((BCC_MA=$B76)*IFERROR(VALUE(SUBSTITUTE($AF$6:$AF$100,"N","")),0)),SUMPRODUCT((BCC_MA=$B76)*IFERROR(VALUE(SUBSTITUTE($AG$6:$AG$100,"N","")),0)),SUMPRODUCT((BCC_MA=$B76)*IFERROR(VALUE(SUBSTITUTE($AH$6:$AH$100,"N","")),0)),SUMPRODUCT((BCC_MA=$B76)*IFERROR(VALUE(SUBSTITUTE($AI$6:$AI$100,"N","")),0)),SUMPRODUCT((BCC_MA=$B76)*IFERROR(VALUE(SUBSTITUTE($AJ$6:$AJ$100,"N","")),0)),SUMPRODUCT((BCC_MA=$B76)*IFERROR(VALUE(SUBSTITUTE($AK$6:$AK$100,"N","")),0))))</f>
        <v>0</v>
      </c>
    </row>
    <row r="77" customFormat="false" ht="15" hidden="false" customHeight="false" outlineLevel="0" collapsed="false">
      <c r="A77" s="17" t="str">
        <f aca="false">IF(B77="","",ROW()-5)</f>
        <v/>
      </c>
      <c r="B77" s="10"/>
      <c r="C77" s="17" t="str">
        <f aca="false">IF(B77="","",IFERROR(INDEX(NV_TEN,MATCH(B77,NV_MA,0)),"MÃ KHÔNG CÓ"))</f>
        <v/>
      </c>
      <c r="D77" s="10"/>
      <c r="E77" s="18"/>
      <c r="F77" s="17" t="str">
        <f aca="false">IF(D77="","",IFERROR(INDEX(NH_GIO,MATCH(D77,NH_TEN,0)),"NHÓM?"))</f>
        <v/>
      </c>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2" t="str">
        <f aca="false">IF(B77="","",SUMPRODUCT(IFERROR(VALUE(SUBSTITUTE(G77:AK77,"N","")),0)))</f>
        <v/>
      </c>
      <c r="AM77" s="23" t="str">
        <f aca="false">IF(B77="","",AL77/F77)</f>
        <v/>
      </c>
      <c r="AN77" s="23" t="str">
        <f aca="false">IF(B77="","",SUMPRODUCT(ISNUMBER(SEARCH("N",G77:AK77))*IFERROR(VALUE(SUBSTITUTE(G77:AK77,"N","")),0))/F77)</f>
        <v/>
      </c>
      <c r="AO77" s="10"/>
      <c r="AP77" s="10"/>
      <c r="AQ77" s="10"/>
      <c r="AR77" s="24" t="n">
        <f aca="false">IF(B77="",0,MAX(SUMPRODUCT((BCC_MA=$B77)*IFERROR(VALUE(SUBSTITUTE($G$6:$G$100,"N","")),0)),SUMPRODUCT((BCC_MA=$B77)*IFERROR(VALUE(SUBSTITUTE($H$6:$H$100,"N","")),0)),SUMPRODUCT((BCC_MA=$B77)*IFERROR(VALUE(SUBSTITUTE($I$6:$I$100,"N","")),0)),SUMPRODUCT((BCC_MA=$B77)*IFERROR(VALUE(SUBSTITUTE($J$6:$J$100,"N","")),0)),SUMPRODUCT((BCC_MA=$B77)*IFERROR(VALUE(SUBSTITUTE($K$6:$K$100,"N","")),0)),SUMPRODUCT((BCC_MA=$B77)*IFERROR(VALUE(SUBSTITUTE($L$6:$L$100,"N","")),0)),SUMPRODUCT((BCC_MA=$B77)*IFERROR(VALUE(SUBSTITUTE($M$6:$M$100,"N","")),0)),SUMPRODUCT((BCC_MA=$B77)*IFERROR(VALUE(SUBSTITUTE($N$6:$N$100,"N","")),0)),SUMPRODUCT((BCC_MA=$B77)*IFERROR(VALUE(SUBSTITUTE($O$6:$O$100,"N","")),0)),SUMPRODUCT((BCC_MA=$B77)*IFERROR(VALUE(SUBSTITUTE($P$6:$P$100,"N","")),0)),SUMPRODUCT((BCC_MA=$B77)*IFERROR(VALUE(SUBSTITUTE($Q$6:$Q$100,"N","")),0)),SUMPRODUCT((BCC_MA=$B77)*IFERROR(VALUE(SUBSTITUTE($R$6:$R$100,"N","")),0)),SUMPRODUCT((BCC_MA=$B77)*IFERROR(VALUE(SUBSTITUTE($S$6:$S$100,"N","")),0)),SUMPRODUCT((BCC_MA=$B77)*IFERROR(VALUE(SUBSTITUTE($T$6:$T$100,"N","")),0)),SUMPRODUCT((BCC_MA=$B77)*IFERROR(VALUE(SUBSTITUTE($U$6:$U$100,"N","")),0)),SUMPRODUCT((BCC_MA=$B77)*IFERROR(VALUE(SUBSTITUTE($V$6:$V$100,"N","")),0)),SUMPRODUCT((BCC_MA=$B77)*IFERROR(VALUE(SUBSTITUTE($W$6:$W$100,"N","")),0)),SUMPRODUCT((BCC_MA=$B77)*IFERROR(VALUE(SUBSTITUTE($X$6:$X$100,"N","")),0)),SUMPRODUCT((BCC_MA=$B77)*IFERROR(VALUE(SUBSTITUTE($Y$6:$Y$100,"N","")),0)),SUMPRODUCT((BCC_MA=$B77)*IFERROR(VALUE(SUBSTITUTE($Z$6:$Z$100,"N","")),0)),SUMPRODUCT((BCC_MA=$B77)*IFERROR(VALUE(SUBSTITUTE($AA$6:$AA$100,"N","")),0)),SUMPRODUCT((BCC_MA=$B77)*IFERROR(VALUE(SUBSTITUTE($AB$6:$AB$100,"N","")),0)),SUMPRODUCT((BCC_MA=$B77)*IFERROR(VALUE(SUBSTITUTE($AC$6:$AC$100,"N","")),0)),SUMPRODUCT((BCC_MA=$B77)*IFERROR(VALUE(SUBSTITUTE($AD$6:$AD$100,"N","")),0)),SUMPRODUCT((BCC_MA=$B77)*IFERROR(VALUE(SUBSTITUTE($AE$6:$AE$100,"N","")),0)),SUMPRODUCT((BCC_MA=$B77)*IFERROR(VALUE(SUBSTITUTE($AF$6:$AF$100,"N","")),0)),SUMPRODUCT((BCC_MA=$B77)*IFERROR(VALUE(SUBSTITUTE($AG$6:$AG$100,"N","")),0)),SUMPRODUCT((BCC_MA=$B77)*IFERROR(VALUE(SUBSTITUTE($AH$6:$AH$100,"N","")),0)),SUMPRODUCT((BCC_MA=$B77)*IFERROR(VALUE(SUBSTITUTE($AI$6:$AI$100,"N","")),0)),SUMPRODUCT((BCC_MA=$B77)*IFERROR(VALUE(SUBSTITUTE($AJ$6:$AJ$100,"N","")),0)),SUMPRODUCT((BCC_MA=$B77)*IFERROR(VALUE(SUBSTITUTE($AK$6:$AK$100,"N","")),0))))</f>
        <v>0</v>
      </c>
    </row>
    <row r="78" customFormat="false" ht="15" hidden="false" customHeight="false" outlineLevel="0" collapsed="false">
      <c r="A78" s="17" t="str">
        <f aca="false">IF(B78="","",ROW()-5)</f>
        <v/>
      </c>
      <c r="B78" s="10"/>
      <c r="C78" s="17" t="str">
        <f aca="false">IF(B78="","",IFERROR(INDEX(NV_TEN,MATCH(B78,NV_MA,0)),"MÃ KHÔNG CÓ"))</f>
        <v/>
      </c>
      <c r="D78" s="10"/>
      <c r="E78" s="18"/>
      <c r="F78" s="17" t="str">
        <f aca="false">IF(D78="","",IFERROR(INDEX(NH_GIO,MATCH(D78,NH_TEN,0)),"NHÓM?"))</f>
        <v/>
      </c>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2" t="str">
        <f aca="false">IF(B78="","",SUMPRODUCT(IFERROR(VALUE(SUBSTITUTE(G78:AK78,"N","")),0)))</f>
        <v/>
      </c>
      <c r="AM78" s="23" t="str">
        <f aca="false">IF(B78="","",AL78/F78)</f>
        <v/>
      </c>
      <c r="AN78" s="23" t="str">
        <f aca="false">IF(B78="","",SUMPRODUCT(ISNUMBER(SEARCH("N",G78:AK78))*IFERROR(VALUE(SUBSTITUTE(G78:AK78,"N","")),0))/F78)</f>
        <v/>
      </c>
      <c r="AO78" s="10"/>
      <c r="AP78" s="10"/>
      <c r="AQ78" s="10"/>
      <c r="AR78" s="24" t="n">
        <f aca="false">IF(B78="",0,MAX(SUMPRODUCT((BCC_MA=$B78)*IFERROR(VALUE(SUBSTITUTE($G$6:$G$100,"N","")),0)),SUMPRODUCT((BCC_MA=$B78)*IFERROR(VALUE(SUBSTITUTE($H$6:$H$100,"N","")),0)),SUMPRODUCT((BCC_MA=$B78)*IFERROR(VALUE(SUBSTITUTE($I$6:$I$100,"N","")),0)),SUMPRODUCT((BCC_MA=$B78)*IFERROR(VALUE(SUBSTITUTE($J$6:$J$100,"N","")),0)),SUMPRODUCT((BCC_MA=$B78)*IFERROR(VALUE(SUBSTITUTE($K$6:$K$100,"N","")),0)),SUMPRODUCT((BCC_MA=$B78)*IFERROR(VALUE(SUBSTITUTE($L$6:$L$100,"N","")),0)),SUMPRODUCT((BCC_MA=$B78)*IFERROR(VALUE(SUBSTITUTE($M$6:$M$100,"N","")),0)),SUMPRODUCT((BCC_MA=$B78)*IFERROR(VALUE(SUBSTITUTE($N$6:$N$100,"N","")),0)),SUMPRODUCT((BCC_MA=$B78)*IFERROR(VALUE(SUBSTITUTE($O$6:$O$100,"N","")),0)),SUMPRODUCT((BCC_MA=$B78)*IFERROR(VALUE(SUBSTITUTE($P$6:$P$100,"N","")),0)),SUMPRODUCT((BCC_MA=$B78)*IFERROR(VALUE(SUBSTITUTE($Q$6:$Q$100,"N","")),0)),SUMPRODUCT((BCC_MA=$B78)*IFERROR(VALUE(SUBSTITUTE($R$6:$R$100,"N","")),0)),SUMPRODUCT((BCC_MA=$B78)*IFERROR(VALUE(SUBSTITUTE($S$6:$S$100,"N","")),0)),SUMPRODUCT((BCC_MA=$B78)*IFERROR(VALUE(SUBSTITUTE($T$6:$T$100,"N","")),0)),SUMPRODUCT((BCC_MA=$B78)*IFERROR(VALUE(SUBSTITUTE($U$6:$U$100,"N","")),0)),SUMPRODUCT((BCC_MA=$B78)*IFERROR(VALUE(SUBSTITUTE($V$6:$V$100,"N","")),0)),SUMPRODUCT((BCC_MA=$B78)*IFERROR(VALUE(SUBSTITUTE($W$6:$W$100,"N","")),0)),SUMPRODUCT((BCC_MA=$B78)*IFERROR(VALUE(SUBSTITUTE($X$6:$X$100,"N","")),0)),SUMPRODUCT((BCC_MA=$B78)*IFERROR(VALUE(SUBSTITUTE($Y$6:$Y$100,"N","")),0)),SUMPRODUCT((BCC_MA=$B78)*IFERROR(VALUE(SUBSTITUTE($Z$6:$Z$100,"N","")),0)),SUMPRODUCT((BCC_MA=$B78)*IFERROR(VALUE(SUBSTITUTE($AA$6:$AA$100,"N","")),0)),SUMPRODUCT((BCC_MA=$B78)*IFERROR(VALUE(SUBSTITUTE($AB$6:$AB$100,"N","")),0)),SUMPRODUCT((BCC_MA=$B78)*IFERROR(VALUE(SUBSTITUTE($AC$6:$AC$100,"N","")),0)),SUMPRODUCT((BCC_MA=$B78)*IFERROR(VALUE(SUBSTITUTE($AD$6:$AD$100,"N","")),0)),SUMPRODUCT((BCC_MA=$B78)*IFERROR(VALUE(SUBSTITUTE($AE$6:$AE$100,"N","")),0)),SUMPRODUCT((BCC_MA=$B78)*IFERROR(VALUE(SUBSTITUTE($AF$6:$AF$100,"N","")),0)),SUMPRODUCT((BCC_MA=$B78)*IFERROR(VALUE(SUBSTITUTE($AG$6:$AG$100,"N","")),0)),SUMPRODUCT((BCC_MA=$B78)*IFERROR(VALUE(SUBSTITUTE($AH$6:$AH$100,"N","")),0)),SUMPRODUCT((BCC_MA=$B78)*IFERROR(VALUE(SUBSTITUTE($AI$6:$AI$100,"N","")),0)),SUMPRODUCT((BCC_MA=$B78)*IFERROR(VALUE(SUBSTITUTE($AJ$6:$AJ$100,"N","")),0)),SUMPRODUCT((BCC_MA=$B78)*IFERROR(VALUE(SUBSTITUTE($AK$6:$AK$100,"N","")),0))))</f>
        <v>0</v>
      </c>
    </row>
    <row r="79" customFormat="false" ht="15" hidden="false" customHeight="false" outlineLevel="0" collapsed="false">
      <c r="A79" s="17" t="str">
        <f aca="false">IF(B79="","",ROW()-5)</f>
        <v/>
      </c>
      <c r="B79" s="10"/>
      <c r="C79" s="17" t="str">
        <f aca="false">IF(B79="","",IFERROR(INDEX(NV_TEN,MATCH(B79,NV_MA,0)),"MÃ KHÔNG CÓ"))</f>
        <v/>
      </c>
      <c r="D79" s="10"/>
      <c r="E79" s="18"/>
      <c r="F79" s="17" t="str">
        <f aca="false">IF(D79="","",IFERROR(INDEX(NH_GIO,MATCH(D79,NH_TEN,0)),"NHÓM?"))</f>
        <v/>
      </c>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2" t="str">
        <f aca="false">IF(B79="","",SUMPRODUCT(IFERROR(VALUE(SUBSTITUTE(G79:AK79,"N","")),0)))</f>
        <v/>
      </c>
      <c r="AM79" s="23" t="str">
        <f aca="false">IF(B79="","",AL79/F79)</f>
        <v/>
      </c>
      <c r="AN79" s="23" t="str">
        <f aca="false">IF(B79="","",SUMPRODUCT(ISNUMBER(SEARCH("N",G79:AK79))*IFERROR(VALUE(SUBSTITUTE(G79:AK79,"N","")),0))/F79)</f>
        <v/>
      </c>
      <c r="AO79" s="10"/>
      <c r="AP79" s="10"/>
      <c r="AQ79" s="10"/>
      <c r="AR79" s="24" t="n">
        <f aca="false">IF(B79="",0,MAX(SUMPRODUCT((BCC_MA=$B79)*IFERROR(VALUE(SUBSTITUTE($G$6:$G$100,"N","")),0)),SUMPRODUCT((BCC_MA=$B79)*IFERROR(VALUE(SUBSTITUTE($H$6:$H$100,"N","")),0)),SUMPRODUCT((BCC_MA=$B79)*IFERROR(VALUE(SUBSTITUTE($I$6:$I$100,"N","")),0)),SUMPRODUCT((BCC_MA=$B79)*IFERROR(VALUE(SUBSTITUTE($J$6:$J$100,"N","")),0)),SUMPRODUCT((BCC_MA=$B79)*IFERROR(VALUE(SUBSTITUTE($K$6:$K$100,"N","")),0)),SUMPRODUCT((BCC_MA=$B79)*IFERROR(VALUE(SUBSTITUTE($L$6:$L$100,"N","")),0)),SUMPRODUCT((BCC_MA=$B79)*IFERROR(VALUE(SUBSTITUTE($M$6:$M$100,"N","")),0)),SUMPRODUCT((BCC_MA=$B79)*IFERROR(VALUE(SUBSTITUTE($N$6:$N$100,"N","")),0)),SUMPRODUCT((BCC_MA=$B79)*IFERROR(VALUE(SUBSTITUTE($O$6:$O$100,"N","")),0)),SUMPRODUCT((BCC_MA=$B79)*IFERROR(VALUE(SUBSTITUTE($P$6:$P$100,"N","")),0)),SUMPRODUCT((BCC_MA=$B79)*IFERROR(VALUE(SUBSTITUTE($Q$6:$Q$100,"N","")),0)),SUMPRODUCT((BCC_MA=$B79)*IFERROR(VALUE(SUBSTITUTE($R$6:$R$100,"N","")),0)),SUMPRODUCT((BCC_MA=$B79)*IFERROR(VALUE(SUBSTITUTE($S$6:$S$100,"N","")),0)),SUMPRODUCT((BCC_MA=$B79)*IFERROR(VALUE(SUBSTITUTE($T$6:$T$100,"N","")),0)),SUMPRODUCT((BCC_MA=$B79)*IFERROR(VALUE(SUBSTITUTE($U$6:$U$100,"N","")),0)),SUMPRODUCT((BCC_MA=$B79)*IFERROR(VALUE(SUBSTITUTE($V$6:$V$100,"N","")),0)),SUMPRODUCT((BCC_MA=$B79)*IFERROR(VALUE(SUBSTITUTE($W$6:$W$100,"N","")),0)),SUMPRODUCT((BCC_MA=$B79)*IFERROR(VALUE(SUBSTITUTE($X$6:$X$100,"N","")),0)),SUMPRODUCT((BCC_MA=$B79)*IFERROR(VALUE(SUBSTITUTE($Y$6:$Y$100,"N","")),0)),SUMPRODUCT((BCC_MA=$B79)*IFERROR(VALUE(SUBSTITUTE($Z$6:$Z$100,"N","")),0)),SUMPRODUCT((BCC_MA=$B79)*IFERROR(VALUE(SUBSTITUTE($AA$6:$AA$100,"N","")),0)),SUMPRODUCT((BCC_MA=$B79)*IFERROR(VALUE(SUBSTITUTE($AB$6:$AB$100,"N","")),0)),SUMPRODUCT((BCC_MA=$B79)*IFERROR(VALUE(SUBSTITUTE($AC$6:$AC$100,"N","")),0)),SUMPRODUCT((BCC_MA=$B79)*IFERROR(VALUE(SUBSTITUTE($AD$6:$AD$100,"N","")),0)),SUMPRODUCT((BCC_MA=$B79)*IFERROR(VALUE(SUBSTITUTE($AE$6:$AE$100,"N","")),0)),SUMPRODUCT((BCC_MA=$B79)*IFERROR(VALUE(SUBSTITUTE($AF$6:$AF$100,"N","")),0)),SUMPRODUCT((BCC_MA=$B79)*IFERROR(VALUE(SUBSTITUTE($AG$6:$AG$100,"N","")),0)),SUMPRODUCT((BCC_MA=$B79)*IFERROR(VALUE(SUBSTITUTE($AH$6:$AH$100,"N","")),0)),SUMPRODUCT((BCC_MA=$B79)*IFERROR(VALUE(SUBSTITUTE($AI$6:$AI$100,"N","")),0)),SUMPRODUCT((BCC_MA=$B79)*IFERROR(VALUE(SUBSTITUTE($AJ$6:$AJ$100,"N","")),0)),SUMPRODUCT((BCC_MA=$B79)*IFERROR(VALUE(SUBSTITUTE($AK$6:$AK$100,"N","")),0))))</f>
        <v>0</v>
      </c>
    </row>
    <row r="80" customFormat="false" ht="15" hidden="false" customHeight="false" outlineLevel="0" collapsed="false">
      <c r="A80" s="17" t="str">
        <f aca="false">IF(B80="","",ROW()-5)</f>
        <v/>
      </c>
      <c r="B80" s="10"/>
      <c r="C80" s="17" t="str">
        <f aca="false">IF(B80="","",IFERROR(INDEX(NV_TEN,MATCH(B80,NV_MA,0)),"MÃ KHÔNG CÓ"))</f>
        <v/>
      </c>
      <c r="D80" s="10"/>
      <c r="E80" s="18"/>
      <c r="F80" s="17" t="str">
        <f aca="false">IF(D80="","",IFERROR(INDEX(NH_GIO,MATCH(D80,NH_TEN,0)),"NHÓM?"))</f>
        <v/>
      </c>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2" t="str">
        <f aca="false">IF(B80="","",SUMPRODUCT(IFERROR(VALUE(SUBSTITUTE(G80:AK80,"N","")),0)))</f>
        <v/>
      </c>
      <c r="AM80" s="23" t="str">
        <f aca="false">IF(B80="","",AL80/F80)</f>
        <v/>
      </c>
      <c r="AN80" s="23" t="str">
        <f aca="false">IF(B80="","",SUMPRODUCT(ISNUMBER(SEARCH("N",G80:AK80))*IFERROR(VALUE(SUBSTITUTE(G80:AK80,"N","")),0))/F80)</f>
        <v/>
      </c>
      <c r="AO80" s="10"/>
      <c r="AP80" s="10"/>
      <c r="AQ80" s="10"/>
      <c r="AR80" s="24" t="n">
        <f aca="false">IF(B80="",0,MAX(SUMPRODUCT((BCC_MA=$B80)*IFERROR(VALUE(SUBSTITUTE($G$6:$G$100,"N","")),0)),SUMPRODUCT((BCC_MA=$B80)*IFERROR(VALUE(SUBSTITUTE($H$6:$H$100,"N","")),0)),SUMPRODUCT((BCC_MA=$B80)*IFERROR(VALUE(SUBSTITUTE($I$6:$I$100,"N","")),0)),SUMPRODUCT((BCC_MA=$B80)*IFERROR(VALUE(SUBSTITUTE($J$6:$J$100,"N","")),0)),SUMPRODUCT((BCC_MA=$B80)*IFERROR(VALUE(SUBSTITUTE($K$6:$K$100,"N","")),0)),SUMPRODUCT((BCC_MA=$B80)*IFERROR(VALUE(SUBSTITUTE($L$6:$L$100,"N","")),0)),SUMPRODUCT((BCC_MA=$B80)*IFERROR(VALUE(SUBSTITUTE($M$6:$M$100,"N","")),0)),SUMPRODUCT((BCC_MA=$B80)*IFERROR(VALUE(SUBSTITUTE($N$6:$N$100,"N","")),0)),SUMPRODUCT((BCC_MA=$B80)*IFERROR(VALUE(SUBSTITUTE($O$6:$O$100,"N","")),0)),SUMPRODUCT((BCC_MA=$B80)*IFERROR(VALUE(SUBSTITUTE($P$6:$P$100,"N","")),0)),SUMPRODUCT((BCC_MA=$B80)*IFERROR(VALUE(SUBSTITUTE($Q$6:$Q$100,"N","")),0)),SUMPRODUCT((BCC_MA=$B80)*IFERROR(VALUE(SUBSTITUTE($R$6:$R$100,"N","")),0)),SUMPRODUCT((BCC_MA=$B80)*IFERROR(VALUE(SUBSTITUTE($S$6:$S$100,"N","")),0)),SUMPRODUCT((BCC_MA=$B80)*IFERROR(VALUE(SUBSTITUTE($T$6:$T$100,"N","")),0)),SUMPRODUCT((BCC_MA=$B80)*IFERROR(VALUE(SUBSTITUTE($U$6:$U$100,"N","")),0)),SUMPRODUCT((BCC_MA=$B80)*IFERROR(VALUE(SUBSTITUTE($V$6:$V$100,"N","")),0)),SUMPRODUCT((BCC_MA=$B80)*IFERROR(VALUE(SUBSTITUTE($W$6:$W$100,"N","")),0)),SUMPRODUCT((BCC_MA=$B80)*IFERROR(VALUE(SUBSTITUTE($X$6:$X$100,"N","")),0)),SUMPRODUCT((BCC_MA=$B80)*IFERROR(VALUE(SUBSTITUTE($Y$6:$Y$100,"N","")),0)),SUMPRODUCT((BCC_MA=$B80)*IFERROR(VALUE(SUBSTITUTE($Z$6:$Z$100,"N","")),0)),SUMPRODUCT((BCC_MA=$B80)*IFERROR(VALUE(SUBSTITUTE($AA$6:$AA$100,"N","")),0)),SUMPRODUCT((BCC_MA=$B80)*IFERROR(VALUE(SUBSTITUTE($AB$6:$AB$100,"N","")),0)),SUMPRODUCT((BCC_MA=$B80)*IFERROR(VALUE(SUBSTITUTE($AC$6:$AC$100,"N","")),0)),SUMPRODUCT((BCC_MA=$B80)*IFERROR(VALUE(SUBSTITUTE($AD$6:$AD$100,"N","")),0)),SUMPRODUCT((BCC_MA=$B80)*IFERROR(VALUE(SUBSTITUTE($AE$6:$AE$100,"N","")),0)),SUMPRODUCT((BCC_MA=$B80)*IFERROR(VALUE(SUBSTITUTE($AF$6:$AF$100,"N","")),0)),SUMPRODUCT((BCC_MA=$B80)*IFERROR(VALUE(SUBSTITUTE($AG$6:$AG$100,"N","")),0)),SUMPRODUCT((BCC_MA=$B80)*IFERROR(VALUE(SUBSTITUTE($AH$6:$AH$100,"N","")),0)),SUMPRODUCT((BCC_MA=$B80)*IFERROR(VALUE(SUBSTITUTE($AI$6:$AI$100,"N","")),0)),SUMPRODUCT((BCC_MA=$B80)*IFERROR(VALUE(SUBSTITUTE($AJ$6:$AJ$100,"N","")),0)),SUMPRODUCT((BCC_MA=$B80)*IFERROR(VALUE(SUBSTITUTE($AK$6:$AK$100,"N","")),0))))</f>
        <v>0</v>
      </c>
    </row>
    <row r="81" customFormat="false" ht="15" hidden="false" customHeight="false" outlineLevel="0" collapsed="false">
      <c r="A81" s="17" t="str">
        <f aca="false">IF(B81="","",ROW()-5)</f>
        <v/>
      </c>
      <c r="B81" s="10"/>
      <c r="C81" s="17" t="str">
        <f aca="false">IF(B81="","",IFERROR(INDEX(NV_TEN,MATCH(B81,NV_MA,0)),"MÃ KHÔNG CÓ"))</f>
        <v/>
      </c>
      <c r="D81" s="10"/>
      <c r="E81" s="18"/>
      <c r="F81" s="17" t="str">
        <f aca="false">IF(D81="","",IFERROR(INDEX(NH_GIO,MATCH(D81,NH_TEN,0)),"NHÓM?"))</f>
        <v/>
      </c>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2" t="str">
        <f aca="false">IF(B81="","",SUMPRODUCT(IFERROR(VALUE(SUBSTITUTE(G81:AK81,"N","")),0)))</f>
        <v/>
      </c>
      <c r="AM81" s="23" t="str">
        <f aca="false">IF(B81="","",AL81/F81)</f>
        <v/>
      </c>
      <c r="AN81" s="23" t="str">
        <f aca="false">IF(B81="","",SUMPRODUCT(ISNUMBER(SEARCH("N",G81:AK81))*IFERROR(VALUE(SUBSTITUTE(G81:AK81,"N","")),0))/F81)</f>
        <v/>
      </c>
      <c r="AO81" s="10"/>
      <c r="AP81" s="10"/>
      <c r="AQ81" s="10"/>
      <c r="AR81" s="24" t="n">
        <f aca="false">IF(B81="",0,MAX(SUMPRODUCT((BCC_MA=$B81)*IFERROR(VALUE(SUBSTITUTE($G$6:$G$100,"N","")),0)),SUMPRODUCT((BCC_MA=$B81)*IFERROR(VALUE(SUBSTITUTE($H$6:$H$100,"N","")),0)),SUMPRODUCT((BCC_MA=$B81)*IFERROR(VALUE(SUBSTITUTE($I$6:$I$100,"N","")),0)),SUMPRODUCT((BCC_MA=$B81)*IFERROR(VALUE(SUBSTITUTE($J$6:$J$100,"N","")),0)),SUMPRODUCT((BCC_MA=$B81)*IFERROR(VALUE(SUBSTITUTE($K$6:$K$100,"N","")),0)),SUMPRODUCT((BCC_MA=$B81)*IFERROR(VALUE(SUBSTITUTE($L$6:$L$100,"N","")),0)),SUMPRODUCT((BCC_MA=$B81)*IFERROR(VALUE(SUBSTITUTE($M$6:$M$100,"N","")),0)),SUMPRODUCT((BCC_MA=$B81)*IFERROR(VALUE(SUBSTITUTE($N$6:$N$100,"N","")),0)),SUMPRODUCT((BCC_MA=$B81)*IFERROR(VALUE(SUBSTITUTE($O$6:$O$100,"N","")),0)),SUMPRODUCT((BCC_MA=$B81)*IFERROR(VALUE(SUBSTITUTE($P$6:$P$100,"N","")),0)),SUMPRODUCT((BCC_MA=$B81)*IFERROR(VALUE(SUBSTITUTE($Q$6:$Q$100,"N","")),0)),SUMPRODUCT((BCC_MA=$B81)*IFERROR(VALUE(SUBSTITUTE($R$6:$R$100,"N","")),0)),SUMPRODUCT((BCC_MA=$B81)*IFERROR(VALUE(SUBSTITUTE($S$6:$S$100,"N","")),0)),SUMPRODUCT((BCC_MA=$B81)*IFERROR(VALUE(SUBSTITUTE($T$6:$T$100,"N","")),0)),SUMPRODUCT((BCC_MA=$B81)*IFERROR(VALUE(SUBSTITUTE($U$6:$U$100,"N","")),0)),SUMPRODUCT((BCC_MA=$B81)*IFERROR(VALUE(SUBSTITUTE($V$6:$V$100,"N","")),0)),SUMPRODUCT((BCC_MA=$B81)*IFERROR(VALUE(SUBSTITUTE($W$6:$W$100,"N","")),0)),SUMPRODUCT((BCC_MA=$B81)*IFERROR(VALUE(SUBSTITUTE($X$6:$X$100,"N","")),0)),SUMPRODUCT((BCC_MA=$B81)*IFERROR(VALUE(SUBSTITUTE($Y$6:$Y$100,"N","")),0)),SUMPRODUCT((BCC_MA=$B81)*IFERROR(VALUE(SUBSTITUTE($Z$6:$Z$100,"N","")),0)),SUMPRODUCT((BCC_MA=$B81)*IFERROR(VALUE(SUBSTITUTE($AA$6:$AA$100,"N","")),0)),SUMPRODUCT((BCC_MA=$B81)*IFERROR(VALUE(SUBSTITUTE($AB$6:$AB$100,"N","")),0)),SUMPRODUCT((BCC_MA=$B81)*IFERROR(VALUE(SUBSTITUTE($AC$6:$AC$100,"N","")),0)),SUMPRODUCT((BCC_MA=$B81)*IFERROR(VALUE(SUBSTITUTE($AD$6:$AD$100,"N","")),0)),SUMPRODUCT((BCC_MA=$B81)*IFERROR(VALUE(SUBSTITUTE($AE$6:$AE$100,"N","")),0)),SUMPRODUCT((BCC_MA=$B81)*IFERROR(VALUE(SUBSTITUTE($AF$6:$AF$100,"N","")),0)),SUMPRODUCT((BCC_MA=$B81)*IFERROR(VALUE(SUBSTITUTE($AG$6:$AG$100,"N","")),0)),SUMPRODUCT((BCC_MA=$B81)*IFERROR(VALUE(SUBSTITUTE($AH$6:$AH$100,"N","")),0)),SUMPRODUCT((BCC_MA=$B81)*IFERROR(VALUE(SUBSTITUTE($AI$6:$AI$100,"N","")),0)),SUMPRODUCT((BCC_MA=$B81)*IFERROR(VALUE(SUBSTITUTE($AJ$6:$AJ$100,"N","")),0)),SUMPRODUCT((BCC_MA=$B81)*IFERROR(VALUE(SUBSTITUTE($AK$6:$AK$100,"N","")),0))))</f>
        <v>0</v>
      </c>
    </row>
    <row r="82" customFormat="false" ht="15" hidden="false" customHeight="false" outlineLevel="0" collapsed="false">
      <c r="A82" s="17" t="str">
        <f aca="false">IF(B82="","",ROW()-5)</f>
        <v/>
      </c>
      <c r="B82" s="10"/>
      <c r="C82" s="17" t="str">
        <f aca="false">IF(B82="","",IFERROR(INDEX(NV_TEN,MATCH(B82,NV_MA,0)),"MÃ KHÔNG CÓ"))</f>
        <v/>
      </c>
      <c r="D82" s="10"/>
      <c r="E82" s="18"/>
      <c r="F82" s="17" t="str">
        <f aca="false">IF(D82="","",IFERROR(INDEX(NH_GIO,MATCH(D82,NH_TEN,0)),"NHÓM?"))</f>
        <v/>
      </c>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2" t="str">
        <f aca="false">IF(B82="","",SUMPRODUCT(IFERROR(VALUE(SUBSTITUTE(G82:AK82,"N","")),0)))</f>
        <v/>
      </c>
      <c r="AM82" s="23" t="str">
        <f aca="false">IF(B82="","",AL82/F82)</f>
        <v/>
      </c>
      <c r="AN82" s="23" t="str">
        <f aca="false">IF(B82="","",SUMPRODUCT(ISNUMBER(SEARCH("N",G82:AK82))*IFERROR(VALUE(SUBSTITUTE(G82:AK82,"N","")),0))/F82)</f>
        <v/>
      </c>
      <c r="AO82" s="10"/>
      <c r="AP82" s="10"/>
      <c r="AQ82" s="10"/>
      <c r="AR82" s="24" t="n">
        <f aca="false">IF(B82="",0,MAX(SUMPRODUCT((BCC_MA=$B82)*IFERROR(VALUE(SUBSTITUTE($G$6:$G$100,"N","")),0)),SUMPRODUCT((BCC_MA=$B82)*IFERROR(VALUE(SUBSTITUTE($H$6:$H$100,"N","")),0)),SUMPRODUCT((BCC_MA=$B82)*IFERROR(VALUE(SUBSTITUTE($I$6:$I$100,"N","")),0)),SUMPRODUCT((BCC_MA=$B82)*IFERROR(VALUE(SUBSTITUTE($J$6:$J$100,"N","")),0)),SUMPRODUCT((BCC_MA=$B82)*IFERROR(VALUE(SUBSTITUTE($K$6:$K$100,"N","")),0)),SUMPRODUCT((BCC_MA=$B82)*IFERROR(VALUE(SUBSTITUTE($L$6:$L$100,"N","")),0)),SUMPRODUCT((BCC_MA=$B82)*IFERROR(VALUE(SUBSTITUTE($M$6:$M$100,"N","")),0)),SUMPRODUCT((BCC_MA=$B82)*IFERROR(VALUE(SUBSTITUTE($N$6:$N$100,"N","")),0)),SUMPRODUCT((BCC_MA=$B82)*IFERROR(VALUE(SUBSTITUTE($O$6:$O$100,"N","")),0)),SUMPRODUCT((BCC_MA=$B82)*IFERROR(VALUE(SUBSTITUTE($P$6:$P$100,"N","")),0)),SUMPRODUCT((BCC_MA=$B82)*IFERROR(VALUE(SUBSTITUTE($Q$6:$Q$100,"N","")),0)),SUMPRODUCT((BCC_MA=$B82)*IFERROR(VALUE(SUBSTITUTE($R$6:$R$100,"N","")),0)),SUMPRODUCT((BCC_MA=$B82)*IFERROR(VALUE(SUBSTITUTE($S$6:$S$100,"N","")),0)),SUMPRODUCT((BCC_MA=$B82)*IFERROR(VALUE(SUBSTITUTE($T$6:$T$100,"N","")),0)),SUMPRODUCT((BCC_MA=$B82)*IFERROR(VALUE(SUBSTITUTE($U$6:$U$100,"N","")),0)),SUMPRODUCT((BCC_MA=$B82)*IFERROR(VALUE(SUBSTITUTE($V$6:$V$100,"N","")),0)),SUMPRODUCT((BCC_MA=$B82)*IFERROR(VALUE(SUBSTITUTE($W$6:$W$100,"N","")),0)),SUMPRODUCT((BCC_MA=$B82)*IFERROR(VALUE(SUBSTITUTE($X$6:$X$100,"N","")),0)),SUMPRODUCT((BCC_MA=$B82)*IFERROR(VALUE(SUBSTITUTE($Y$6:$Y$100,"N","")),0)),SUMPRODUCT((BCC_MA=$B82)*IFERROR(VALUE(SUBSTITUTE($Z$6:$Z$100,"N","")),0)),SUMPRODUCT((BCC_MA=$B82)*IFERROR(VALUE(SUBSTITUTE($AA$6:$AA$100,"N","")),0)),SUMPRODUCT((BCC_MA=$B82)*IFERROR(VALUE(SUBSTITUTE($AB$6:$AB$100,"N","")),0)),SUMPRODUCT((BCC_MA=$B82)*IFERROR(VALUE(SUBSTITUTE($AC$6:$AC$100,"N","")),0)),SUMPRODUCT((BCC_MA=$B82)*IFERROR(VALUE(SUBSTITUTE($AD$6:$AD$100,"N","")),0)),SUMPRODUCT((BCC_MA=$B82)*IFERROR(VALUE(SUBSTITUTE($AE$6:$AE$100,"N","")),0)),SUMPRODUCT((BCC_MA=$B82)*IFERROR(VALUE(SUBSTITUTE($AF$6:$AF$100,"N","")),0)),SUMPRODUCT((BCC_MA=$B82)*IFERROR(VALUE(SUBSTITUTE($AG$6:$AG$100,"N","")),0)),SUMPRODUCT((BCC_MA=$B82)*IFERROR(VALUE(SUBSTITUTE($AH$6:$AH$100,"N","")),0)),SUMPRODUCT((BCC_MA=$B82)*IFERROR(VALUE(SUBSTITUTE($AI$6:$AI$100,"N","")),0)),SUMPRODUCT((BCC_MA=$B82)*IFERROR(VALUE(SUBSTITUTE($AJ$6:$AJ$100,"N","")),0)),SUMPRODUCT((BCC_MA=$B82)*IFERROR(VALUE(SUBSTITUTE($AK$6:$AK$100,"N","")),0))))</f>
        <v>0</v>
      </c>
    </row>
    <row r="83" customFormat="false" ht="15" hidden="false" customHeight="false" outlineLevel="0" collapsed="false">
      <c r="A83" s="17" t="str">
        <f aca="false">IF(B83="","",ROW()-5)</f>
        <v/>
      </c>
      <c r="B83" s="10"/>
      <c r="C83" s="17" t="str">
        <f aca="false">IF(B83="","",IFERROR(INDEX(NV_TEN,MATCH(B83,NV_MA,0)),"MÃ KHÔNG CÓ"))</f>
        <v/>
      </c>
      <c r="D83" s="10"/>
      <c r="E83" s="18"/>
      <c r="F83" s="17" t="str">
        <f aca="false">IF(D83="","",IFERROR(INDEX(NH_GIO,MATCH(D83,NH_TEN,0)),"NHÓM?"))</f>
        <v/>
      </c>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2" t="str">
        <f aca="false">IF(B83="","",SUMPRODUCT(IFERROR(VALUE(SUBSTITUTE(G83:AK83,"N","")),0)))</f>
        <v/>
      </c>
      <c r="AM83" s="23" t="str">
        <f aca="false">IF(B83="","",AL83/F83)</f>
        <v/>
      </c>
      <c r="AN83" s="23" t="str">
        <f aca="false">IF(B83="","",SUMPRODUCT(ISNUMBER(SEARCH("N",G83:AK83))*IFERROR(VALUE(SUBSTITUTE(G83:AK83,"N","")),0))/F83)</f>
        <v/>
      </c>
      <c r="AO83" s="10"/>
      <c r="AP83" s="10"/>
      <c r="AQ83" s="10"/>
      <c r="AR83" s="24" t="n">
        <f aca="false">IF(B83="",0,MAX(SUMPRODUCT((BCC_MA=$B83)*IFERROR(VALUE(SUBSTITUTE($G$6:$G$100,"N","")),0)),SUMPRODUCT((BCC_MA=$B83)*IFERROR(VALUE(SUBSTITUTE($H$6:$H$100,"N","")),0)),SUMPRODUCT((BCC_MA=$B83)*IFERROR(VALUE(SUBSTITUTE($I$6:$I$100,"N","")),0)),SUMPRODUCT((BCC_MA=$B83)*IFERROR(VALUE(SUBSTITUTE($J$6:$J$100,"N","")),0)),SUMPRODUCT((BCC_MA=$B83)*IFERROR(VALUE(SUBSTITUTE($K$6:$K$100,"N","")),0)),SUMPRODUCT((BCC_MA=$B83)*IFERROR(VALUE(SUBSTITUTE($L$6:$L$100,"N","")),0)),SUMPRODUCT((BCC_MA=$B83)*IFERROR(VALUE(SUBSTITUTE($M$6:$M$100,"N","")),0)),SUMPRODUCT((BCC_MA=$B83)*IFERROR(VALUE(SUBSTITUTE($N$6:$N$100,"N","")),0)),SUMPRODUCT((BCC_MA=$B83)*IFERROR(VALUE(SUBSTITUTE($O$6:$O$100,"N","")),0)),SUMPRODUCT((BCC_MA=$B83)*IFERROR(VALUE(SUBSTITUTE($P$6:$P$100,"N","")),0)),SUMPRODUCT((BCC_MA=$B83)*IFERROR(VALUE(SUBSTITUTE($Q$6:$Q$100,"N","")),0)),SUMPRODUCT((BCC_MA=$B83)*IFERROR(VALUE(SUBSTITUTE($R$6:$R$100,"N","")),0)),SUMPRODUCT((BCC_MA=$B83)*IFERROR(VALUE(SUBSTITUTE($S$6:$S$100,"N","")),0)),SUMPRODUCT((BCC_MA=$B83)*IFERROR(VALUE(SUBSTITUTE($T$6:$T$100,"N","")),0)),SUMPRODUCT((BCC_MA=$B83)*IFERROR(VALUE(SUBSTITUTE($U$6:$U$100,"N","")),0)),SUMPRODUCT((BCC_MA=$B83)*IFERROR(VALUE(SUBSTITUTE($V$6:$V$100,"N","")),0)),SUMPRODUCT((BCC_MA=$B83)*IFERROR(VALUE(SUBSTITUTE($W$6:$W$100,"N","")),0)),SUMPRODUCT((BCC_MA=$B83)*IFERROR(VALUE(SUBSTITUTE($X$6:$X$100,"N","")),0)),SUMPRODUCT((BCC_MA=$B83)*IFERROR(VALUE(SUBSTITUTE($Y$6:$Y$100,"N","")),0)),SUMPRODUCT((BCC_MA=$B83)*IFERROR(VALUE(SUBSTITUTE($Z$6:$Z$100,"N","")),0)),SUMPRODUCT((BCC_MA=$B83)*IFERROR(VALUE(SUBSTITUTE($AA$6:$AA$100,"N","")),0)),SUMPRODUCT((BCC_MA=$B83)*IFERROR(VALUE(SUBSTITUTE($AB$6:$AB$100,"N","")),0)),SUMPRODUCT((BCC_MA=$B83)*IFERROR(VALUE(SUBSTITUTE($AC$6:$AC$100,"N","")),0)),SUMPRODUCT((BCC_MA=$B83)*IFERROR(VALUE(SUBSTITUTE($AD$6:$AD$100,"N","")),0)),SUMPRODUCT((BCC_MA=$B83)*IFERROR(VALUE(SUBSTITUTE($AE$6:$AE$100,"N","")),0)),SUMPRODUCT((BCC_MA=$B83)*IFERROR(VALUE(SUBSTITUTE($AF$6:$AF$100,"N","")),0)),SUMPRODUCT((BCC_MA=$B83)*IFERROR(VALUE(SUBSTITUTE($AG$6:$AG$100,"N","")),0)),SUMPRODUCT((BCC_MA=$B83)*IFERROR(VALUE(SUBSTITUTE($AH$6:$AH$100,"N","")),0)),SUMPRODUCT((BCC_MA=$B83)*IFERROR(VALUE(SUBSTITUTE($AI$6:$AI$100,"N","")),0)),SUMPRODUCT((BCC_MA=$B83)*IFERROR(VALUE(SUBSTITUTE($AJ$6:$AJ$100,"N","")),0)),SUMPRODUCT((BCC_MA=$B83)*IFERROR(VALUE(SUBSTITUTE($AK$6:$AK$100,"N","")),0))))</f>
        <v>0</v>
      </c>
    </row>
    <row r="84" customFormat="false" ht="15" hidden="false" customHeight="false" outlineLevel="0" collapsed="false">
      <c r="A84" s="17" t="str">
        <f aca="false">IF(B84="","",ROW()-5)</f>
        <v/>
      </c>
      <c r="B84" s="10"/>
      <c r="C84" s="17" t="str">
        <f aca="false">IF(B84="","",IFERROR(INDEX(NV_TEN,MATCH(B84,NV_MA,0)),"MÃ KHÔNG CÓ"))</f>
        <v/>
      </c>
      <c r="D84" s="10"/>
      <c r="E84" s="18"/>
      <c r="F84" s="17" t="str">
        <f aca="false">IF(D84="","",IFERROR(INDEX(NH_GIO,MATCH(D84,NH_TEN,0)),"NHÓM?"))</f>
        <v/>
      </c>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2" t="str">
        <f aca="false">IF(B84="","",SUMPRODUCT(IFERROR(VALUE(SUBSTITUTE(G84:AK84,"N","")),0)))</f>
        <v/>
      </c>
      <c r="AM84" s="23" t="str">
        <f aca="false">IF(B84="","",AL84/F84)</f>
        <v/>
      </c>
      <c r="AN84" s="23" t="str">
        <f aca="false">IF(B84="","",SUMPRODUCT(ISNUMBER(SEARCH("N",G84:AK84))*IFERROR(VALUE(SUBSTITUTE(G84:AK84,"N","")),0))/F84)</f>
        <v/>
      </c>
      <c r="AO84" s="10"/>
      <c r="AP84" s="10"/>
      <c r="AQ84" s="10"/>
      <c r="AR84" s="24" t="n">
        <f aca="false">IF(B84="",0,MAX(SUMPRODUCT((BCC_MA=$B84)*IFERROR(VALUE(SUBSTITUTE($G$6:$G$100,"N","")),0)),SUMPRODUCT((BCC_MA=$B84)*IFERROR(VALUE(SUBSTITUTE($H$6:$H$100,"N","")),0)),SUMPRODUCT((BCC_MA=$B84)*IFERROR(VALUE(SUBSTITUTE($I$6:$I$100,"N","")),0)),SUMPRODUCT((BCC_MA=$B84)*IFERROR(VALUE(SUBSTITUTE($J$6:$J$100,"N","")),0)),SUMPRODUCT((BCC_MA=$B84)*IFERROR(VALUE(SUBSTITUTE($K$6:$K$100,"N","")),0)),SUMPRODUCT((BCC_MA=$B84)*IFERROR(VALUE(SUBSTITUTE($L$6:$L$100,"N","")),0)),SUMPRODUCT((BCC_MA=$B84)*IFERROR(VALUE(SUBSTITUTE($M$6:$M$100,"N","")),0)),SUMPRODUCT((BCC_MA=$B84)*IFERROR(VALUE(SUBSTITUTE($N$6:$N$100,"N","")),0)),SUMPRODUCT((BCC_MA=$B84)*IFERROR(VALUE(SUBSTITUTE($O$6:$O$100,"N","")),0)),SUMPRODUCT((BCC_MA=$B84)*IFERROR(VALUE(SUBSTITUTE($P$6:$P$100,"N","")),0)),SUMPRODUCT((BCC_MA=$B84)*IFERROR(VALUE(SUBSTITUTE($Q$6:$Q$100,"N","")),0)),SUMPRODUCT((BCC_MA=$B84)*IFERROR(VALUE(SUBSTITUTE($R$6:$R$100,"N","")),0)),SUMPRODUCT((BCC_MA=$B84)*IFERROR(VALUE(SUBSTITUTE($S$6:$S$100,"N","")),0)),SUMPRODUCT((BCC_MA=$B84)*IFERROR(VALUE(SUBSTITUTE($T$6:$T$100,"N","")),0)),SUMPRODUCT((BCC_MA=$B84)*IFERROR(VALUE(SUBSTITUTE($U$6:$U$100,"N","")),0)),SUMPRODUCT((BCC_MA=$B84)*IFERROR(VALUE(SUBSTITUTE($V$6:$V$100,"N","")),0)),SUMPRODUCT((BCC_MA=$B84)*IFERROR(VALUE(SUBSTITUTE($W$6:$W$100,"N","")),0)),SUMPRODUCT((BCC_MA=$B84)*IFERROR(VALUE(SUBSTITUTE($X$6:$X$100,"N","")),0)),SUMPRODUCT((BCC_MA=$B84)*IFERROR(VALUE(SUBSTITUTE($Y$6:$Y$100,"N","")),0)),SUMPRODUCT((BCC_MA=$B84)*IFERROR(VALUE(SUBSTITUTE($Z$6:$Z$100,"N","")),0)),SUMPRODUCT((BCC_MA=$B84)*IFERROR(VALUE(SUBSTITUTE($AA$6:$AA$100,"N","")),0)),SUMPRODUCT((BCC_MA=$B84)*IFERROR(VALUE(SUBSTITUTE($AB$6:$AB$100,"N","")),0)),SUMPRODUCT((BCC_MA=$B84)*IFERROR(VALUE(SUBSTITUTE($AC$6:$AC$100,"N","")),0)),SUMPRODUCT((BCC_MA=$B84)*IFERROR(VALUE(SUBSTITUTE($AD$6:$AD$100,"N","")),0)),SUMPRODUCT((BCC_MA=$B84)*IFERROR(VALUE(SUBSTITUTE($AE$6:$AE$100,"N","")),0)),SUMPRODUCT((BCC_MA=$B84)*IFERROR(VALUE(SUBSTITUTE($AF$6:$AF$100,"N","")),0)),SUMPRODUCT((BCC_MA=$B84)*IFERROR(VALUE(SUBSTITUTE($AG$6:$AG$100,"N","")),0)),SUMPRODUCT((BCC_MA=$B84)*IFERROR(VALUE(SUBSTITUTE($AH$6:$AH$100,"N","")),0)),SUMPRODUCT((BCC_MA=$B84)*IFERROR(VALUE(SUBSTITUTE($AI$6:$AI$100,"N","")),0)),SUMPRODUCT((BCC_MA=$B84)*IFERROR(VALUE(SUBSTITUTE($AJ$6:$AJ$100,"N","")),0)),SUMPRODUCT((BCC_MA=$B84)*IFERROR(VALUE(SUBSTITUTE($AK$6:$AK$100,"N","")),0))))</f>
        <v>0</v>
      </c>
    </row>
    <row r="85" customFormat="false" ht="15" hidden="false" customHeight="false" outlineLevel="0" collapsed="false">
      <c r="A85" s="17" t="str">
        <f aca="false">IF(B85="","",ROW()-5)</f>
        <v/>
      </c>
      <c r="B85" s="10"/>
      <c r="C85" s="17" t="str">
        <f aca="false">IF(B85="","",IFERROR(INDEX(NV_TEN,MATCH(B85,NV_MA,0)),"MÃ KHÔNG CÓ"))</f>
        <v/>
      </c>
      <c r="D85" s="10"/>
      <c r="E85" s="18"/>
      <c r="F85" s="17" t="str">
        <f aca="false">IF(D85="","",IFERROR(INDEX(NH_GIO,MATCH(D85,NH_TEN,0)),"NHÓM?"))</f>
        <v/>
      </c>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2" t="str">
        <f aca="false">IF(B85="","",SUMPRODUCT(IFERROR(VALUE(SUBSTITUTE(G85:AK85,"N","")),0)))</f>
        <v/>
      </c>
      <c r="AM85" s="23" t="str">
        <f aca="false">IF(B85="","",AL85/F85)</f>
        <v/>
      </c>
      <c r="AN85" s="23" t="str">
        <f aca="false">IF(B85="","",SUMPRODUCT(ISNUMBER(SEARCH("N",G85:AK85))*IFERROR(VALUE(SUBSTITUTE(G85:AK85,"N","")),0))/F85)</f>
        <v/>
      </c>
      <c r="AO85" s="10"/>
      <c r="AP85" s="10"/>
      <c r="AQ85" s="10"/>
      <c r="AR85" s="24" t="n">
        <f aca="false">IF(B85="",0,MAX(SUMPRODUCT((BCC_MA=$B85)*IFERROR(VALUE(SUBSTITUTE($G$6:$G$100,"N","")),0)),SUMPRODUCT((BCC_MA=$B85)*IFERROR(VALUE(SUBSTITUTE($H$6:$H$100,"N","")),0)),SUMPRODUCT((BCC_MA=$B85)*IFERROR(VALUE(SUBSTITUTE($I$6:$I$100,"N","")),0)),SUMPRODUCT((BCC_MA=$B85)*IFERROR(VALUE(SUBSTITUTE($J$6:$J$100,"N","")),0)),SUMPRODUCT((BCC_MA=$B85)*IFERROR(VALUE(SUBSTITUTE($K$6:$K$100,"N","")),0)),SUMPRODUCT((BCC_MA=$B85)*IFERROR(VALUE(SUBSTITUTE($L$6:$L$100,"N","")),0)),SUMPRODUCT((BCC_MA=$B85)*IFERROR(VALUE(SUBSTITUTE($M$6:$M$100,"N","")),0)),SUMPRODUCT((BCC_MA=$B85)*IFERROR(VALUE(SUBSTITUTE($N$6:$N$100,"N","")),0)),SUMPRODUCT((BCC_MA=$B85)*IFERROR(VALUE(SUBSTITUTE($O$6:$O$100,"N","")),0)),SUMPRODUCT((BCC_MA=$B85)*IFERROR(VALUE(SUBSTITUTE($P$6:$P$100,"N","")),0)),SUMPRODUCT((BCC_MA=$B85)*IFERROR(VALUE(SUBSTITUTE($Q$6:$Q$100,"N","")),0)),SUMPRODUCT((BCC_MA=$B85)*IFERROR(VALUE(SUBSTITUTE($R$6:$R$100,"N","")),0)),SUMPRODUCT((BCC_MA=$B85)*IFERROR(VALUE(SUBSTITUTE($S$6:$S$100,"N","")),0)),SUMPRODUCT((BCC_MA=$B85)*IFERROR(VALUE(SUBSTITUTE($T$6:$T$100,"N","")),0)),SUMPRODUCT((BCC_MA=$B85)*IFERROR(VALUE(SUBSTITUTE($U$6:$U$100,"N","")),0)),SUMPRODUCT((BCC_MA=$B85)*IFERROR(VALUE(SUBSTITUTE($V$6:$V$100,"N","")),0)),SUMPRODUCT((BCC_MA=$B85)*IFERROR(VALUE(SUBSTITUTE($W$6:$W$100,"N","")),0)),SUMPRODUCT((BCC_MA=$B85)*IFERROR(VALUE(SUBSTITUTE($X$6:$X$100,"N","")),0)),SUMPRODUCT((BCC_MA=$B85)*IFERROR(VALUE(SUBSTITUTE($Y$6:$Y$100,"N","")),0)),SUMPRODUCT((BCC_MA=$B85)*IFERROR(VALUE(SUBSTITUTE($Z$6:$Z$100,"N","")),0)),SUMPRODUCT((BCC_MA=$B85)*IFERROR(VALUE(SUBSTITUTE($AA$6:$AA$100,"N","")),0)),SUMPRODUCT((BCC_MA=$B85)*IFERROR(VALUE(SUBSTITUTE($AB$6:$AB$100,"N","")),0)),SUMPRODUCT((BCC_MA=$B85)*IFERROR(VALUE(SUBSTITUTE($AC$6:$AC$100,"N","")),0)),SUMPRODUCT((BCC_MA=$B85)*IFERROR(VALUE(SUBSTITUTE($AD$6:$AD$100,"N","")),0)),SUMPRODUCT((BCC_MA=$B85)*IFERROR(VALUE(SUBSTITUTE($AE$6:$AE$100,"N","")),0)),SUMPRODUCT((BCC_MA=$B85)*IFERROR(VALUE(SUBSTITUTE($AF$6:$AF$100,"N","")),0)),SUMPRODUCT((BCC_MA=$B85)*IFERROR(VALUE(SUBSTITUTE($AG$6:$AG$100,"N","")),0)),SUMPRODUCT((BCC_MA=$B85)*IFERROR(VALUE(SUBSTITUTE($AH$6:$AH$100,"N","")),0)),SUMPRODUCT((BCC_MA=$B85)*IFERROR(VALUE(SUBSTITUTE($AI$6:$AI$100,"N","")),0)),SUMPRODUCT((BCC_MA=$B85)*IFERROR(VALUE(SUBSTITUTE($AJ$6:$AJ$100,"N","")),0)),SUMPRODUCT((BCC_MA=$B85)*IFERROR(VALUE(SUBSTITUTE($AK$6:$AK$100,"N","")),0))))</f>
        <v>0</v>
      </c>
    </row>
    <row r="86" customFormat="false" ht="15" hidden="false" customHeight="false" outlineLevel="0" collapsed="false">
      <c r="A86" s="17" t="str">
        <f aca="false">IF(B86="","",ROW()-5)</f>
        <v/>
      </c>
      <c r="B86" s="10"/>
      <c r="C86" s="17" t="str">
        <f aca="false">IF(B86="","",IFERROR(INDEX(NV_TEN,MATCH(B86,NV_MA,0)),"MÃ KHÔNG CÓ"))</f>
        <v/>
      </c>
      <c r="D86" s="10"/>
      <c r="E86" s="18"/>
      <c r="F86" s="17" t="str">
        <f aca="false">IF(D86="","",IFERROR(INDEX(NH_GIO,MATCH(D86,NH_TEN,0)),"NHÓM?"))</f>
        <v/>
      </c>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2" t="str">
        <f aca="false">IF(B86="","",SUMPRODUCT(IFERROR(VALUE(SUBSTITUTE(G86:AK86,"N","")),0)))</f>
        <v/>
      </c>
      <c r="AM86" s="23" t="str">
        <f aca="false">IF(B86="","",AL86/F86)</f>
        <v/>
      </c>
      <c r="AN86" s="23" t="str">
        <f aca="false">IF(B86="","",SUMPRODUCT(ISNUMBER(SEARCH("N",G86:AK86))*IFERROR(VALUE(SUBSTITUTE(G86:AK86,"N","")),0))/F86)</f>
        <v/>
      </c>
      <c r="AO86" s="10"/>
      <c r="AP86" s="10"/>
      <c r="AQ86" s="10"/>
      <c r="AR86" s="24" t="n">
        <f aca="false">IF(B86="",0,MAX(SUMPRODUCT((BCC_MA=$B86)*IFERROR(VALUE(SUBSTITUTE($G$6:$G$100,"N","")),0)),SUMPRODUCT((BCC_MA=$B86)*IFERROR(VALUE(SUBSTITUTE($H$6:$H$100,"N","")),0)),SUMPRODUCT((BCC_MA=$B86)*IFERROR(VALUE(SUBSTITUTE($I$6:$I$100,"N","")),0)),SUMPRODUCT((BCC_MA=$B86)*IFERROR(VALUE(SUBSTITUTE($J$6:$J$100,"N","")),0)),SUMPRODUCT((BCC_MA=$B86)*IFERROR(VALUE(SUBSTITUTE($K$6:$K$100,"N","")),0)),SUMPRODUCT((BCC_MA=$B86)*IFERROR(VALUE(SUBSTITUTE($L$6:$L$100,"N","")),0)),SUMPRODUCT((BCC_MA=$B86)*IFERROR(VALUE(SUBSTITUTE($M$6:$M$100,"N","")),0)),SUMPRODUCT((BCC_MA=$B86)*IFERROR(VALUE(SUBSTITUTE($N$6:$N$100,"N","")),0)),SUMPRODUCT((BCC_MA=$B86)*IFERROR(VALUE(SUBSTITUTE($O$6:$O$100,"N","")),0)),SUMPRODUCT((BCC_MA=$B86)*IFERROR(VALUE(SUBSTITUTE($P$6:$P$100,"N","")),0)),SUMPRODUCT((BCC_MA=$B86)*IFERROR(VALUE(SUBSTITUTE($Q$6:$Q$100,"N","")),0)),SUMPRODUCT((BCC_MA=$B86)*IFERROR(VALUE(SUBSTITUTE($R$6:$R$100,"N","")),0)),SUMPRODUCT((BCC_MA=$B86)*IFERROR(VALUE(SUBSTITUTE($S$6:$S$100,"N","")),0)),SUMPRODUCT((BCC_MA=$B86)*IFERROR(VALUE(SUBSTITUTE($T$6:$T$100,"N","")),0)),SUMPRODUCT((BCC_MA=$B86)*IFERROR(VALUE(SUBSTITUTE($U$6:$U$100,"N","")),0)),SUMPRODUCT((BCC_MA=$B86)*IFERROR(VALUE(SUBSTITUTE($V$6:$V$100,"N","")),0)),SUMPRODUCT((BCC_MA=$B86)*IFERROR(VALUE(SUBSTITUTE($W$6:$W$100,"N","")),0)),SUMPRODUCT((BCC_MA=$B86)*IFERROR(VALUE(SUBSTITUTE($X$6:$X$100,"N","")),0)),SUMPRODUCT((BCC_MA=$B86)*IFERROR(VALUE(SUBSTITUTE($Y$6:$Y$100,"N","")),0)),SUMPRODUCT((BCC_MA=$B86)*IFERROR(VALUE(SUBSTITUTE($Z$6:$Z$100,"N","")),0)),SUMPRODUCT((BCC_MA=$B86)*IFERROR(VALUE(SUBSTITUTE($AA$6:$AA$100,"N","")),0)),SUMPRODUCT((BCC_MA=$B86)*IFERROR(VALUE(SUBSTITUTE($AB$6:$AB$100,"N","")),0)),SUMPRODUCT((BCC_MA=$B86)*IFERROR(VALUE(SUBSTITUTE($AC$6:$AC$100,"N","")),0)),SUMPRODUCT((BCC_MA=$B86)*IFERROR(VALUE(SUBSTITUTE($AD$6:$AD$100,"N","")),0)),SUMPRODUCT((BCC_MA=$B86)*IFERROR(VALUE(SUBSTITUTE($AE$6:$AE$100,"N","")),0)),SUMPRODUCT((BCC_MA=$B86)*IFERROR(VALUE(SUBSTITUTE($AF$6:$AF$100,"N","")),0)),SUMPRODUCT((BCC_MA=$B86)*IFERROR(VALUE(SUBSTITUTE($AG$6:$AG$100,"N","")),0)),SUMPRODUCT((BCC_MA=$B86)*IFERROR(VALUE(SUBSTITUTE($AH$6:$AH$100,"N","")),0)),SUMPRODUCT((BCC_MA=$B86)*IFERROR(VALUE(SUBSTITUTE($AI$6:$AI$100,"N","")),0)),SUMPRODUCT((BCC_MA=$B86)*IFERROR(VALUE(SUBSTITUTE($AJ$6:$AJ$100,"N","")),0)),SUMPRODUCT((BCC_MA=$B86)*IFERROR(VALUE(SUBSTITUTE($AK$6:$AK$100,"N","")),0))))</f>
        <v>0</v>
      </c>
    </row>
    <row r="87" customFormat="false" ht="15" hidden="false" customHeight="false" outlineLevel="0" collapsed="false">
      <c r="A87" s="17" t="str">
        <f aca="false">IF(B87="","",ROW()-5)</f>
        <v/>
      </c>
      <c r="B87" s="10"/>
      <c r="C87" s="17" t="str">
        <f aca="false">IF(B87="","",IFERROR(INDEX(NV_TEN,MATCH(B87,NV_MA,0)),"MÃ KHÔNG CÓ"))</f>
        <v/>
      </c>
      <c r="D87" s="10"/>
      <c r="E87" s="18"/>
      <c r="F87" s="17" t="str">
        <f aca="false">IF(D87="","",IFERROR(INDEX(NH_GIO,MATCH(D87,NH_TEN,0)),"NHÓM?"))</f>
        <v/>
      </c>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2" t="str">
        <f aca="false">IF(B87="","",SUMPRODUCT(IFERROR(VALUE(SUBSTITUTE(G87:AK87,"N","")),0)))</f>
        <v/>
      </c>
      <c r="AM87" s="23" t="str">
        <f aca="false">IF(B87="","",AL87/F87)</f>
        <v/>
      </c>
      <c r="AN87" s="23" t="str">
        <f aca="false">IF(B87="","",SUMPRODUCT(ISNUMBER(SEARCH("N",G87:AK87))*IFERROR(VALUE(SUBSTITUTE(G87:AK87,"N","")),0))/F87)</f>
        <v/>
      </c>
      <c r="AO87" s="10"/>
      <c r="AP87" s="10"/>
      <c r="AQ87" s="10"/>
      <c r="AR87" s="24" t="n">
        <f aca="false">IF(B87="",0,MAX(SUMPRODUCT((BCC_MA=$B87)*IFERROR(VALUE(SUBSTITUTE($G$6:$G$100,"N","")),0)),SUMPRODUCT((BCC_MA=$B87)*IFERROR(VALUE(SUBSTITUTE($H$6:$H$100,"N","")),0)),SUMPRODUCT((BCC_MA=$B87)*IFERROR(VALUE(SUBSTITUTE($I$6:$I$100,"N","")),0)),SUMPRODUCT((BCC_MA=$B87)*IFERROR(VALUE(SUBSTITUTE($J$6:$J$100,"N","")),0)),SUMPRODUCT((BCC_MA=$B87)*IFERROR(VALUE(SUBSTITUTE($K$6:$K$100,"N","")),0)),SUMPRODUCT((BCC_MA=$B87)*IFERROR(VALUE(SUBSTITUTE($L$6:$L$100,"N","")),0)),SUMPRODUCT((BCC_MA=$B87)*IFERROR(VALUE(SUBSTITUTE($M$6:$M$100,"N","")),0)),SUMPRODUCT((BCC_MA=$B87)*IFERROR(VALUE(SUBSTITUTE($N$6:$N$100,"N","")),0)),SUMPRODUCT((BCC_MA=$B87)*IFERROR(VALUE(SUBSTITUTE($O$6:$O$100,"N","")),0)),SUMPRODUCT((BCC_MA=$B87)*IFERROR(VALUE(SUBSTITUTE($P$6:$P$100,"N","")),0)),SUMPRODUCT((BCC_MA=$B87)*IFERROR(VALUE(SUBSTITUTE($Q$6:$Q$100,"N","")),0)),SUMPRODUCT((BCC_MA=$B87)*IFERROR(VALUE(SUBSTITUTE($R$6:$R$100,"N","")),0)),SUMPRODUCT((BCC_MA=$B87)*IFERROR(VALUE(SUBSTITUTE($S$6:$S$100,"N","")),0)),SUMPRODUCT((BCC_MA=$B87)*IFERROR(VALUE(SUBSTITUTE($T$6:$T$100,"N","")),0)),SUMPRODUCT((BCC_MA=$B87)*IFERROR(VALUE(SUBSTITUTE($U$6:$U$100,"N","")),0)),SUMPRODUCT((BCC_MA=$B87)*IFERROR(VALUE(SUBSTITUTE($V$6:$V$100,"N","")),0)),SUMPRODUCT((BCC_MA=$B87)*IFERROR(VALUE(SUBSTITUTE($W$6:$W$100,"N","")),0)),SUMPRODUCT((BCC_MA=$B87)*IFERROR(VALUE(SUBSTITUTE($X$6:$X$100,"N","")),0)),SUMPRODUCT((BCC_MA=$B87)*IFERROR(VALUE(SUBSTITUTE($Y$6:$Y$100,"N","")),0)),SUMPRODUCT((BCC_MA=$B87)*IFERROR(VALUE(SUBSTITUTE($Z$6:$Z$100,"N","")),0)),SUMPRODUCT((BCC_MA=$B87)*IFERROR(VALUE(SUBSTITUTE($AA$6:$AA$100,"N","")),0)),SUMPRODUCT((BCC_MA=$B87)*IFERROR(VALUE(SUBSTITUTE($AB$6:$AB$100,"N","")),0)),SUMPRODUCT((BCC_MA=$B87)*IFERROR(VALUE(SUBSTITUTE($AC$6:$AC$100,"N","")),0)),SUMPRODUCT((BCC_MA=$B87)*IFERROR(VALUE(SUBSTITUTE($AD$6:$AD$100,"N","")),0)),SUMPRODUCT((BCC_MA=$B87)*IFERROR(VALUE(SUBSTITUTE($AE$6:$AE$100,"N","")),0)),SUMPRODUCT((BCC_MA=$B87)*IFERROR(VALUE(SUBSTITUTE($AF$6:$AF$100,"N","")),0)),SUMPRODUCT((BCC_MA=$B87)*IFERROR(VALUE(SUBSTITUTE($AG$6:$AG$100,"N","")),0)),SUMPRODUCT((BCC_MA=$B87)*IFERROR(VALUE(SUBSTITUTE($AH$6:$AH$100,"N","")),0)),SUMPRODUCT((BCC_MA=$B87)*IFERROR(VALUE(SUBSTITUTE($AI$6:$AI$100,"N","")),0)),SUMPRODUCT((BCC_MA=$B87)*IFERROR(VALUE(SUBSTITUTE($AJ$6:$AJ$100,"N","")),0)),SUMPRODUCT((BCC_MA=$B87)*IFERROR(VALUE(SUBSTITUTE($AK$6:$AK$100,"N","")),0))))</f>
        <v>0</v>
      </c>
    </row>
    <row r="88" customFormat="false" ht="15" hidden="false" customHeight="false" outlineLevel="0" collapsed="false">
      <c r="A88" s="17" t="str">
        <f aca="false">IF(B88="","",ROW()-5)</f>
        <v/>
      </c>
      <c r="B88" s="10"/>
      <c r="C88" s="17" t="str">
        <f aca="false">IF(B88="","",IFERROR(INDEX(NV_TEN,MATCH(B88,NV_MA,0)),"MÃ KHÔNG CÓ"))</f>
        <v/>
      </c>
      <c r="D88" s="10"/>
      <c r="E88" s="18"/>
      <c r="F88" s="17" t="str">
        <f aca="false">IF(D88="","",IFERROR(INDEX(NH_GIO,MATCH(D88,NH_TEN,0)),"NHÓM?"))</f>
        <v/>
      </c>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2" t="str">
        <f aca="false">IF(B88="","",SUMPRODUCT(IFERROR(VALUE(SUBSTITUTE(G88:AK88,"N","")),0)))</f>
        <v/>
      </c>
      <c r="AM88" s="23" t="str">
        <f aca="false">IF(B88="","",AL88/F88)</f>
        <v/>
      </c>
      <c r="AN88" s="23" t="str">
        <f aca="false">IF(B88="","",SUMPRODUCT(ISNUMBER(SEARCH("N",G88:AK88))*IFERROR(VALUE(SUBSTITUTE(G88:AK88,"N","")),0))/F88)</f>
        <v/>
      </c>
      <c r="AO88" s="10"/>
      <c r="AP88" s="10"/>
      <c r="AQ88" s="10"/>
      <c r="AR88" s="24" t="n">
        <f aca="false">IF(B88="",0,MAX(SUMPRODUCT((BCC_MA=$B88)*IFERROR(VALUE(SUBSTITUTE($G$6:$G$100,"N","")),0)),SUMPRODUCT((BCC_MA=$B88)*IFERROR(VALUE(SUBSTITUTE($H$6:$H$100,"N","")),0)),SUMPRODUCT((BCC_MA=$B88)*IFERROR(VALUE(SUBSTITUTE($I$6:$I$100,"N","")),0)),SUMPRODUCT((BCC_MA=$B88)*IFERROR(VALUE(SUBSTITUTE($J$6:$J$100,"N","")),0)),SUMPRODUCT((BCC_MA=$B88)*IFERROR(VALUE(SUBSTITUTE($K$6:$K$100,"N","")),0)),SUMPRODUCT((BCC_MA=$B88)*IFERROR(VALUE(SUBSTITUTE($L$6:$L$100,"N","")),0)),SUMPRODUCT((BCC_MA=$B88)*IFERROR(VALUE(SUBSTITUTE($M$6:$M$100,"N","")),0)),SUMPRODUCT((BCC_MA=$B88)*IFERROR(VALUE(SUBSTITUTE($N$6:$N$100,"N","")),0)),SUMPRODUCT((BCC_MA=$B88)*IFERROR(VALUE(SUBSTITUTE($O$6:$O$100,"N","")),0)),SUMPRODUCT((BCC_MA=$B88)*IFERROR(VALUE(SUBSTITUTE($P$6:$P$100,"N","")),0)),SUMPRODUCT((BCC_MA=$B88)*IFERROR(VALUE(SUBSTITUTE($Q$6:$Q$100,"N","")),0)),SUMPRODUCT((BCC_MA=$B88)*IFERROR(VALUE(SUBSTITUTE($R$6:$R$100,"N","")),0)),SUMPRODUCT((BCC_MA=$B88)*IFERROR(VALUE(SUBSTITUTE($S$6:$S$100,"N","")),0)),SUMPRODUCT((BCC_MA=$B88)*IFERROR(VALUE(SUBSTITUTE($T$6:$T$100,"N","")),0)),SUMPRODUCT((BCC_MA=$B88)*IFERROR(VALUE(SUBSTITUTE($U$6:$U$100,"N","")),0)),SUMPRODUCT((BCC_MA=$B88)*IFERROR(VALUE(SUBSTITUTE($V$6:$V$100,"N","")),0)),SUMPRODUCT((BCC_MA=$B88)*IFERROR(VALUE(SUBSTITUTE($W$6:$W$100,"N","")),0)),SUMPRODUCT((BCC_MA=$B88)*IFERROR(VALUE(SUBSTITUTE($X$6:$X$100,"N","")),0)),SUMPRODUCT((BCC_MA=$B88)*IFERROR(VALUE(SUBSTITUTE($Y$6:$Y$100,"N","")),0)),SUMPRODUCT((BCC_MA=$B88)*IFERROR(VALUE(SUBSTITUTE($Z$6:$Z$100,"N","")),0)),SUMPRODUCT((BCC_MA=$B88)*IFERROR(VALUE(SUBSTITUTE($AA$6:$AA$100,"N","")),0)),SUMPRODUCT((BCC_MA=$B88)*IFERROR(VALUE(SUBSTITUTE($AB$6:$AB$100,"N","")),0)),SUMPRODUCT((BCC_MA=$B88)*IFERROR(VALUE(SUBSTITUTE($AC$6:$AC$100,"N","")),0)),SUMPRODUCT((BCC_MA=$B88)*IFERROR(VALUE(SUBSTITUTE($AD$6:$AD$100,"N","")),0)),SUMPRODUCT((BCC_MA=$B88)*IFERROR(VALUE(SUBSTITUTE($AE$6:$AE$100,"N","")),0)),SUMPRODUCT((BCC_MA=$B88)*IFERROR(VALUE(SUBSTITUTE($AF$6:$AF$100,"N","")),0)),SUMPRODUCT((BCC_MA=$B88)*IFERROR(VALUE(SUBSTITUTE($AG$6:$AG$100,"N","")),0)),SUMPRODUCT((BCC_MA=$B88)*IFERROR(VALUE(SUBSTITUTE($AH$6:$AH$100,"N","")),0)),SUMPRODUCT((BCC_MA=$B88)*IFERROR(VALUE(SUBSTITUTE($AI$6:$AI$100,"N","")),0)),SUMPRODUCT((BCC_MA=$B88)*IFERROR(VALUE(SUBSTITUTE($AJ$6:$AJ$100,"N","")),0)),SUMPRODUCT((BCC_MA=$B88)*IFERROR(VALUE(SUBSTITUTE($AK$6:$AK$100,"N","")),0))))</f>
        <v>0</v>
      </c>
    </row>
    <row r="89" customFormat="false" ht="15" hidden="false" customHeight="false" outlineLevel="0" collapsed="false">
      <c r="A89" s="17" t="str">
        <f aca="false">IF(B89="","",ROW()-5)</f>
        <v/>
      </c>
      <c r="B89" s="10"/>
      <c r="C89" s="17" t="str">
        <f aca="false">IF(B89="","",IFERROR(INDEX(NV_TEN,MATCH(B89,NV_MA,0)),"MÃ KHÔNG CÓ"))</f>
        <v/>
      </c>
      <c r="D89" s="10"/>
      <c r="E89" s="18"/>
      <c r="F89" s="17" t="str">
        <f aca="false">IF(D89="","",IFERROR(INDEX(NH_GIO,MATCH(D89,NH_TEN,0)),"NHÓM?"))</f>
        <v/>
      </c>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2" t="str">
        <f aca="false">IF(B89="","",SUMPRODUCT(IFERROR(VALUE(SUBSTITUTE(G89:AK89,"N","")),0)))</f>
        <v/>
      </c>
      <c r="AM89" s="23" t="str">
        <f aca="false">IF(B89="","",AL89/F89)</f>
        <v/>
      </c>
      <c r="AN89" s="23" t="str">
        <f aca="false">IF(B89="","",SUMPRODUCT(ISNUMBER(SEARCH("N",G89:AK89))*IFERROR(VALUE(SUBSTITUTE(G89:AK89,"N","")),0))/F89)</f>
        <v/>
      </c>
      <c r="AO89" s="10"/>
      <c r="AP89" s="10"/>
      <c r="AQ89" s="10"/>
      <c r="AR89" s="24" t="n">
        <f aca="false">IF(B89="",0,MAX(SUMPRODUCT((BCC_MA=$B89)*IFERROR(VALUE(SUBSTITUTE($G$6:$G$100,"N","")),0)),SUMPRODUCT((BCC_MA=$B89)*IFERROR(VALUE(SUBSTITUTE($H$6:$H$100,"N","")),0)),SUMPRODUCT((BCC_MA=$B89)*IFERROR(VALUE(SUBSTITUTE($I$6:$I$100,"N","")),0)),SUMPRODUCT((BCC_MA=$B89)*IFERROR(VALUE(SUBSTITUTE($J$6:$J$100,"N","")),0)),SUMPRODUCT((BCC_MA=$B89)*IFERROR(VALUE(SUBSTITUTE($K$6:$K$100,"N","")),0)),SUMPRODUCT((BCC_MA=$B89)*IFERROR(VALUE(SUBSTITUTE($L$6:$L$100,"N","")),0)),SUMPRODUCT((BCC_MA=$B89)*IFERROR(VALUE(SUBSTITUTE($M$6:$M$100,"N","")),0)),SUMPRODUCT((BCC_MA=$B89)*IFERROR(VALUE(SUBSTITUTE($N$6:$N$100,"N","")),0)),SUMPRODUCT((BCC_MA=$B89)*IFERROR(VALUE(SUBSTITUTE($O$6:$O$100,"N","")),0)),SUMPRODUCT((BCC_MA=$B89)*IFERROR(VALUE(SUBSTITUTE($P$6:$P$100,"N","")),0)),SUMPRODUCT((BCC_MA=$B89)*IFERROR(VALUE(SUBSTITUTE($Q$6:$Q$100,"N","")),0)),SUMPRODUCT((BCC_MA=$B89)*IFERROR(VALUE(SUBSTITUTE($R$6:$R$100,"N","")),0)),SUMPRODUCT((BCC_MA=$B89)*IFERROR(VALUE(SUBSTITUTE($S$6:$S$100,"N","")),0)),SUMPRODUCT((BCC_MA=$B89)*IFERROR(VALUE(SUBSTITUTE($T$6:$T$100,"N","")),0)),SUMPRODUCT((BCC_MA=$B89)*IFERROR(VALUE(SUBSTITUTE($U$6:$U$100,"N","")),0)),SUMPRODUCT((BCC_MA=$B89)*IFERROR(VALUE(SUBSTITUTE($V$6:$V$100,"N","")),0)),SUMPRODUCT((BCC_MA=$B89)*IFERROR(VALUE(SUBSTITUTE($W$6:$W$100,"N","")),0)),SUMPRODUCT((BCC_MA=$B89)*IFERROR(VALUE(SUBSTITUTE($X$6:$X$100,"N","")),0)),SUMPRODUCT((BCC_MA=$B89)*IFERROR(VALUE(SUBSTITUTE($Y$6:$Y$100,"N","")),0)),SUMPRODUCT((BCC_MA=$B89)*IFERROR(VALUE(SUBSTITUTE($Z$6:$Z$100,"N","")),0)),SUMPRODUCT((BCC_MA=$B89)*IFERROR(VALUE(SUBSTITUTE($AA$6:$AA$100,"N","")),0)),SUMPRODUCT((BCC_MA=$B89)*IFERROR(VALUE(SUBSTITUTE($AB$6:$AB$100,"N","")),0)),SUMPRODUCT((BCC_MA=$B89)*IFERROR(VALUE(SUBSTITUTE($AC$6:$AC$100,"N","")),0)),SUMPRODUCT((BCC_MA=$B89)*IFERROR(VALUE(SUBSTITUTE($AD$6:$AD$100,"N","")),0)),SUMPRODUCT((BCC_MA=$B89)*IFERROR(VALUE(SUBSTITUTE($AE$6:$AE$100,"N","")),0)),SUMPRODUCT((BCC_MA=$B89)*IFERROR(VALUE(SUBSTITUTE($AF$6:$AF$100,"N","")),0)),SUMPRODUCT((BCC_MA=$B89)*IFERROR(VALUE(SUBSTITUTE($AG$6:$AG$100,"N","")),0)),SUMPRODUCT((BCC_MA=$B89)*IFERROR(VALUE(SUBSTITUTE($AH$6:$AH$100,"N","")),0)),SUMPRODUCT((BCC_MA=$B89)*IFERROR(VALUE(SUBSTITUTE($AI$6:$AI$100,"N","")),0)),SUMPRODUCT((BCC_MA=$B89)*IFERROR(VALUE(SUBSTITUTE($AJ$6:$AJ$100,"N","")),0)),SUMPRODUCT((BCC_MA=$B89)*IFERROR(VALUE(SUBSTITUTE($AK$6:$AK$100,"N","")),0))))</f>
        <v>0</v>
      </c>
    </row>
    <row r="90" customFormat="false" ht="15" hidden="false" customHeight="false" outlineLevel="0" collapsed="false">
      <c r="A90" s="17" t="str">
        <f aca="false">IF(B90="","",ROW()-5)</f>
        <v/>
      </c>
      <c r="B90" s="10"/>
      <c r="C90" s="17" t="str">
        <f aca="false">IF(B90="","",IFERROR(INDEX(NV_TEN,MATCH(B90,NV_MA,0)),"MÃ KHÔNG CÓ"))</f>
        <v/>
      </c>
      <c r="D90" s="10"/>
      <c r="E90" s="18"/>
      <c r="F90" s="17" t="str">
        <f aca="false">IF(D90="","",IFERROR(INDEX(NH_GIO,MATCH(D90,NH_TEN,0)),"NHÓM?"))</f>
        <v/>
      </c>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2" t="str">
        <f aca="false">IF(B90="","",SUMPRODUCT(IFERROR(VALUE(SUBSTITUTE(G90:AK90,"N","")),0)))</f>
        <v/>
      </c>
      <c r="AM90" s="23" t="str">
        <f aca="false">IF(B90="","",AL90/F90)</f>
        <v/>
      </c>
      <c r="AN90" s="23" t="str">
        <f aca="false">IF(B90="","",SUMPRODUCT(ISNUMBER(SEARCH("N",G90:AK90))*IFERROR(VALUE(SUBSTITUTE(G90:AK90,"N","")),0))/F90)</f>
        <v/>
      </c>
      <c r="AO90" s="10"/>
      <c r="AP90" s="10"/>
      <c r="AQ90" s="10"/>
      <c r="AR90" s="24" t="n">
        <f aca="false">IF(B90="",0,MAX(SUMPRODUCT((BCC_MA=$B90)*IFERROR(VALUE(SUBSTITUTE($G$6:$G$100,"N","")),0)),SUMPRODUCT((BCC_MA=$B90)*IFERROR(VALUE(SUBSTITUTE($H$6:$H$100,"N","")),0)),SUMPRODUCT((BCC_MA=$B90)*IFERROR(VALUE(SUBSTITUTE($I$6:$I$100,"N","")),0)),SUMPRODUCT((BCC_MA=$B90)*IFERROR(VALUE(SUBSTITUTE($J$6:$J$100,"N","")),0)),SUMPRODUCT((BCC_MA=$B90)*IFERROR(VALUE(SUBSTITUTE($K$6:$K$100,"N","")),0)),SUMPRODUCT((BCC_MA=$B90)*IFERROR(VALUE(SUBSTITUTE($L$6:$L$100,"N","")),0)),SUMPRODUCT((BCC_MA=$B90)*IFERROR(VALUE(SUBSTITUTE($M$6:$M$100,"N","")),0)),SUMPRODUCT((BCC_MA=$B90)*IFERROR(VALUE(SUBSTITUTE($N$6:$N$100,"N","")),0)),SUMPRODUCT((BCC_MA=$B90)*IFERROR(VALUE(SUBSTITUTE($O$6:$O$100,"N","")),0)),SUMPRODUCT((BCC_MA=$B90)*IFERROR(VALUE(SUBSTITUTE($P$6:$P$100,"N","")),0)),SUMPRODUCT((BCC_MA=$B90)*IFERROR(VALUE(SUBSTITUTE($Q$6:$Q$100,"N","")),0)),SUMPRODUCT((BCC_MA=$B90)*IFERROR(VALUE(SUBSTITUTE($R$6:$R$100,"N","")),0)),SUMPRODUCT((BCC_MA=$B90)*IFERROR(VALUE(SUBSTITUTE($S$6:$S$100,"N","")),0)),SUMPRODUCT((BCC_MA=$B90)*IFERROR(VALUE(SUBSTITUTE($T$6:$T$100,"N","")),0)),SUMPRODUCT((BCC_MA=$B90)*IFERROR(VALUE(SUBSTITUTE($U$6:$U$100,"N","")),0)),SUMPRODUCT((BCC_MA=$B90)*IFERROR(VALUE(SUBSTITUTE($V$6:$V$100,"N","")),0)),SUMPRODUCT((BCC_MA=$B90)*IFERROR(VALUE(SUBSTITUTE($W$6:$W$100,"N","")),0)),SUMPRODUCT((BCC_MA=$B90)*IFERROR(VALUE(SUBSTITUTE($X$6:$X$100,"N","")),0)),SUMPRODUCT((BCC_MA=$B90)*IFERROR(VALUE(SUBSTITUTE($Y$6:$Y$100,"N","")),0)),SUMPRODUCT((BCC_MA=$B90)*IFERROR(VALUE(SUBSTITUTE($Z$6:$Z$100,"N","")),0)),SUMPRODUCT((BCC_MA=$B90)*IFERROR(VALUE(SUBSTITUTE($AA$6:$AA$100,"N","")),0)),SUMPRODUCT((BCC_MA=$B90)*IFERROR(VALUE(SUBSTITUTE($AB$6:$AB$100,"N","")),0)),SUMPRODUCT((BCC_MA=$B90)*IFERROR(VALUE(SUBSTITUTE($AC$6:$AC$100,"N","")),0)),SUMPRODUCT((BCC_MA=$B90)*IFERROR(VALUE(SUBSTITUTE($AD$6:$AD$100,"N","")),0)),SUMPRODUCT((BCC_MA=$B90)*IFERROR(VALUE(SUBSTITUTE($AE$6:$AE$100,"N","")),0)),SUMPRODUCT((BCC_MA=$B90)*IFERROR(VALUE(SUBSTITUTE($AF$6:$AF$100,"N","")),0)),SUMPRODUCT((BCC_MA=$B90)*IFERROR(VALUE(SUBSTITUTE($AG$6:$AG$100,"N","")),0)),SUMPRODUCT((BCC_MA=$B90)*IFERROR(VALUE(SUBSTITUTE($AH$6:$AH$100,"N","")),0)),SUMPRODUCT((BCC_MA=$B90)*IFERROR(VALUE(SUBSTITUTE($AI$6:$AI$100,"N","")),0)),SUMPRODUCT((BCC_MA=$B90)*IFERROR(VALUE(SUBSTITUTE($AJ$6:$AJ$100,"N","")),0)),SUMPRODUCT((BCC_MA=$B90)*IFERROR(VALUE(SUBSTITUTE($AK$6:$AK$100,"N","")),0))))</f>
        <v>0</v>
      </c>
    </row>
    <row r="91" customFormat="false" ht="15" hidden="false" customHeight="false" outlineLevel="0" collapsed="false">
      <c r="A91" s="17" t="str">
        <f aca="false">IF(B91="","",ROW()-5)</f>
        <v/>
      </c>
      <c r="B91" s="10"/>
      <c r="C91" s="17" t="str">
        <f aca="false">IF(B91="","",IFERROR(INDEX(NV_TEN,MATCH(B91,NV_MA,0)),"MÃ KHÔNG CÓ"))</f>
        <v/>
      </c>
      <c r="D91" s="10"/>
      <c r="E91" s="18"/>
      <c r="F91" s="17" t="str">
        <f aca="false">IF(D91="","",IFERROR(INDEX(NH_GIO,MATCH(D91,NH_TEN,0)),"NHÓM?"))</f>
        <v/>
      </c>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2" t="str">
        <f aca="false">IF(B91="","",SUMPRODUCT(IFERROR(VALUE(SUBSTITUTE(G91:AK91,"N","")),0)))</f>
        <v/>
      </c>
      <c r="AM91" s="23" t="str">
        <f aca="false">IF(B91="","",AL91/F91)</f>
        <v/>
      </c>
      <c r="AN91" s="23" t="str">
        <f aca="false">IF(B91="","",SUMPRODUCT(ISNUMBER(SEARCH("N",G91:AK91))*IFERROR(VALUE(SUBSTITUTE(G91:AK91,"N","")),0))/F91)</f>
        <v/>
      </c>
      <c r="AO91" s="10"/>
      <c r="AP91" s="10"/>
      <c r="AQ91" s="10"/>
      <c r="AR91" s="24" t="n">
        <f aca="false">IF(B91="",0,MAX(SUMPRODUCT((BCC_MA=$B91)*IFERROR(VALUE(SUBSTITUTE($G$6:$G$100,"N","")),0)),SUMPRODUCT((BCC_MA=$B91)*IFERROR(VALUE(SUBSTITUTE($H$6:$H$100,"N","")),0)),SUMPRODUCT((BCC_MA=$B91)*IFERROR(VALUE(SUBSTITUTE($I$6:$I$100,"N","")),0)),SUMPRODUCT((BCC_MA=$B91)*IFERROR(VALUE(SUBSTITUTE($J$6:$J$100,"N","")),0)),SUMPRODUCT((BCC_MA=$B91)*IFERROR(VALUE(SUBSTITUTE($K$6:$K$100,"N","")),0)),SUMPRODUCT((BCC_MA=$B91)*IFERROR(VALUE(SUBSTITUTE($L$6:$L$100,"N","")),0)),SUMPRODUCT((BCC_MA=$B91)*IFERROR(VALUE(SUBSTITUTE($M$6:$M$100,"N","")),0)),SUMPRODUCT((BCC_MA=$B91)*IFERROR(VALUE(SUBSTITUTE($N$6:$N$100,"N","")),0)),SUMPRODUCT((BCC_MA=$B91)*IFERROR(VALUE(SUBSTITUTE($O$6:$O$100,"N","")),0)),SUMPRODUCT((BCC_MA=$B91)*IFERROR(VALUE(SUBSTITUTE($P$6:$P$100,"N","")),0)),SUMPRODUCT((BCC_MA=$B91)*IFERROR(VALUE(SUBSTITUTE($Q$6:$Q$100,"N","")),0)),SUMPRODUCT((BCC_MA=$B91)*IFERROR(VALUE(SUBSTITUTE($R$6:$R$100,"N","")),0)),SUMPRODUCT((BCC_MA=$B91)*IFERROR(VALUE(SUBSTITUTE($S$6:$S$100,"N","")),0)),SUMPRODUCT((BCC_MA=$B91)*IFERROR(VALUE(SUBSTITUTE($T$6:$T$100,"N","")),0)),SUMPRODUCT((BCC_MA=$B91)*IFERROR(VALUE(SUBSTITUTE($U$6:$U$100,"N","")),0)),SUMPRODUCT((BCC_MA=$B91)*IFERROR(VALUE(SUBSTITUTE($V$6:$V$100,"N","")),0)),SUMPRODUCT((BCC_MA=$B91)*IFERROR(VALUE(SUBSTITUTE($W$6:$W$100,"N","")),0)),SUMPRODUCT((BCC_MA=$B91)*IFERROR(VALUE(SUBSTITUTE($X$6:$X$100,"N","")),0)),SUMPRODUCT((BCC_MA=$B91)*IFERROR(VALUE(SUBSTITUTE($Y$6:$Y$100,"N","")),0)),SUMPRODUCT((BCC_MA=$B91)*IFERROR(VALUE(SUBSTITUTE($Z$6:$Z$100,"N","")),0)),SUMPRODUCT((BCC_MA=$B91)*IFERROR(VALUE(SUBSTITUTE($AA$6:$AA$100,"N","")),0)),SUMPRODUCT((BCC_MA=$B91)*IFERROR(VALUE(SUBSTITUTE($AB$6:$AB$100,"N","")),0)),SUMPRODUCT((BCC_MA=$B91)*IFERROR(VALUE(SUBSTITUTE($AC$6:$AC$100,"N","")),0)),SUMPRODUCT((BCC_MA=$B91)*IFERROR(VALUE(SUBSTITUTE($AD$6:$AD$100,"N","")),0)),SUMPRODUCT((BCC_MA=$B91)*IFERROR(VALUE(SUBSTITUTE($AE$6:$AE$100,"N","")),0)),SUMPRODUCT((BCC_MA=$B91)*IFERROR(VALUE(SUBSTITUTE($AF$6:$AF$100,"N","")),0)),SUMPRODUCT((BCC_MA=$B91)*IFERROR(VALUE(SUBSTITUTE($AG$6:$AG$100,"N","")),0)),SUMPRODUCT((BCC_MA=$B91)*IFERROR(VALUE(SUBSTITUTE($AH$6:$AH$100,"N","")),0)),SUMPRODUCT((BCC_MA=$B91)*IFERROR(VALUE(SUBSTITUTE($AI$6:$AI$100,"N","")),0)),SUMPRODUCT((BCC_MA=$B91)*IFERROR(VALUE(SUBSTITUTE($AJ$6:$AJ$100,"N","")),0)),SUMPRODUCT((BCC_MA=$B91)*IFERROR(VALUE(SUBSTITUTE($AK$6:$AK$100,"N","")),0))))</f>
        <v>0</v>
      </c>
    </row>
    <row r="92" customFormat="false" ht="15" hidden="false" customHeight="false" outlineLevel="0" collapsed="false">
      <c r="A92" s="17" t="str">
        <f aca="false">IF(B92="","",ROW()-5)</f>
        <v/>
      </c>
      <c r="B92" s="10"/>
      <c r="C92" s="17" t="str">
        <f aca="false">IF(B92="","",IFERROR(INDEX(NV_TEN,MATCH(B92,NV_MA,0)),"MÃ KHÔNG CÓ"))</f>
        <v/>
      </c>
      <c r="D92" s="10"/>
      <c r="E92" s="18"/>
      <c r="F92" s="17" t="str">
        <f aca="false">IF(D92="","",IFERROR(INDEX(NH_GIO,MATCH(D92,NH_TEN,0)),"NHÓM?"))</f>
        <v/>
      </c>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2" t="str">
        <f aca="false">IF(B92="","",SUMPRODUCT(IFERROR(VALUE(SUBSTITUTE(G92:AK92,"N","")),0)))</f>
        <v/>
      </c>
      <c r="AM92" s="23" t="str">
        <f aca="false">IF(B92="","",AL92/F92)</f>
        <v/>
      </c>
      <c r="AN92" s="23" t="str">
        <f aca="false">IF(B92="","",SUMPRODUCT(ISNUMBER(SEARCH("N",G92:AK92))*IFERROR(VALUE(SUBSTITUTE(G92:AK92,"N","")),0))/F92)</f>
        <v/>
      </c>
      <c r="AO92" s="10"/>
      <c r="AP92" s="10"/>
      <c r="AQ92" s="10"/>
      <c r="AR92" s="24" t="n">
        <f aca="false">IF(B92="",0,MAX(SUMPRODUCT((BCC_MA=$B92)*IFERROR(VALUE(SUBSTITUTE($G$6:$G$100,"N","")),0)),SUMPRODUCT((BCC_MA=$B92)*IFERROR(VALUE(SUBSTITUTE($H$6:$H$100,"N","")),0)),SUMPRODUCT((BCC_MA=$B92)*IFERROR(VALUE(SUBSTITUTE($I$6:$I$100,"N","")),0)),SUMPRODUCT((BCC_MA=$B92)*IFERROR(VALUE(SUBSTITUTE($J$6:$J$100,"N","")),0)),SUMPRODUCT((BCC_MA=$B92)*IFERROR(VALUE(SUBSTITUTE($K$6:$K$100,"N","")),0)),SUMPRODUCT((BCC_MA=$B92)*IFERROR(VALUE(SUBSTITUTE($L$6:$L$100,"N","")),0)),SUMPRODUCT((BCC_MA=$B92)*IFERROR(VALUE(SUBSTITUTE($M$6:$M$100,"N","")),0)),SUMPRODUCT((BCC_MA=$B92)*IFERROR(VALUE(SUBSTITUTE($N$6:$N$100,"N","")),0)),SUMPRODUCT((BCC_MA=$B92)*IFERROR(VALUE(SUBSTITUTE($O$6:$O$100,"N","")),0)),SUMPRODUCT((BCC_MA=$B92)*IFERROR(VALUE(SUBSTITUTE($P$6:$P$100,"N","")),0)),SUMPRODUCT((BCC_MA=$B92)*IFERROR(VALUE(SUBSTITUTE($Q$6:$Q$100,"N","")),0)),SUMPRODUCT((BCC_MA=$B92)*IFERROR(VALUE(SUBSTITUTE($R$6:$R$100,"N","")),0)),SUMPRODUCT((BCC_MA=$B92)*IFERROR(VALUE(SUBSTITUTE($S$6:$S$100,"N","")),0)),SUMPRODUCT((BCC_MA=$B92)*IFERROR(VALUE(SUBSTITUTE($T$6:$T$100,"N","")),0)),SUMPRODUCT((BCC_MA=$B92)*IFERROR(VALUE(SUBSTITUTE($U$6:$U$100,"N","")),0)),SUMPRODUCT((BCC_MA=$B92)*IFERROR(VALUE(SUBSTITUTE($V$6:$V$100,"N","")),0)),SUMPRODUCT((BCC_MA=$B92)*IFERROR(VALUE(SUBSTITUTE($W$6:$W$100,"N","")),0)),SUMPRODUCT((BCC_MA=$B92)*IFERROR(VALUE(SUBSTITUTE($X$6:$X$100,"N","")),0)),SUMPRODUCT((BCC_MA=$B92)*IFERROR(VALUE(SUBSTITUTE($Y$6:$Y$100,"N","")),0)),SUMPRODUCT((BCC_MA=$B92)*IFERROR(VALUE(SUBSTITUTE($Z$6:$Z$100,"N","")),0)),SUMPRODUCT((BCC_MA=$B92)*IFERROR(VALUE(SUBSTITUTE($AA$6:$AA$100,"N","")),0)),SUMPRODUCT((BCC_MA=$B92)*IFERROR(VALUE(SUBSTITUTE($AB$6:$AB$100,"N","")),0)),SUMPRODUCT((BCC_MA=$B92)*IFERROR(VALUE(SUBSTITUTE($AC$6:$AC$100,"N","")),0)),SUMPRODUCT((BCC_MA=$B92)*IFERROR(VALUE(SUBSTITUTE($AD$6:$AD$100,"N","")),0)),SUMPRODUCT((BCC_MA=$B92)*IFERROR(VALUE(SUBSTITUTE($AE$6:$AE$100,"N","")),0)),SUMPRODUCT((BCC_MA=$B92)*IFERROR(VALUE(SUBSTITUTE($AF$6:$AF$100,"N","")),0)),SUMPRODUCT((BCC_MA=$B92)*IFERROR(VALUE(SUBSTITUTE($AG$6:$AG$100,"N","")),0)),SUMPRODUCT((BCC_MA=$B92)*IFERROR(VALUE(SUBSTITUTE($AH$6:$AH$100,"N","")),0)),SUMPRODUCT((BCC_MA=$B92)*IFERROR(VALUE(SUBSTITUTE($AI$6:$AI$100,"N","")),0)),SUMPRODUCT((BCC_MA=$B92)*IFERROR(VALUE(SUBSTITUTE($AJ$6:$AJ$100,"N","")),0)),SUMPRODUCT((BCC_MA=$B92)*IFERROR(VALUE(SUBSTITUTE($AK$6:$AK$100,"N","")),0))))</f>
        <v>0</v>
      </c>
    </row>
    <row r="93" customFormat="false" ht="15" hidden="false" customHeight="false" outlineLevel="0" collapsed="false">
      <c r="A93" s="17" t="str">
        <f aca="false">IF(B93="","",ROW()-5)</f>
        <v/>
      </c>
      <c r="B93" s="10"/>
      <c r="C93" s="17" t="str">
        <f aca="false">IF(B93="","",IFERROR(INDEX(NV_TEN,MATCH(B93,NV_MA,0)),"MÃ KHÔNG CÓ"))</f>
        <v/>
      </c>
      <c r="D93" s="10"/>
      <c r="E93" s="18"/>
      <c r="F93" s="17" t="str">
        <f aca="false">IF(D93="","",IFERROR(INDEX(NH_GIO,MATCH(D93,NH_TEN,0)),"NHÓM?"))</f>
        <v/>
      </c>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2" t="str">
        <f aca="false">IF(B93="","",SUMPRODUCT(IFERROR(VALUE(SUBSTITUTE(G93:AK93,"N","")),0)))</f>
        <v/>
      </c>
      <c r="AM93" s="23" t="str">
        <f aca="false">IF(B93="","",AL93/F93)</f>
        <v/>
      </c>
      <c r="AN93" s="23" t="str">
        <f aca="false">IF(B93="","",SUMPRODUCT(ISNUMBER(SEARCH("N",G93:AK93))*IFERROR(VALUE(SUBSTITUTE(G93:AK93,"N","")),0))/F93)</f>
        <v/>
      </c>
      <c r="AO93" s="10"/>
      <c r="AP93" s="10"/>
      <c r="AQ93" s="10"/>
      <c r="AR93" s="24" t="n">
        <f aca="false">IF(B93="",0,MAX(SUMPRODUCT((BCC_MA=$B93)*IFERROR(VALUE(SUBSTITUTE($G$6:$G$100,"N","")),0)),SUMPRODUCT((BCC_MA=$B93)*IFERROR(VALUE(SUBSTITUTE($H$6:$H$100,"N","")),0)),SUMPRODUCT((BCC_MA=$B93)*IFERROR(VALUE(SUBSTITUTE($I$6:$I$100,"N","")),0)),SUMPRODUCT((BCC_MA=$B93)*IFERROR(VALUE(SUBSTITUTE($J$6:$J$100,"N","")),0)),SUMPRODUCT((BCC_MA=$B93)*IFERROR(VALUE(SUBSTITUTE($K$6:$K$100,"N","")),0)),SUMPRODUCT((BCC_MA=$B93)*IFERROR(VALUE(SUBSTITUTE($L$6:$L$100,"N","")),0)),SUMPRODUCT((BCC_MA=$B93)*IFERROR(VALUE(SUBSTITUTE($M$6:$M$100,"N","")),0)),SUMPRODUCT((BCC_MA=$B93)*IFERROR(VALUE(SUBSTITUTE($N$6:$N$100,"N","")),0)),SUMPRODUCT((BCC_MA=$B93)*IFERROR(VALUE(SUBSTITUTE($O$6:$O$100,"N","")),0)),SUMPRODUCT((BCC_MA=$B93)*IFERROR(VALUE(SUBSTITUTE($P$6:$P$100,"N","")),0)),SUMPRODUCT((BCC_MA=$B93)*IFERROR(VALUE(SUBSTITUTE($Q$6:$Q$100,"N","")),0)),SUMPRODUCT((BCC_MA=$B93)*IFERROR(VALUE(SUBSTITUTE($R$6:$R$100,"N","")),0)),SUMPRODUCT((BCC_MA=$B93)*IFERROR(VALUE(SUBSTITUTE($S$6:$S$100,"N","")),0)),SUMPRODUCT((BCC_MA=$B93)*IFERROR(VALUE(SUBSTITUTE($T$6:$T$100,"N","")),0)),SUMPRODUCT((BCC_MA=$B93)*IFERROR(VALUE(SUBSTITUTE($U$6:$U$100,"N","")),0)),SUMPRODUCT((BCC_MA=$B93)*IFERROR(VALUE(SUBSTITUTE($V$6:$V$100,"N","")),0)),SUMPRODUCT((BCC_MA=$B93)*IFERROR(VALUE(SUBSTITUTE($W$6:$W$100,"N","")),0)),SUMPRODUCT((BCC_MA=$B93)*IFERROR(VALUE(SUBSTITUTE($X$6:$X$100,"N","")),0)),SUMPRODUCT((BCC_MA=$B93)*IFERROR(VALUE(SUBSTITUTE($Y$6:$Y$100,"N","")),0)),SUMPRODUCT((BCC_MA=$B93)*IFERROR(VALUE(SUBSTITUTE($Z$6:$Z$100,"N","")),0)),SUMPRODUCT((BCC_MA=$B93)*IFERROR(VALUE(SUBSTITUTE($AA$6:$AA$100,"N","")),0)),SUMPRODUCT((BCC_MA=$B93)*IFERROR(VALUE(SUBSTITUTE($AB$6:$AB$100,"N","")),0)),SUMPRODUCT((BCC_MA=$B93)*IFERROR(VALUE(SUBSTITUTE($AC$6:$AC$100,"N","")),0)),SUMPRODUCT((BCC_MA=$B93)*IFERROR(VALUE(SUBSTITUTE($AD$6:$AD$100,"N","")),0)),SUMPRODUCT((BCC_MA=$B93)*IFERROR(VALUE(SUBSTITUTE($AE$6:$AE$100,"N","")),0)),SUMPRODUCT((BCC_MA=$B93)*IFERROR(VALUE(SUBSTITUTE($AF$6:$AF$100,"N","")),0)),SUMPRODUCT((BCC_MA=$B93)*IFERROR(VALUE(SUBSTITUTE($AG$6:$AG$100,"N","")),0)),SUMPRODUCT((BCC_MA=$B93)*IFERROR(VALUE(SUBSTITUTE($AH$6:$AH$100,"N","")),0)),SUMPRODUCT((BCC_MA=$B93)*IFERROR(VALUE(SUBSTITUTE($AI$6:$AI$100,"N","")),0)),SUMPRODUCT((BCC_MA=$B93)*IFERROR(VALUE(SUBSTITUTE($AJ$6:$AJ$100,"N","")),0)),SUMPRODUCT((BCC_MA=$B93)*IFERROR(VALUE(SUBSTITUTE($AK$6:$AK$100,"N","")),0))))</f>
        <v>0</v>
      </c>
    </row>
    <row r="94" customFormat="false" ht="15" hidden="false" customHeight="false" outlineLevel="0" collapsed="false">
      <c r="A94" s="17" t="str">
        <f aca="false">IF(B94="","",ROW()-5)</f>
        <v/>
      </c>
      <c r="B94" s="10"/>
      <c r="C94" s="17" t="str">
        <f aca="false">IF(B94="","",IFERROR(INDEX(NV_TEN,MATCH(B94,NV_MA,0)),"MÃ KHÔNG CÓ"))</f>
        <v/>
      </c>
      <c r="D94" s="10"/>
      <c r="E94" s="18"/>
      <c r="F94" s="17" t="str">
        <f aca="false">IF(D94="","",IFERROR(INDEX(NH_GIO,MATCH(D94,NH_TEN,0)),"NHÓM?"))</f>
        <v/>
      </c>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2" t="str">
        <f aca="false">IF(B94="","",SUMPRODUCT(IFERROR(VALUE(SUBSTITUTE(G94:AK94,"N","")),0)))</f>
        <v/>
      </c>
      <c r="AM94" s="23" t="str">
        <f aca="false">IF(B94="","",AL94/F94)</f>
        <v/>
      </c>
      <c r="AN94" s="23" t="str">
        <f aca="false">IF(B94="","",SUMPRODUCT(ISNUMBER(SEARCH("N",G94:AK94))*IFERROR(VALUE(SUBSTITUTE(G94:AK94,"N","")),0))/F94)</f>
        <v/>
      </c>
      <c r="AO94" s="10"/>
      <c r="AP94" s="10"/>
      <c r="AQ94" s="10"/>
      <c r="AR94" s="24" t="n">
        <f aca="false">IF(B94="",0,MAX(SUMPRODUCT((BCC_MA=$B94)*IFERROR(VALUE(SUBSTITUTE($G$6:$G$100,"N","")),0)),SUMPRODUCT((BCC_MA=$B94)*IFERROR(VALUE(SUBSTITUTE($H$6:$H$100,"N","")),0)),SUMPRODUCT((BCC_MA=$B94)*IFERROR(VALUE(SUBSTITUTE($I$6:$I$100,"N","")),0)),SUMPRODUCT((BCC_MA=$B94)*IFERROR(VALUE(SUBSTITUTE($J$6:$J$100,"N","")),0)),SUMPRODUCT((BCC_MA=$B94)*IFERROR(VALUE(SUBSTITUTE($K$6:$K$100,"N","")),0)),SUMPRODUCT((BCC_MA=$B94)*IFERROR(VALUE(SUBSTITUTE($L$6:$L$100,"N","")),0)),SUMPRODUCT((BCC_MA=$B94)*IFERROR(VALUE(SUBSTITUTE($M$6:$M$100,"N","")),0)),SUMPRODUCT((BCC_MA=$B94)*IFERROR(VALUE(SUBSTITUTE($N$6:$N$100,"N","")),0)),SUMPRODUCT((BCC_MA=$B94)*IFERROR(VALUE(SUBSTITUTE($O$6:$O$100,"N","")),0)),SUMPRODUCT((BCC_MA=$B94)*IFERROR(VALUE(SUBSTITUTE($P$6:$P$100,"N","")),0)),SUMPRODUCT((BCC_MA=$B94)*IFERROR(VALUE(SUBSTITUTE($Q$6:$Q$100,"N","")),0)),SUMPRODUCT((BCC_MA=$B94)*IFERROR(VALUE(SUBSTITUTE($R$6:$R$100,"N","")),0)),SUMPRODUCT((BCC_MA=$B94)*IFERROR(VALUE(SUBSTITUTE($S$6:$S$100,"N","")),0)),SUMPRODUCT((BCC_MA=$B94)*IFERROR(VALUE(SUBSTITUTE($T$6:$T$100,"N","")),0)),SUMPRODUCT((BCC_MA=$B94)*IFERROR(VALUE(SUBSTITUTE($U$6:$U$100,"N","")),0)),SUMPRODUCT((BCC_MA=$B94)*IFERROR(VALUE(SUBSTITUTE($V$6:$V$100,"N","")),0)),SUMPRODUCT((BCC_MA=$B94)*IFERROR(VALUE(SUBSTITUTE($W$6:$W$100,"N","")),0)),SUMPRODUCT((BCC_MA=$B94)*IFERROR(VALUE(SUBSTITUTE($X$6:$X$100,"N","")),0)),SUMPRODUCT((BCC_MA=$B94)*IFERROR(VALUE(SUBSTITUTE($Y$6:$Y$100,"N","")),0)),SUMPRODUCT((BCC_MA=$B94)*IFERROR(VALUE(SUBSTITUTE($Z$6:$Z$100,"N","")),0)),SUMPRODUCT((BCC_MA=$B94)*IFERROR(VALUE(SUBSTITUTE($AA$6:$AA$100,"N","")),0)),SUMPRODUCT((BCC_MA=$B94)*IFERROR(VALUE(SUBSTITUTE($AB$6:$AB$100,"N","")),0)),SUMPRODUCT((BCC_MA=$B94)*IFERROR(VALUE(SUBSTITUTE($AC$6:$AC$100,"N","")),0)),SUMPRODUCT((BCC_MA=$B94)*IFERROR(VALUE(SUBSTITUTE($AD$6:$AD$100,"N","")),0)),SUMPRODUCT((BCC_MA=$B94)*IFERROR(VALUE(SUBSTITUTE($AE$6:$AE$100,"N","")),0)),SUMPRODUCT((BCC_MA=$B94)*IFERROR(VALUE(SUBSTITUTE($AF$6:$AF$100,"N","")),0)),SUMPRODUCT((BCC_MA=$B94)*IFERROR(VALUE(SUBSTITUTE($AG$6:$AG$100,"N","")),0)),SUMPRODUCT((BCC_MA=$B94)*IFERROR(VALUE(SUBSTITUTE($AH$6:$AH$100,"N","")),0)),SUMPRODUCT((BCC_MA=$B94)*IFERROR(VALUE(SUBSTITUTE($AI$6:$AI$100,"N","")),0)),SUMPRODUCT((BCC_MA=$B94)*IFERROR(VALUE(SUBSTITUTE($AJ$6:$AJ$100,"N","")),0)),SUMPRODUCT((BCC_MA=$B94)*IFERROR(VALUE(SUBSTITUTE($AK$6:$AK$100,"N","")),0))))</f>
        <v>0</v>
      </c>
    </row>
    <row r="95" customFormat="false" ht="15" hidden="false" customHeight="false" outlineLevel="0" collapsed="false">
      <c r="A95" s="17" t="str">
        <f aca="false">IF(B95="","",ROW()-5)</f>
        <v/>
      </c>
      <c r="B95" s="10"/>
      <c r="C95" s="17" t="str">
        <f aca="false">IF(B95="","",IFERROR(INDEX(NV_TEN,MATCH(B95,NV_MA,0)),"MÃ KHÔNG CÓ"))</f>
        <v/>
      </c>
      <c r="D95" s="10"/>
      <c r="E95" s="18"/>
      <c r="F95" s="17" t="str">
        <f aca="false">IF(D95="","",IFERROR(INDEX(NH_GIO,MATCH(D95,NH_TEN,0)),"NHÓM?"))</f>
        <v/>
      </c>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2" t="str">
        <f aca="false">IF(B95="","",SUMPRODUCT(IFERROR(VALUE(SUBSTITUTE(G95:AK95,"N","")),0)))</f>
        <v/>
      </c>
      <c r="AM95" s="23" t="str">
        <f aca="false">IF(B95="","",AL95/F95)</f>
        <v/>
      </c>
      <c r="AN95" s="23" t="str">
        <f aca="false">IF(B95="","",SUMPRODUCT(ISNUMBER(SEARCH("N",G95:AK95))*IFERROR(VALUE(SUBSTITUTE(G95:AK95,"N","")),0))/F95)</f>
        <v/>
      </c>
      <c r="AO95" s="10"/>
      <c r="AP95" s="10"/>
      <c r="AQ95" s="10"/>
      <c r="AR95" s="24" t="n">
        <f aca="false">IF(B95="",0,MAX(SUMPRODUCT((BCC_MA=$B95)*IFERROR(VALUE(SUBSTITUTE($G$6:$G$100,"N","")),0)),SUMPRODUCT((BCC_MA=$B95)*IFERROR(VALUE(SUBSTITUTE($H$6:$H$100,"N","")),0)),SUMPRODUCT((BCC_MA=$B95)*IFERROR(VALUE(SUBSTITUTE($I$6:$I$100,"N","")),0)),SUMPRODUCT((BCC_MA=$B95)*IFERROR(VALUE(SUBSTITUTE($J$6:$J$100,"N","")),0)),SUMPRODUCT((BCC_MA=$B95)*IFERROR(VALUE(SUBSTITUTE($K$6:$K$100,"N","")),0)),SUMPRODUCT((BCC_MA=$B95)*IFERROR(VALUE(SUBSTITUTE($L$6:$L$100,"N","")),0)),SUMPRODUCT((BCC_MA=$B95)*IFERROR(VALUE(SUBSTITUTE($M$6:$M$100,"N","")),0)),SUMPRODUCT((BCC_MA=$B95)*IFERROR(VALUE(SUBSTITUTE($N$6:$N$100,"N","")),0)),SUMPRODUCT((BCC_MA=$B95)*IFERROR(VALUE(SUBSTITUTE($O$6:$O$100,"N","")),0)),SUMPRODUCT((BCC_MA=$B95)*IFERROR(VALUE(SUBSTITUTE($P$6:$P$100,"N","")),0)),SUMPRODUCT((BCC_MA=$B95)*IFERROR(VALUE(SUBSTITUTE($Q$6:$Q$100,"N","")),0)),SUMPRODUCT((BCC_MA=$B95)*IFERROR(VALUE(SUBSTITUTE($R$6:$R$100,"N","")),0)),SUMPRODUCT((BCC_MA=$B95)*IFERROR(VALUE(SUBSTITUTE($S$6:$S$100,"N","")),0)),SUMPRODUCT((BCC_MA=$B95)*IFERROR(VALUE(SUBSTITUTE($T$6:$T$100,"N","")),0)),SUMPRODUCT((BCC_MA=$B95)*IFERROR(VALUE(SUBSTITUTE($U$6:$U$100,"N","")),0)),SUMPRODUCT((BCC_MA=$B95)*IFERROR(VALUE(SUBSTITUTE($V$6:$V$100,"N","")),0)),SUMPRODUCT((BCC_MA=$B95)*IFERROR(VALUE(SUBSTITUTE($W$6:$W$100,"N","")),0)),SUMPRODUCT((BCC_MA=$B95)*IFERROR(VALUE(SUBSTITUTE($X$6:$X$100,"N","")),0)),SUMPRODUCT((BCC_MA=$B95)*IFERROR(VALUE(SUBSTITUTE($Y$6:$Y$100,"N","")),0)),SUMPRODUCT((BCC_MA=$B95)*IFERROR(VALUE(SUBSTITUTE($Z$6:$Z$100,"N","")),0)),SUMPRODUCT((BCC_MA=$B95)*IFERROR(VALUE(SUBSTITUTE($AA$6:$AA$100,"N","")),0)),SUMPRODUCT((BCC_MA=$B95)*IFERROR(VALUE(SUBSTITUTE($AB$6:$AB$100,"N","")),0)),SUMPRODUCT((BCC_MA=$B95)*IFERROR(VALUE(SUBSTITUTE($AC$6:$AC$100,"N","")),0)),SUMPRODUCT((BCC_MA=$B95)*IFERROR(VALUE(SUBSTITUTE($AD$6:$AD$100,"N","")),0)),SUMPRODUCT((BCC_MA=$B95)*IFERROR(VALUE(SUBSTITUTE($AE$6:$AE$100,"N","")),0)),SUMPRODUCT((BCC_MA=$B95)*IFERROR(VALUE(SUBSTITUTE($AF$6:$AF$100,"N","")),0)),SUMPRODUCT((BCC_MA=$B95)*IFERROR(VALUE(SUBSTITUTE($AG$6:$AG$100,"N","")),0)),SUMPRODUCT((BCC_MA=$B95)*IFERROR(VALUE(SUBSTITUTE($AH$6:$AH$100,"N","")),0)),SUMPRODUCT((BCC_MA=$B95)*IFERROR(VALUE(SUBSTITUTE($AI$6:$AI$100,"N","")),0)),SUMPRODUCT((BCC_MA=$B95)*IFERROR(VALUE(SUBSTITUTE($AJ$6:$AJ$100,"N","")),0)),SUMPRODUCT((BCC_MA=$B95)*IFERROR(VALUE(SUBSTITUTE($AK$6:$AK$100,"N","")),0))))</f>
        <v>0</v>
      </c>
    </row>
    <row r="96" customFormat="false" ht="15" hidden="false" customHeight="false" outlineLevel="0" collapsed="false">
      <c r="A96" s="17" t="str">
        <f aca="false">IF(B96="","",ROW()-5)</f>
        <v/>
      </c>
      <c r="B96" s="10"/>
      <c r="C96" s="17" t="str">
        <f aca="false">IF(B96="","",IFERROR(INDEX(NV_TEN,MATCH(B96,NV_MA,0)),"MÃ KHÔNG CÓ"))</f>
        <v/>
      </c>
      <c r="D96" s="10"/>
      <c r="E96" s="18"/>
      <c r="F96" s="17" t="str">
        <f aca="false">IF(D96="","",IFERROR(INDEX(NH_GIO,MATCH(D96,NH_TEN,0)),"NHÓM?"))</f>
        <v/>
      </c>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2" t="str">
        <f aca="false">IF(B96="","",SUMPRODUCT(IFERROR(VALUE(SUBSTITUTE(G96:AK96,"N","")),0)))</f>
        <v/>
      </c>
      <c r="AM96" s="23" t="str">
        <f aca="false">IF(B96="","",AL96/F96)</f>
        <v/>
      </c>
      <c r="AN96" s="23" t="str">
        <f aca="false">IF(B96="","",SUMPRODUCT(ISNUMBER(SEARCH("N",G96:AK96))*IFERROR(VALUE(SUBSTITUTE(G96:AK96,"N","")),0))/F96)</f>
        <v/>
      </c>
      <c r="AO96" s="10"/>
      <c r="AP96" s="10"/>
      <c r="AQ96" s="10"/>
      <c r="AR96" s="24" t="n">
        <f aca="false">IF(B96="",0,MAX(SUMPRODUCT((BCC_MA=$B96)*IFERROR(VALUE(SUBSTITUTE($G$6:$G$100,"N","")),0)),SUMPRODUCT((BCC_MA=$B96)*IFERROR(VALUE(SUBSTITUTE($H$6:$H$100,"N","")),0)),SUMPRODUCT((BCC_MA=$B96)*IFERROR(VALUE(SUBSTITUTE($I$6:$I$100,"N","")),0)),SUMPRODUCT((BCC_MA=$B96)*IFERROR(VALUE(SUBSTITUTE($J$6:$J$100,"N","")),0)),SUMPRODUCT((BCC_MA=$B96)*IFERROR(VALUE(SUBSTITUTE($K$6:$K$100,"N","")),0)),SUMPRODUCT((BCC_MA=$B96)*IFERROR(VALUE(SUBSTITUTE($L$6:$L$100,"N","")),0)),SUMPRODUCT((BCC_MA=$B96)*IFERROR(VALUE(SUBSTITUTE($M$6:$M$100,"N","")),0)),SUMPRODUCT((BCC_MA=$B96)*IFERROR(VALUE(SUBSTITUTE($N$6:$N$100,"N","")),0)),SUMPRODUCT((BCC_MA=$B96)*IFERROR(VALUE(SUBSTITUTE($O$6:$O$100,"N","")),0)),SUMPRODUCT((BCC_MA=$B96)*IFERROR(VALUE(SUBSTITUTE($P$6:$P$100,"N","")),0)),SUMPRODUCT((BCC_MA=$B96)*IFERROR(VALUE(SUBSTITUTE($Q$6:$Q$100,"N","")),0)),SUMPRODUCT((BCC_MA=$B96)*IFERROR(VALUE(SUBSTITUTE($R$6:$R$100,"N","")),0)),SUMPRODUCT((BCC_MA=$B96)*IFERROR(VALUE(SUBSTITUTE($S$6:$S$100,"N","")),0)),SUMPRODUCT((BCC_MA=$B96)*IFERROR(VALUE(SUBSTITUTE($T$6:$T$100,"N","")),0)),SUMPRODUCT((BCC_MA=$B96)*IFERROR(VALUE(SUBSTITUTE($U$6:$U$100,"N","")),0)),SUMPRODUCT((BCC_MA=$B96)*IFERROR(VALUE(SUBSTITUTE($V$6:$V$100,"N","")),0)),SUMPRODUCT((BCC_MA=$B96)*IFERROR(VALUE(SUBSTITUTE($W$6:$W$100,"N","")),0)),SUMPRODUCT((BCC_MA=$B96)*IFERROR(VALUE(SUBSTITUTE($X$6:$X$100,"N","")),0)),SUMPRODUCT((BCC_MA=$B96)*IFERROR(VALUE(SUBSTITUTE($Y$6:$Y$100,"N","")),0)),SUMPRODUCT((BCC_MA=$B96)*IFERROR(VALUE(SUBSTITUTE($Z$6:$Z$100,"N","")),0)),SUMPRODUCT((BCC_MA=$B96)*IFERROR(VALUE(SUBSTITUTE($AA$6:$AA$100,"N","")),0)),SUMPRODUCT((BCC_MA=$B96)*IFERROR(VALUE(SUBSTITUTE($AB$6:$AB$100,"N","")),0)),SUMPRODUCT((BCC_MA=$B96)*IFERROR(VALUE(SUBSTITUTE($AC$6:$AC$100,"N","")),0)),SUMPRODUCT((BCC_MA=$B96)*IFERROR(VALUE(SUBSTITUTE($AD$6:$AD$100,"N","")),0)),SUMPRODUCT((BCC_MA=$B96)*IFERROR(VALUE(SUBSTITUTE($AE$6:$AE$100,"N","")),0)),SUMPRODUCT((BCC_MA=$B96)*IFERROR(VALUE(SUBSTITUTE($AF$6:$AF$100,"N","")),0)),SUMPRODUCT((BCC_MA=$B96)*IFERROR(VALUE(SUBSTITUTE($AG$6:$AG$100,"N","")),0)),SUMPRODUCT((BCC_MA=$B96)*IFERROR(VALUE(SUBSTITUTE($AH$6:$AH$100,"N","")),0)),SUMPRODUCT((BCC_MA=$B96)*IFERROR(VALUE(SUBSTITUTE($AI$6:$AI$100,"N","")),0)),SUMPRODUCT((BCC_MA=$B96)*IFERROR(VALUE(SUBSTITUTE($AJ$6:$AJ$100,"N","")),0)),SUMPRODUCT((BCC_MA=$B96)*IFERROR(VALUE(SUBSTITUTE($AK$6:$AK$100,"N","")),0))))</f>
        <v>0</v>
      </c>
    </row>
    <row r="97" customFormat="false" ht="15" hidden="false" customHeight="false" outlineLevel="0" collapsed="false">
      <c r="A97" s="17" t="str">
        <f aca="false">IF(B97="","",ROW()-5)</f>
        <v/>
      </c>
      <c r="B97" s="10"/>
      <c r="C97" s="17" t="str">
        <f aca="false">IF(B97="","",IFERROR(INDEX(NV_TEN,MATCH(B97,NV_MA,0)),"MÃ KHÔNG CÓ"))</f>
        <v/>
      </c>
      <c r="D97" s="10"/>
      <c r="E97" s="18"/>
      <c r="F97" s="17" t="str">
        <f aca="false">IF(D97="","",IFERROR(INDEX(NH_GIO,MATCH(D97,NH_TEN,0)),"NHÓM?"))</f>
        <v/>
      </c>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2" t="str">
        <f aca="false">IF(B97="","",SUMPRODUCT(IFERROR(VALUE(SUBSTITUTE(G97:AK97,"N","")),0)))</f>
        <v/>
      </c>
      <c r="AM97" s="23" t="str">
        <f aca="false">IF(B97="","",AL97/F97)</f>
        <v/>
      </c>
      <c r="AN97" s="23" t="str">
        <f aca="false">IF(B97="","",SUMPRODUCT(ISNUMBER(SEARCH("N",G97:AK97))*IFERROR(VALUE(SUBSTITUTE(G97:AK97,"N","")),0))/F97)</f>
        <v/>
      </c>
      <c r="AO97" s="10"/>
      <c r="AP97" s="10"/>
      <c r="AQ97" s="10"/>
      <c r="AR97" s="24" t="n">
        <f aca="false">IF(B97="",0,MAX(SUMPRODUCT((BCC_MA=$B97)*IFERROR(VALUE(SUBSTITUTE($G$6:$G$100,"N","")),0)),SUMPRODUCT((BCC_MA=$B97)*IFERROR(VALUE(SUBSTITUTE($H$6:$H$100,"N","")),0)),SUMPRODUCT((BCC_MA=$B97)*IFERROR(VALUE(SUBSTITUTE($I$6:$I$100,"N","")),0)),SUMPRODUCT((BCC_MA=$B97)*IFERROR(VALUE(SUBSTITUTE($J$6:$J$100,"N","")),0)),SUMPRODUCT((BCC_MA=$B97)*IFERROR(VALUE(SUBSTITUTE($K$6:$K$100,"N","")),0)),SUMPRODUCT((BCC_MA=$B97)*IFERROR(VALUE(SUBSTITUTE($L$6:$L$100,"N","")),0)),SUMPRODUCT((BCC_MA=$B97)*IFERROR(VALUE(SUBSTITUTE($M$6:$M$100,"N","")),0)),SUMPRODUCT((BCC_MA=$B97)*IFERROR(VALUE(SUBSTITUTE($N$6:$N$100,"N","")),0)),SUMPRODUCT((BCC_MA=$B97)*IFERROR(VALUE(SUBSTITUTE($O$6:$O$100,"N","")),0)),SUMPRODUCT((BCC_MA=$B97)*IFERROR(VALUE(SUBSTITUTE($P$6:$P$100,"N","")),0)),SUMPRODUCT((BCC_MA=$B97)*IFERROR(VALUE(SUBSTITUTE($Q$6:$Q$100,"N","")),0)),SUMPRODUCT((BCC_MA=$B97)*IFERROR(VALUE(SUBSTITUTE($R$6:$R$100,"N","")),0)),SUMPRODUCT((BCC_MA=$B97)*IFERROR(VALUE(SUBSTITUTE($S$6:$S$100,"N","")),0)),SUMPRODUCT((BCC_MA=$B97)*IFERROR(VALUE(SUBSTITUTE($T$6:$T$100,"N","")),0)),SUMPRODUCT((BCC_MA=$B97)*IFERROR(VALUE(SUBSTITUTE($U$6:$U$100,"N","")),0)),SUMPRODUCT((BCC_MA=$B97)*IFERROR(VALUE(SUBSTITUTE($V$6:$V$100,"N","")),0)),SUMPRODUCT((BCC_MA=$B97)*IFERROR(VALUE(SUBSTITUTE($W$6:$W$100,"N","")),0)),SUMPRODUCT((BCC_MA=$B97)*IFERROR(VALUE(SUBSTITUTE($X$6:$X$100,"N","")),0)),SUMPRODUCT((BCC_MA=$B97)*IFERROR(VALUE(SUBSTITUTE($Y$6:$Y$100,"N","")),0)),SUMPRODUCT((BCC_MA=$B97)*IFERROR(VALUE(SUBSTITUTE($Z$6:$Z$100,"N","")),0)),SUMPRODUCT((BCC_MA=$B97)*IFERROR(VALUE(SUBSTITUTE($AA$6:$AA$100,"N","")),0)),SUMPRODUCT((BCC_MA=$B97)*IFERROR(VALUE(SUBSTITUTE($AB$6:$AB$100,"N","")),0)),SUMPRODUCT((BCC_MA=$B97)*IFERROR(VALUE(SUBSTITUTE($AC$6:$AC$100,"N","")),0)),SUMPRODUCT((BCC_MA=$B97)*IFERROR(VALUE(SUBSTITUTE($AD$6:$AD$100,"N","")),0)),SUMPRODUCT((BCC_MA=$B97)*IFERROR(VALUE(SUBSTITUTE($AE$6:$AE$100,"N","")),0)),SUMPRODUCT((BCC_MA=$B97)*IFERROR(VALUE(SUBSTITUTE($AF$6:$AF$100,"N","")),0)),SUMPRODUCT((BCC_MA=$B97)*IFERROR(VALUE(SUBSTITUTE($AG$6:$AG$100,"N","")),0)),SUMPRODUCT((BCC_MA=$B97)*IFERROR(VALUE(SUBSTITUTE($AH$6:$AH$100,"N","")),0)),SUMPRODUCT((BCC_MA=$B97)*IFERROR(VALUE(SUBSTITUTE($AI$6:$AI$100,"N","")),0)),SUMPRODUCT((BCC_MA=$B97)*IFERROR(VALUE(SUBSTITUTE($AJ$6:$AJ$100,"N","")),0)),SUMPRODUCT((BCC_MA=$B97)*IFERROR(VALUE(SUBSTITUTE($AK$6:$AK$100,"N","")),0))))</f>
        <v>0</v>
      </c>
    </row>
    <row r="98" customFormat="false" ht="15" hidden="false" customHeight="false" outlineLevel="0" collapsed="false">
      <c r="A98" s="17" t="str">
        <f aca="false">IF(B98="","",ROW()-5)</f>
        <v/>
      </c>
      <c r="B98" s="10"/>
      <c r="C98" s="17" t="str">
        <f aca="false">IF(B98="","",IFERROR(INDEX(NV_TEN,MATCH(B98,NV_MA,0)),"MÃ KHÔNG CÓ"))</f>
        <v/>
      </c>
      <c r="D98" s="10"/>
      <c r="E98" s="18"/>
      <c r="F98" s="17" t="str">
        <f aca="false">IF(D98="","",IFERROR(INDEX(NH_GIO,MATCH(D98,NH_TEN,0)),"NHÓM?"))</f>
        <v/>
      </c>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2" t="str">
        <f aca="false">IF(B98="","",SUMPRODUCT(IFERROR(VALUE(SUBSTITUTE(G98:AK98,"N","")),0)))</f>
        <v/>
      </c>
      <c r="AM98" s="23" t="str">
        <f aca="false">IF(B98="","",AL98/F98)</f>
        <v/>
      </c>
      <c r="AN98" s="23" t="str">
        <f aca="false">IF(B98="","",SUMPRODUCT(ISNUMBER(SEARCH("N",G98:AK98))*IFERROR(VALUE(SUBSTITUTE(G98:AK98,"N","")),0))/F98)</f>
        <v/>
      </c>
      <c r="AO98" s="10"/>
      <c r="AP98" s="10"/>
      <c r="AQ98" s="10"/>
      <c r="AR98" s="24" t="n">
        <f aca="false">IF(B98="",0,MAX(SUMPRODUCT((BCC_MA=$B98)*IFERROR(VALUE(SUBSTITUTE($G$6:$G$100,"N","")),0)),SUMPRODUCT((BCC_MA=$B98)*IFERROR(VALUE(SUBSTITUTE($H$6:$H$100,"N","")),0)),SUMPRODUCT((BCC_MA=$B98)*IFERROR(VALUE(SUBSTITUTE($I$6:$I$100,"N","")),0)),SUMPRODUCT((BCC_MA=$B98)*IFERROR(VALUE(SUBSTITUTE($J$6:$J$100,"N","")),0)),SUMPRODUCT((BCC_MA=$B98)*IFERROR(VALUE(SUBSTITUTE($K$6:$K$100,"N","")),0)),SUMPRODUCT((BCC_MA=$B98)*IFERROR(VALUE(SUBSTITUTE($L$6:$L$100,"N","")),0)),SUMPRODUCT((BCC_MA=$B98)*IFERROR(VALUE(SUBSTITUTE($M$6:$M$100,"N","")),0)),SUMPRODUCT((BCC_MA=$B98)*IFERROR(VALUE(SUBSTITUTE($N$6:$N$100,"N","")),0)),SUMPRODUCT((BCC_MA=$B98)*IFERROR(VALUE(SUBSTITUTE($O$6:$O$100,"N","")),0)),SUMPRODUCT((BCC_MA=$B98)*IFERROR(VALUE(SUBSTITUTE($P$6:$P$100,"N","")),0)),SUMPRODUCT((BCC_MA=$B98)*IFERROR(VALUE(SUBSTITUTE($Q$6:$Q$100,"N","")),0)),SUMPRODUCT((BCC_MA=$B98)*IFERROR(VALUE(SUBSTITUTE($R$6:$R$100,"N","")),0)),SUMPRODUCT((BCC_MA=$B98)*IFERROR(VALUE(SUBSTITUTE($S$6:$S$100,"N","")),0)),SUMPRODUCT((BCC_MA=$B98)*IFERROR(VALUE(SUBSTITUTE($T$6:$T$100,"N","")),0)),SUMPRODUCT((BCC_MA=$B98)*IFERROR(VALUE(SUBSTITUTE($U$6:$U$100,"N","")),0)),SUMPRODUCT((BCC_MA=$B98)*IFERROR(VALUE(SUBSTITUTE($V$6:$V$100,"N","")),0)),SUMPRODUCT((BCC_MA=$B98)*IFERROR(VALUE(SUBSTITUTE($W$6:$W$100,"N","")),0)),SUMPRODUCT((BCC_MA=$B98)*IFERROR(VALUE(SUBSTITUTE($X$6:$X$100,"N","")),0)),SUMPRODUCT((BCC_MA=$B98)*IFERROR(VALUE(SUBSTITUTE($Y$6:$Y$100,"N","")),0)),SUMPRODUCT((BCC_MA=$B98)*IFERROR(VALUE(SUBSTITUTE($Z$6:$Z$100,"N","")),0)),SUMPRODUCT((BCC_MA=$B98)*IFERROR(VALUE(SUBSTITUTE($AA$6:$AA$100,"N","")),0)),SUMPRODUCT((BCC_MA=$B98)*IFERROR(VALUE(SUBSTITUTE($AB$6:$AB$100,"N","")),0)),SUMPRODUCT((BCC_MA=$B98)*IFERROR(VALUE(SUBSTITUTE($AC$6:$AC$100,"N","")),0)),SUMPRODUCT((BCC_MA=$B98)*IFERROR(VALUE(SUBSTITUTE($AD$6:$AD$100,"N","")),0)),SUMPRODUCT((BCC_MA=$B98)*IFERROR(VALUE(SUBSTITUTE($AE$6:$AE$100,"N","")),0)),SUMPRODUCT((BCC_MA=$B98)*IFERROR(VALUE(SUBSTITUTE($AF$6:$AF$100,"N","")),0)),SUMPRODUCT((BCC_MA=$B98)*IFERROR(VALUE(SUBSTITUTE($AG$6:$AG$100,"N","")),0)),SUMPRODUCT((BCC_MA=$B98)*IFERROR(VALUE(SUBSTITUTE($AH$6:$AH$100,"N","")),0)),SUMPRODUCT((BCC_MA=$B98)*IFERROR(VALUE(SUBSTITUTE($AI$6:$AI$100,"N","")),0)),SUMPRODUCT((BCC_MA=$B98)*IFERROR(VALUE(SUBSTITUTE($AJ$6:$AJ$100,"N","")),0)),SUMPRODUCT((BCC_MA=$B98)*IFERROR(VALUE(SUBSTITUTE($AK$6:$AK$100,"N","")),0))))</f>
        <v>0</v>
      </c>
    </row>
    <row r="99" customFormat="false" ht="15" hidden="false" customHeight="false" outlineLevel="0" collapsed="false">
      <c r="A99" s="17" t="str">
        <f aca="false">IF(B99="","",ROW()-5)</f>
        <v/>
      </c>
      <c r="B99" s="10"/>
      <c r="C99" s="17" t="str">
        <f aca="false">IF(B99="","",IFERROR(INDEX(NV_TEN,MATCH(B99,NV_MA,0)),"MÃ KHÔNG CÓ"))</f>
        <v/>
      </c>
      <c r="D99" s="10"/>
      <c r="E99" s="18"/>
      <c r="F99" s="17" t="str">
        <f aca="false">IF(D99="","",IFERROR(INDEX(NH_GIO,MATCH(D99,NH_TEN,0)),"NHÓM?"))</f>
        <v/>
      </c>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2" t="str">
        <f aca="false">IF(B99="","",SUMPRODUCT(IFERROR(VALUE(SUBSTITUTE(G99:AK99,"N","")),0)))</f>
        <v/>
      </c>
      <c r="AM99" s="23" t="str">
        <f aca="false">IF(B99="","",AL99/F99)</f>
        <v/>
      </c>
      <c r="AN99" s="23" t="str">
        <f aca="false">IF(B99="","",SUMPRODUCT(ISNUMBER(SEARCH("N",G99:AK99))*IFERROR(VALUE(SUBSTITUTE(G99:AK99,"N","")),0))/F99)</f>
        <v/>
      </c>
      <c r="AO99" s="10"/>
      <c r="AP99" s="10"/>
      <c r="AQ99" s="10"/>
      <c r="AR99" s="24" t="n">
        <f aca="false">IF(B99="",0,MAX(SUMPRODUCT((BCC_MA=$B99)*IFERROR(VALUE(SUBSTITUTE($G$6:$G$100,"N","")),0)),SUMPRODUCT((BCC_MA=$B99)*IFERROR(VALUE(SUBSTITUTE($H$6:$H$100,"N","")),0)),SUMPRODUCT((BCC_MA=$B99)*IFERROR(VALUE(SUBSTITUTE($I$6:$I$100,"N","")),0)),SUMPRODUCT((BCC_MA=$B99)*IFERROR(VALUE(SUBSTITUTE($J$6:$J$100,"N","")),0)),SUMPRODUCT((BCC_MA=$B99)*IFERROR(VALUE(SUBSTITUTE($K$6:$K$100,"N","")),0)),SUMPRODUCT((BCC_MA=$B99)*IFERROR(VALUE(SUBSTITUTE($L$6:$L$100,"N","")),0)),SUMPRODUCT((BCC_MA=$B99)*IFERROR(VALUE(SUBSTITUTE($M$6:$M$100,"N","")),0)),SUMPRODUCT((BCC_MA=$B99)*IFERROR(VALUE(SUBSTITUTE($N$6:$N$100,"N","")),0)),SUMPRODUCT((BCC_MA=$B99)*IFERROR(VALUE(SUBSTITUTE($O$6:$O$100,"N","")),0)),SUMPRODUCT((BCC_MA=$B99)*IFERROR(VALUE(SUBSTITUTE($P$6:$P$100,"N","")),0)),SUMPRODUCT((BCC_MA=$B99)*IFERROR(VALUE(SUBSTITUTE($Q$6:$Q$100,"N","")),0)),SUMPRODUCT((BCC_MA=$B99)*IFERROR(VALUE(SUBSTITUTE($R$6:$R$100,"N","")),0)),SUMPRODUCT((BCC_MA=$B99)*IFERROR(VALUE(SUBSTITUTE($S$6:$S$100,"N","")),0)),SUMPRODUCT((BCC_MA=$B99)*IFERROR(VALUE(SUBSTITUTE($T$6:$T$100,"N","")),0)),SUMPRODUCT((BCC_MA=$B99)*IFERROR(VALUE(SUBSTITUTE($U$6:$U$100,"N","")),0)),SUMPRODUCT((BCC_MA=$B99)*IFERROR(VALUE(SUBSTITUTE($V$6:$V$100,"N","")),0)),SUMPRODUCT((BCC_MA=$B99)*IFERROR(VALUE(SUBSTITUTE($W$6:$W$100,"N","")),0)),SUMPRODUCT((BCC_MA=$B99)*IFERROR(VALUE(SUBSTITUTE($X$6:$X$100,"N","")),0)),SUMPRODUCT((BCC_MA=$B99)*IFERROR(VALUE(SUBSTITUTE($Y$6:$Y$100,"N","")),0)),SUMPRODUCT((BCC_MA=$B99)*IFERROR(VALUE(SUBSTITUTE($Z$6:$Z$100,"N","")),0)),SUMPRODUCT((BCC_MA=$B99)*IFERROR(VALUE(SUBSTITUTE($AA$6:$AA$100,"N","")),0)),SUMPRODUCT((BCC_MA=$B99)*IFERROR(VALUE(SUBSTITUTE($AB$6:$AB$100,"N","")),0)),SUMPRODUCT((BCC_MA=$B99)*IFERROR(VALUE(SUBSTITUTE($AC$6:$AC$100,"N","")),0)),SUMPRODUCT((BCC_MA=$B99)*IFERROR(VALUE(SUBSTITUTE($AD$6:$AD$100,"N","")),0)),SUMPRODUCT((BCC_MA=$B99)*IFERROR(VALUE(SUBSTITUTE($AE$6:$AE$100,"N","")),0)),SUMPRODUCT((BCC_MA=$B99)*IFERROR(VALUE(SUBSTITUTE($AF$6:$AF$100,"N","")),0)),SUMPRODUCT((BCC_MA=$B99)*IFERROR(VALUE(SUBSTITUTE($AG$6:$AG$100,"N","")),0)),SUMPRODUCT((BCC_MA=$B99)*IFERROR(VALUE(SUBSTITUTE($AH$6:$AH$100,"N","")),0)),SUMPRODUCT((BCC_MA=$B99)*IFERROR(VALUE(SUBSTITUTE($AI$6:$AI$100,"N","")),0)),SUMPRODUCT((BCC_MA=$B99)*IFERROR(VALUE(SUBSTITUTE($AJ$6:$AJ$100,"N","")),0)),SUMPRODUCT((BCC_MA=$B99)*IFERROR(VALUE(SUBSTITUTE($AK$6:$AK$100,"N","")),0))))</f>
        <v>0</v>
      </c>
    </row>
    <row r="100" customFormat="false" ht="15" hidden="false" customHeight="false" outlineLevel="0" collapsed="false">
      <c r="A100" s="17" t="str">
        <f aca="false">IF(B100="","",ROW()-5)</f>
        <v/>
      </c>
      <c r="B100" s="10"/>
      <c r="C100" s="17" t="str">
        <f aca="false">IF(B100="","",IFERROR(INDEX(NV_TEN,MATCH(B100,NV_MA,0)),"MÃ KHÔNG CÓ"))</f>
        <v/>
      </c>
      <c r="D100" s="10"/>
      <c r="E100" s="18"/>
      <c r="F100" s="17" t="str">
        <f aca="false">IF(D100="","",IFERROR(INDEX(NH_GIO,MATCH(D100,NH_TEN,0)),"NHÓM?"))</f>
        <v/>
      </c>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2" t="str">
        <f aca="false">IF(B100="","",SUMPRODUCT(IFERROR(VALUE(SUBSTITUTE(G100:AK100,"N","")),0)))</f>
        <v/>
      </c>
      <c r="AM100" s="23" t="str">
        <f aca="false">IF(B100="","",AL100/F100)</f>
        <v/>
      </c>
      <c r="AN100" s="23" t="str">
        <f aca="false">IF(B100="","",SUMPRODUCT(ISNUMBER(SEARCH("N",G100:AK100))*IFERROR(VALUE(SUBSTITUTE(G100:AK100,"N","")),0))/F100)</f>
        <v/>
      </c>
      <c r="AO100" s="10"/>
      <c r="AP100" s="10"/>
      <c r="AQ100" s="10"/>
      <c r="AR100" s="24" t="n">
        <f aca="false">IF(B100="",0,MAX(SUMPRODUCT((BCC_MA=$B100)*IFERROR(VALUE(SUBSTITUTE($G$6:$G$100,"N","")),0)),SUMPRODUCT((BCC_MA=$B100)*IFERROR(VALUE(SUBSTITUTE($H$6:$H$100,"N","")),0)),SUMPRODUCT((BCC_MA=$B100)*IFERROR(VALUE(SUBSTITUTE($I$6:$I$100,"N","")),0)),SUMPRODUCT((BCC_MA=$B100)*IFERROR(VALUE(SUBSTITUTE($J$6:$J$100,"N","")),0)),SUMPRODUCT((BCC_MA=$B100)*IFERROR(VALUE(SUBSTITUTE($K$6:$K$100,"N","")),0)),SUMPRODUCT((BCC_MA=$B100)*IFERROR(VALUE(SUBSTITUTE($L$6:$L$100,"N","")),0)),SUMPRODUCT((BCC_MA=$B100)*IFERROR(VALUE(SUBSTITUTE($M$6:$M$100,"N","")),0)),SUMPRODUCT((BCC_MA=$B100)*IFERROR(VALUE(SUBSTITUTE($N$6:$N$100,"N","")),0)),SUMPRODUCT((BCC_MA=$B100)*IFERROR(VALUE(SUBSTITUTE($O$6:$O$100,"N","")),0)),SUMPRODUCT((BCC_MA=$B100)*IFERROR(VALUE(SUBSTITUTE($P$6:$P$100,"N","")),0)),SUMPRODUCT((BCC_MA=$B100)*IFERROR(VALUE(SUBSTITUTE($Q$6:$Q$100,"N","")),0)),SUMPRODUCT((BCC_MA=$B100)*IFERROR(VALUE(SUBSTITUTE($R$6:$R$100,"N","")),0)),SUMPRODUCT((BCC_MA=$B100)*IFERROR(VALUE(SUBSTITUTE($S$6:$S$100,"N","")),0)),SUMPRODUCT((BCC_MA=$B100)*IFERROR(VALUE(SUBSTITUTE($T$6:$T$100,"N","")),0)),SUMPRODUCT((BCC_MA=$B100)*IFERROR(VALUE(SUBSTITUTE($U$6:$U$100,"N","")),0)),SUMPRODUCT((BCC_MA=$B100)*IFERROR(VALUE(SUBSTITUTE($V$6:$V$100,"N","")),0)),SUMPRODUCT((BCC_MA=$B100)*IFERROR(VALUE(SUBSTITUTE($W$6:$W$100,"N","")),0)),SUMPRODUCT((BCC_MA=$B100)*IFERROR(VALUE(SUBSTITUTE($X$6:$X$100,"N","")),0)),SUMPRODUCT((BCC_MA=$B100)*IFERROR(VALUE(SUBSTITUTE($Y$6:$Y$100,"N","")),0)),SUMPRODUCT((BCC_MA=$B100)*IFERROR(VALUE(SUBSTITUTE($Z$6:$Z$100,"N","")),0)),SUMPRODUCT((BCC_MA=$B100)*IFERROR(VALUE(SUBSTITUTE($AA$6:$AA$100,"N","")),0)),SUMPRODUCT((BCC_MA=$B100)*IFERROR(VALUE(SUBSTITUTE($AB$6:$AB$100,"N","")),0)),SUMPRODUCT((BCC_MA=$B100)*IFERROR(VALUE(SUBSTITUTE($AC$6:$AC$100,"N","")),0)),SUMPRODUCT((BCC_MA=$B100)*IFERROR(VALUE(SUBSTITUTE($AD$6:$AD$100,"N","")),0)),SUMPRODUCT((BCC_MA=$B100)*IFERROR(VALUE(SUBSTITUTE($AE$6:$AE$100,"N","")),0)),SUMPRODUCT((BCC_MA=$B100)*IFERROR(VALUE(SUBSTITUTE($AF$6:$AF$100,"N","")),0)),SUMPRODUCT((BCC_MA=$B100)*IFERROR(VALUE(SUBSTITUTE($AG$6:$AG$100,"N","")),0)),SUMPRODUCT((BCC_MA=$B100)*IFERROR(VALUE(SUBSTITUTE($AH$6:$AH$100,"N","")),0)),SUMPRODUCT((BCC_MA=$B100)*IFERROR(VALUE(SUBSTITUTE($AI$6:$AI$100,"N","")),0)),SUMPRODUCT((BCC_MA=$B100)*IFERROR(VALUE(SUBSTITUTE($AJ$6:$AJ$100,"N","")),0)),SUMPRODUCT((BCC_MA=$B100)*IFERROR(VALUE(SUBSTITUTE($AK$6:$AK$100,"N","")),0))))</f>
        <v>0</v>
      </c>
    </row>
    <row r="102" customFormat="false" ht="15" hidden="false" customHeight="false" outlineLevel="0" collapsed="false">
      <c r="C102" s="3" t="s">
        <v>274</v>
      </c>
      <c r="AL102" s="25" t="n">
        <f aca="false">SUM(AL6:AL100)</f>
        <v>5657.1</v>
      </c>
      <c r="AM102" s="25" t="n">
        <f aca="false">SUM(AM6:AM100)</f>
        <v>692.1375</v>
      </c>
      <c r="AN102" s="25" t="n">
        <f aca="false">SUM(AN6:AN100)</f>
        <v>15</v>
      </c>
    </row>
  </sheetData>
  <sheetProtection sheet="true" formatColumns="false" formatRows="false"/>
  <conditionalFormatting sqref="G6:AK100">
    <cfRule type="expression" priority="2" aboveAverage="0" equalAverage="0" bottom="0" percent="0" rank="0" text="" dxfId="0">
      <formula>OR(G$3="",AND(KY="1–15",DAY(G$3)&gt;15),AND(KY="16–31",DAY(G$3)&lt;16))</formula>
    </cfRule>
    <cfRule type="expression" priority="3" aboveAverage="0" equalAverage="0" bottom="0" percent="0" rank="0" text="" dxfId="1">
      <formula>AND(G6&lt;&gt;"",NOT(AND(IFERROR(VALUE(SUBSTITUTE(G6,"N","")),-1)&gt;=0,IFERROR(VALUE(SUBSTITUTE(G6,"N","")),-1)&lt;=24,MOD(IFERROR(VALUE(SUBSTITUTE(G6,"N","")),0)*2,1)=0,OR(ISNUMBER(G6),RIGHT(G6,1)="N"))))</formula>
    </cfRule>
    <cfRule type="expression" priority="4" aboveAverage="0" equalAverage="0" bottom="0" percent="0" rank="0" text="" dxfId="2">
      <formula>IFERROR(VALUE(SUBSTITUTE(G6,"N","")),0)&gt;GIO_MAX</formula>
    </cfRule>
    <cfRule type="expression" priority="5" aboveAverage="0" equalAverage="0" bottom="0" percent="0" rank="0" text="" dxfId="3">
      <formula>ISNUMBER(SEARCH("N",G6))</formula>
    </cfRule>
    <cfRule type="expression" priority="6" aboveAverage="0" equalAverage="0" bottom="0" percent="0" rank="0" text="" dxfId="4">
      <formula>G$4="CN"</formula>
    </cfRule>
  </conditionalFormatting>
  <dataValidations count="2">
    <dataValidation allowBlank="true" error="Nhập số giờ 0–24 (bội số 0,5), thêm N nếu ca đêm (vd 12N)" errorStyle="stop" errorTitle="Không hợp lệ" operator="between" showDropDown="false" showErrorMessage="true" showInputMessage="false" sqref="G6:AK100" type="custom">
      <formula1>AND(IFERROR(VALUE(SUBSTITUTE(G6,"N","")),-1)&gt;=0,IFERROR(VALUE(SUBSTITUTE(G6,"N","")),-1)&lt;=24,MOD(IFERROR(VALUE(SUBSTITUTE(G6,"N","")),0)*2,1)=0,OR(ISNUMBER(G6),RIGHT(G6,1)="N"))</formula1>
      <formula2>0</formula2>
    </dataValidation>
    <dataValidation allowBlank="true" errorStyle="stop" operator="between" showDropDown="false" showErrorMessage="false" showInputMessage="false" sqref="D6:D100" type="list">
      <formula1>NH_TEN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8"/>
    <col collapsed="false" customWidth="true" hidden="false" outlineLevel="0" max="3" min="3" style="0" width="10"/>
    <col collapsed="false" customWidth="true" hidden="false" outlineLevel="0" max="4" min="4" style="0" width="8"/>
    <col collapsed="false" customWidth="true" hidden="false" outlineLevel="0" max="5" min="5" style="0" width="22"/>
    <col collapsed="false" customWidth="true" hidden="false" outlineLevel="0" max="7" min="6" style="0" width="12"/>
    <col collapsed="false" customWidth="true" hidden="false" outlineLevel="0" max="8" min="8" style="0" width="13"/>
    <col collapsed="false" customWidth="true" hidden="false" outlineLevel="0" max="11" min="9" style="0" width="9"/>
    <col collapsed="false" customWidth="true" hidden="false" outlineLevel="0" max="12" min="12" style="0" width="12"/>
    <col collapsed="false" customWidth="true" hidden="false" outlineLevel="0" max="14" min="13" style="0" width="13"/>
    <col collapsed="false" customWidth="true" hidden="false" outlineLevel="0" max="15" min="15" style="0" width="40"/>
  </cols>
  <sheetData>
    <row r="1" customFormat="false" ht="17.35" hidden="false" customHeight="false" outlineLevel="0" collapsed="false">
      <c r="A1" s="1" t="s">
        <v>275</v>
      </c>
    </row>
    <row r="2" customFormat="false" ht="15" hidden="false" customHeight="false" outlineLevel="0" collapsed="false">
      <c r="A2" s="2" t="s">
        <v>276</v>
      </c>
    </row>
    <row r="4" customFormat="false" ht="48" hidden="false" customHeight="true" outlineLevel="0" collapsed="false">
      <c r="A4" s="14" t="s">
        <v>85</v>
      </c>
      <c r="B4" s="14" t="s">
        <v>277</v>
      </c>
      <c r="C4" s="14" t="s">
        <v>278</v>
      </c>
      <c r="D4" s="14" t="s">
        <v>279</v>
      </c>
      <c r="E4" s="14" t="s">
        <v>280</v>
      </c>
      <c r="F4" s="14" t="s">
        <v>281</v>
      </c>
      <c r="G4" s="14" t="s">
        <v>282</v>
      </c>
      <c r="H4" s="14" t="s">
        <v>283</v>
      </c>
      <c r="I4" s="14" t="s">
        <v>284</v>
      </c>
      <c r="J4" s="14" t="s">
        <v>285</v>
      </c>
      <c r="K4" s="14" t="s">
        <v>286</v>
      </c>
      <c r="L4" s="14" t="s">
        <v>287</v>
      </c>
      <c r="M4" s="14" t="s">
        <v>288</v>
      </c>
      <c r="N4" s="14" t="s">
        <v>289</v>
      </c>
      <c r="O4" s="14" t="s">
        <v>97</v>
      </c>
    </row>
    <row r="5" customFormat="false" ht="15" hidden="false" customHeight="false" outlineLevel="0" collapsed="false">
      <c r="A5" s="17" t="n">
        <v>1</v>
      </c>
      <c r="B5" s="10" t="n">
        <v>18</v>
      </c>
      <c r="C5" s="10" t="s">
        <v>279</v>
      </c>
      <c r="D5" s="10" t="s">
        <v>147</v>
      </c>
      <c r="E5" s="10" t="s">
        <v>290</v>
      </c>
      <c r="F5" s="26" t="n">
        <v>2927</v>
      </c>
      <c r="G5" s="18" t="n">
        <v>1500000</v>
      </c>
      <c r="H5" s="27" t="n">
        <f aca="false">IF(B5="",0,F5/1000*G5)</f>
        <v>4390500</v>
      </c>
      <c r="I5" s="10"/>
      <c r="J5" s="10"/>
      <c r="K5" s="10"/>
      <c r="L5" s="17" t="n">
        <f aca="false">IF(B5="","",IF(C5="Tổ",IFERROR(INDEX(PB_TO_COUNT,MATCH(D5,PB_TO_TEN,0),B5),0),COUNTA(I5:K5)))</f>
        <v>10</v>
      </c>
      <c r="M5" s="27" t="n">
        <f aca="false">IF(OR(B5="",L5=0),0,IF(C5="Tổ",ROUNDDOWN(H5/L5,-3),H5/L5))</f>
        <v>439000</v>
      </c>
      <c r="N5" s="27" t="n">
        <f aca="false">IF(OR(B5="",L5=0,C5&lt;&gt;"Tổ"),0,H5-M5*(L5-1))</f>
        <v>439500</v>
      </c>
      <c r="O5" s="10" t="s">
        <v>291</v>
      </c>
    </row>
    <row r="6" customFormat="false" ht="15" hidden="false" customHeight="false" outlineLevel="0" collapsed="false">
      <c r="A6" s="17" t="n">
        <v>2</v>
      </c>
      <c r="B6" s="10" t="n">
        <v>19</v>
      </c>
      <c r="C6" s="10" t="s">
        <v>279</v>
      </c>
      <c r="D6" s="10" t="s">
        <v>170</v>
      </c>
      <c r="E6" s="10" t="s">
        <v>290</v>
      </c>
      <c r="F6" s="26" t="n">
        <v>2862</v>
      </c>
      <c r="G6" s="18" t="n">
        <v>1500000</v>
      </c>
      <c r="H6" s="27" t="n">
        <f aca="false">IF(B6="",0,F6/1000*G6)</f>
        <v>4293000</v>
      </c>
      <c r="I6" s="10"/>
      <c r="J6" s="10"/>
      <c r="K6" s="10"/>
      <c r="L6" s="17" t="n">
        <f aca="false">IF(B6="","",IF(C6="Tổ",IFERROR(INDEX(PB_TO_COUNT,MATCH(D6,PB_TO_TEN,0),B6),0),COUNTA(I6:K6)))</f>
        <v>10</v>
      </c>
      <c r="M6" s="27" t="n">
        <f aca="false">IF(OR(B6="",L6=0),0,IF(C6="Tổ",ROUNDDOWN(H6/L6,-3),H6/L6))</f>
        <v>429000</v>
      </c>
      <c r="N6" s="27" t="n">
        <f aca="false">IF(OR(B6="",L6=0,C6&lt;&gt;"Tổ"),0,H6-M6*(L6-1))</f>
        <v>432000</v>
      </c>
      <c r="O6" s="10" t="s">
        <v>292</v>
      </c>
    </row>
    <row r="7" customFormat="false" ht="15" hidden="false" customHeight="false" outlineLevel="0" collapsed="false">
      <c r="A7" s="17" t="n">
        <v>3</v>
      </c>
      <c r="B7" s="10" t="n">
        <v>19</v>
      </c>
      <c r="C7" s="10" t="s">
        <v>279</v>
      </c>
      <c r="D7" s="10" t="s">
        <v>170</v>
      </c>
      <c r="E7" s="10" t="s">
        <v>293</v>
      </c>
      <c r="F7" s="26" t="n">
        <v>2929</v>
      </c>
      <c r="G7" s="18" t="n">
        <v>192500</v>
      </c>
      <c r="H7" s="27" t="n">
        <f aca="false">IF(B7="",0,F7/1000*G7)</f>
        <v>563832.5</v>
      </c>
      <c r="I7" s="10"/>
      <c r="J7" s="10"/>
      <c r="K7" s="10"/>
      <c r="L7" s="17" t="n">
        <f aca="false">IF(B7="","",IF(C7="Tổ",IFERROR(INDEX(PB_TO_COUNT,MATCH(D7,PB_TO_TEN,0),B7),0),COUNTA(I7:K7)))</f>
        <v>10</v>
      </c>
      <c r="M7" s="27" t="n">
        <f aca="false">IF(OR(B7="",L7=0),0,IF(C7="Tổ",ROUNDDOWN(H7/L7,-3),H7/L7))</f>
        <v>56000</v>
      </c>
      <c r="N7" s="27" t="n">
        <f aca="false">IF(OR(B7="",L7=0,C7&lt;&gt;"Tổ"),0,H7-M7*(L7-1))</f>
        <v>59832.5</v>
      </c>
      <c r="O7" s="10"/>
    </row>
    <row r="8" customFormat="false" ht="15" hidden="false" customHeight="false" outlineLevel="0" collapsed="false">
      <c r="A8" s="17" t="n">
        <v>4</v>
      </c>
      <c r="B8" s="10" t="n">
        <v>20</v>
      </c>
      <c r="C8" s="10" t="s">
        <v>279</v>
      </c>
      <c r="D8" s="10" t="s">
        <v>173</v>
      </c>
      <c r="E8" s="10" t="s">
        <v>290</v>
      </c>
      <c r="F8" s="26" t="n">
        <v>2910</v>
      </c>
      <c r="G8" s="18" t="n">
        <v>1500000</v>
      </c>
      <c r="H8" s="27" t="n">
        <f aca="false">IF(B8="",0,F8/1000*G8)</f>
        <v>4365000</v>
      </c>
      <c r="I8" s="10"/>
      <c r="J8" s="10"/>
      <c r="K8" s="10"/>
      <c r="L8" s="17" t="n">
        <f aca="false">IF(B8="","",IF(C8="Tổ",IFERROR(INDEX(PB_TO_COUNT,MATCH(D8,PB_TO_TEN,0),B8),0),COUNTA(I8:K8)))</f>
        <v>9</v>
      </c>
      <c r="M8" s="27" t="n">
        <f aca="false">IF(OR(B8="",L8=0),0,IF(C8="Tổ",ROUNDDOWN(H8/L8,-3),H8/L8))</f>
        <v>485000</v>
      </c>
      <c r="N8" s="27" t="n">
        <f aca="false">IF(OR(B8="",L8=0,C8&lt;&gt;"Tổ"),0,H8-M8*(L8-1))</f>
        <v>485000</v>
      </c>
      <c r="O8" s="10" t="s">
        <v>294</v>
      </c>
    </row>
    <row r="9" customFormat="false" ht="15" hidden="false" customHeight="false" outlineLevel="0" collapsed="false">
      <c r="A9" s="17" t="n">
        <v>5</v>
      </c>
      <c r="B9" s="10" t="n">
        <v>23</v>
      </c>
      <c r="C9" s="10" t="s">
        <v>279</v>
      </c>
      <c r="D9" s="10" t="s">
        <v>147</v>
      </c>
      <c r="E9" s="10" t="s">
        <v>290</v>
      </c>
      <c r="F9" s="26" t="n">
        <v>2537</v>
      </c>
      <c r="G9" s="18" t="n">
        <v>1000000</v>
      </c>
      <c r="H9" s="27" t="n">
        <f aca="false">IF(B9="",0,F9/1000*G9)</f>
        <v>2537000</v>
      </c>
      <c r="I9" s="10"/>
      <c r="J9" s="10"/>
      <c r="K9" s="10"/>
      <c r="L9" s="17" t="n">
        <f aca="false">IF(B9="","",IF(C9="Tổ",IFERROR(INDEX(PB_TO_COUNT,MATCH(D9,PB_TO_TEN,0),B9),0),COUNTA(I9:K9)))</f>
        <v>7</v>
      </c>
      <c r="M9" s="27" t="n">
        <f aca="false">IF(OR(B9="",L9=0),0,IF(C9="Tổ",ROUNDDOWN(H9/L9,-3),H9/L9))</f>
        <v>362000</v>
      </c>
      <c r="N9" s="27" t="n">
        <f aca="false">IF(OR(B9="",L9=0,C9&lt;&gt;"Tổ"),0,H9-M9*(L9-1))</f>
        <v>365000</v>
      </c>
      <c r="O9" s="10" t="s">
        <v>295</v>
      </c>
    </row>
    <row r="10" customFormat="false" ht="15" hidden="false" customHeight="false" outlineLevel="0" collapsed="false">
      <c r="A10" s="17" t="n">
        <v>6</v>
      </c>
      <c r="B10" s="10" t="n">
        <v>23</v>
      </c>
      <c r="C10" s="10" t="s">
        <v>279</v>
      </c>
      <c r="D10" s="10" t="s">
        <v>147</v>
      </c>
      <c r="E10" s="10" t="s">
        <v>293</v>
      </c>
      <c r="F10" s="26" t="n">
        <v>1000</v>
      </c>
      <c r="G10" s="18" t="n">
        <v>192500</v>
      </c>
      <c r="H10" s="27" t="n">
        <f aca="false">IF(B10="",0,F10/1000*G10)</f>
        <v>192500</v>
      </c>
      <c r="I10" s="10"/>
      <c r="J10" s="10"/>
      <c r="K10" s="10"/>
      <c r="L10" s="17" t="n">
        <f aca="false">IF(B10="","",IF(C10="Tổ",IFERROR(INDEX(PB_TO_COUNT,MATCH(D10,PB_TO_TEN,0),B10),0),COUNTA(I10:K10)))</f>
        <v>7</v>
      </c>
      <c r="M10" s="27" t="n">
        <f aca="false">IF(OR(B10="",L10=0),0,IF(C10="Tổ",ROUNDDOWN(H10/L10,-3),H10/L10))</f>
        <v>27000</v>
      </c>
      <c r="N10" s="27" t="n">
        <f aca="false">IF(OR(B10="",L10=0,C10&lt;&gt;"Tổ"),0,H10-M10*(L10-1))</f>
        <v>30500</v>
      </c>
      <c r="O10" s="10"/>
    </row>
    <row r="11" customFormat="false" ht="15" hidden="false" customHeight="false" outlineLevel="0" collapsed="false">
      <c r="A11" s="17" t="n">
        <v>7</v>
      </c>
      <c r="B11" s="10" t="n">
        <v>24</v>
      </c>
      <c r="C11" s="10" t="s">
        <v>279</v>
      </c>
      <c r="D11" s="10" t="s">
        <v>170</v>
      </c>
      <c r="E11" s="10" t="s">
        <v>290</v>
      </c>
      <c r="F11" s="26" t="n">
        <v>2639</v>
      </c>
      <c r="G11" s="18" t="n">
        <v>1000000</v>
      </c>
      <c r="H11" s="27" t="n">
        <f aca="false">IF(B11="",0,F11/1000*G11)</f>
        <v>2639000</v>
      </c>
      <c r="I11" s="10"/>
      <c r="J11" s="10"/>
      <c r="K11" s="10"/>
      <c r="L11" s="17" t="n">
        <f aca="false">IF(B11="","",IF(C11="Tổ",IFERROR(INDEX(PB_TO_COUNT,MATCH(D11,PB_TO_TEN,0),B11),0),COUNTA(I11:K11)))</f>
        <v>6</v>
      </c>
      <c r="M11" s="27" t="n">
        <f aca="false">IF(OR(B11="",L11=0),0,IF(C11="Tổ",ROUNDDOWN(H11/L11,-3),H11/L11))</f>
        <v>439000</v>
      </c>
      <c r="N11" s="27" t="n">
        <f aca="false">IF(OR(B11="",L11=0,C11&lt;&gt;"Tổ"),0,H11-M11*(L11-1))</f>
        <v>444000</v>
      </c>
      <c r="O11" s="10" t="s">
        <v>296</v>
      </c>
    </row>
    <row r="12" customFormat="false" ht="15" hidden="false" customHeight="false" outlineLevel="0" collapsed="false">
      <c r="A12" s="17" t="n">
        <v>8</v>
      </c>
      <c r="B12" s="10" t="n">
        <v>25</v>
      </c>
      <c r="C12" s="10" t="s">
        <v>279</v>
      </c>
      <c r="D12" s="10" t="s">
        <v>173</v>
      </c>
      <c r="E12" s="10" t="s">
        <v>290</v>
      </c>
      <c r="F12" s="26" t="n">
        <v>2663</v>
      </c>
      <c r="G12" s="18" t="n">
        <v>1000000</v>
      </c>
      <c r="H12" s="27" t="n">
        <f aca="false">IF(B12="",0,F12/1000*G12)</f>
        <v>2663000</v>
      </c>
      <c r="I12" s="10"/>
      <c r="J12" s="10"/>
      <c r="K12" s="10"/>
      <c r="L12" s="17" t="n">
        <f aca="false">IF(B12="","",IF(C12="Tổ",IFERROR(INDEX(PB_TO_COUNT,MATCH(D12,PB_TO_TEN,0),B12),0),COUNTA(I12:K12)))</f>
        <v>7</v>
      </c>
      <c r="M12" s="27" t="n">
        <f aca="false">IF(OR(B12="",L12=0),0,IF(C12="Tổ",ROUNDDOWN(H12/L12,-3),H12/L12))</f>
        <v>380000</v>
      </c>
      <c r="N12" s="27" t="n">
        <f aca="false">IF(OR(B12="",L12=0,C12&lt;&gt;"Tổ"),0,H12-M12*(L12-1))</f>
        <v>383000</v>
      </c>
      <c r="O12" s="10" t="s">
        <v>297</v>
      </c>
    </row>
    <row r="13" customFormat="false" ht="15" hidden="false" customHeight="false" outlineLevel="0" collapsed="false">
      <c r="A13" s="17" t="n">
        <v>9</v>
      </c>
      <c r="B13" s="10" t="n">
        <v>26</v>
      </c>
      <c r="C13" s="10" t="s">
        <v>279</v>
      </c>
      <c r="D13" s="10" t="s">
        <v>147</v>
      </c>
      <c r="E13" s="10" t="s">
        <v>290</v>
      </c>
      <c r="F13" s="26" t="n">
        <v>1769</v>
      </c>
      <c r="G13" s="18" t="n">
        <v>1000000</v>
      </c>
      <c r="H13" s="27" t="n">
        <f aca="false">IF(B13="",0,F13/1000*G13)</f>
        <v>1769000</v>
      </c>
      <c r="I13" s="10"/>
      <c r="J13" s="10"/>
      <c r="K13" s="10"/>
      <c r="L13" s="17" t="n">
        <f aca="false">IF(B13="","",IF(C13="Tổ",IFERROR(INDEX(PB_TO_COUNT,MATCH(D13,PB_TO_TEN,0),B13),0),COUNTA(I13:K13)))</f>
        <v>6</v>
      </c>
      <c r="M13" s="27" t="n">
        <f aca="false">IF(OR(B13="",L13=0),0,IF(C13="Tổ",ROUNDDOWN(H13/L13,-3),H13/L13))</f>
        <v>294000</v>
      </c>
      <c r="N13" s="27" t="n">
        <f aca="false">IF(OR(B13="",L13=0,C13&lt;&gt;"Tổ"),0,H13-M13*(L13-1))</f>
        <v>299000</v>
      </c>
      <c r="O13" s="10" t="s">
        <v>298</v>
      </c>
    </row>
    <row r="14" customFormat="false" ht="15" hidden="false" customHeight="false" outlineLevel="0" collapsed="false">
      <c r="A14" s="17" t="n">
        <v>10</v>
      </c>
      <c r="B14" s="10" t="n">
        <v>3</v>
      </c>
      <c r="C14" s="10" t="s">
        <v>299</v>
      </c>
      <c r="D14" s="10"/>
      <c r="E14" s="10" t="s">
        <v>300</v>
      </c>
      <c r="F14" s="26" t="n">
        <v>3665</v>
      </c>
      <c r="G14" s="18" t="n">
        <v>50000</v>
      </c>
      <c r="H14" s="27" t="n">
        <f aca="false">IF(B14="",0,F14/1000*G14)</f>
        <v>183250</v>
      </c>
      <c r="I14" s="10" t="s">
        <v>208</v>
      </c>
      <c r="J14" s="10"/>
      <c r="K14" s="10"/>
      <c r="L14" s="17" t="n">
        <f aca="false">IF(B14="","",IF(C14="Tổ",IFERROR(INDEX(PB_TO_COUNT,MATCH(D14,PB_TO_TEN,0),B14),0),COUNTA(I14:K14)))</f>
        <v>1</v>
      </c>
      <c r="M14" s="27" t="n">
        <f aca="false">IF(OR(B14="",L14=0),0,IF(C14="Tổ",ROUNDDOWN(H14/L14,-3),H14/L14))</f>
        <v>183250</v>
      </c>
      <c r="N14" s="27" t="n">
        <f aca="false">IF(OR(B14="",L14=0,C14&lt;&gt;"Tổ"),0,H14-M14*(L14-1))</f>
        <v>0</v>
      </c>
      <c r="O14" s="10"/>
    </row>
    <row r="15" customFormat="false" ht="15" hidden="false" customHeight="false" outlineLevel="0" collapsed="false">
      <c r="A15" s="17" t="n">
        <v>11</v>
      </c>
      <c r="B15" s="10" t="n">
        <v>4</v>
      </c>
      <c r="C15" s="10" t="s">
        <v>299</v>
      </c>
      <c r="D15" s="10"/>
      <c r="E15" s="10" t="s">
        <v>300</v>
      </c>
      <c r="F15" s="26" t="n">
        <v>2080</v>
      </c>
      <c r="G15" s="18" t="n">
        <v>50000</v>
      </c>
      <c r="H15" s="27" t="n">
        <f aca="false">IF(B15="",0,F15/1000*G15)</f>
        <v>104000</v>
      </c>
      <c r="I15" s="10" t="s">
        <v>210</v>
      </c>
      <c r="J15" s="10"/>
      <c r="K15" s="10"/>
      <c r="L15" s="17" t="n">
        <f aca="false">IF(B15="","",IF(C15="Tổ",IFERROR(INDEX(PB_TO_COUNT,MATCH(D15,PB_TO_TEN,0),B15),0),COUNTA(I15:K15)))</f>
        <v>1</v>
      </c>
      <c r="M15" s="27" t="n">
        <f aca="false">IF(OR(B15="",L15=0),0,IF(C15="Tổ",ROUNDDOWN(H15/L15,-3),H15/L15))</f>
        <v>104000</v>
      </c>
      <c r="N15" s="27" t="n">
        <f aca="false">IF(OR(B15="",L15=0,C15&lt;&gt;"Tổ"),0,H15-M15*(L15-1))</f>
        <v>0</v>
      </c>
      <c r="O15" s="10"/>
    </row>
    <row r="16" customFormat="false" ht="15" hidden="false" customHeight="false" outlineLevel="0" collapsed="false">
      <c r="A16" s="17" t="n">
        <v>12</v>
      </c>
      <c r="B16" s="10" t="n">
        <v>8</v>
      </c>
      <c r="C16" s="10" t="s">
        <v>299</v>
      </c>
      <c r="D16" s="10"/>
      <c r="E16" s="10" t="s">
        <v>300</v>
      </c>
      <c r="F16" s="26" t="n">
        <v>1930</v>
      </c>
      <c r="G16" s="18" t="n">
        <v>50000</v>
      </c>
      <c r="H16" s="27" t="n">
        <f aca="false">IF(B16="",0,F16/1000*G16)</f>
        <v>96500</v>
      </c>
      <c r="I16" s="10" t="s">
        <v>208</v>
      </c>
      <c r="J16" s="10"/>
      <c r="K16" s="10"/>
      <c r="L16" s="17" t="n">
        <f aca="false">IF(B16="","",IF(C16="Tổ",IFERROR(INDEX(PB_TO_COUNT,MATCH(D16,PB_TO_TEN,0),B16),0),COUNTA(I16:K16)))</f>
        <v>1</v>
      </c>
      <c r="M16" s="27" t="n">
        <f aca="false">IF(OR(B16="",L16=0),0,IF(C16="Tổ",ROUNDDOWN(H16/L16,-3),H16/L16))</f>
        <v>96500</v>
      </c>
      <c r="N16" s="27" t="n">
        <f aca="false">IF(OR(B16="",L16=0,C16&lt;&gt;"Tổ"),0,H16-M16*(L16-1))</f>
        <v>0</v>
      </c>
      <c r="O16" s="10"/>
    </row>
    <row r="17" customFormat="false" ht="15" hidden="false" customHeight="false" outlineLevel="0" collapsed="false">
      <c r="A17" s="17" t="n">
        <v>13</v>
      </c>
      <c r="B17" s="10" t="n">
        <v>11</v>
      </c>
      <c r="C17" s="10" t="s">
        <v>299</v>
      </c>
      <c r="D17" s="10"/>
      <c r="E17" s="10" t="s">
        <v>300</v>
      </c>
      <c r="F17" s="26" t="n">
        <v>5330</v>
      </c>
      <c r="G17" s="18" t="n">
        <v>50000</v>
      </c>
      <c r="H17" s="27" t="n">
        <f aca="false">IF(B17="",0,F17/1000*G17)</f>
        <v>266500</v>
      </c>
      <c r="I17" s="10" t="s">
        <v>208</v>
      </c>
      <c r="J17" s="10" t="s">
        <v>206</v>
      </c>
      <c r="K17" s="10"/>
      <c r="L17" s="17" t="n">
        <f aca="false">IF(B17="","",IF(C17="Tổ",IFERROR(INDEX(PB_TO_COUNT,MATCH(D17,PB_TO_TEN,0),B17),0),COUNTA(I17:K17)))</f>
        <v>2</v>
      </c>
      <c r="M17" s="27" t="n">
        <f aca="false">IF(OR(B17="",L17=0),0,IF(C17="Tổ",ROUNDDOWN(H17/L17,-3),H17/L17))</f>
        <v>133250</v>
      </c>
      <c r="N17" s="27" t="n">
        <f aca="false">IF(OR(B17="",L17=0,C17&lt;&gt;"Tổ"),0,H17-M17*(L17-1))</f>
        <v>0</v>
      </c>
      <c r="O17" s="10"/>
    </row>
    <row r="18" customFormat="false" ht="15" hidden="false" customHeight="false" outlineLevel="0" collapsed="false">
      <c r="A18" s="17" t="n">
        <v>14</v>
      </c>
      <c r="B18" s="10" t="n">
        <v>18</v>
      </c>
      <c r="C18" s="10" t="s">
        <v>299</v>
      </c>
      <c r="D18" s="10"/>
      <c r="E18" s="10" t="s">
        <v>300</v>
      </c>
      <c r="F18" s="26" t="n">
        <v>2660</v>
      </c>
      <c r="G18" s="18" t="n">
        <v>50000</v>
      </c>
      <c r="H18" s="27" t="n">
        <f aca="false">IF(B18="",0,F18/1000*G18)</f>
        <v>133000</v>
      </c>
      <c r="I18" s="10" t="s">
        <v>208</v>
      </c>
      <c r="J18" s="10"/>
      <c r="K18" s="10"/>
      <c r="L18" s="17" t="n">
        <f aca="false">IF(B18="","",IF(C18="Tổ",IFERROR(INDEX(PB_TO_COUNT,MATCH(D18,PB_TO_TEN,0),B18),0),COUNTA(I18:K18)))</f>
        <v>1</v>
      </c>
      <c r="M18" s="27" t="n">
        <f aca="false">IF(OR(B18="",L18=0),0,IF(C18="Tổ",ROUNDDOWN(H18/L18,-3),H18/L18))</f>
        <v>133000</v>
      </c>
      <c r="N18" s="27" t="n">
        <f aca="false">IF(OR(B18="",L18=0,C18&lt;&gt;"Tổ"),0,H18-M18*(L18-1))</f>
        <v>0</v>
      </c>
      <c r="O18" s="10"/>
    </row>
    <row r="19" customFormat="false" ht="15" hidden="false" customHeight="false" outlineLevel="0" collapsed="false">
      <c r="A19" s="17" t="n">
        <v>15</v>
      </c>
      <c r="B19" s="10" t="n">
        <v>19</v>
      </c>
      <c r="C19" s="10" t="s">
        <v>299</v>
      </c>
      <c r="D19" s="10"/>
      <c r="E19" s="10" t="s">
        <v>300</v>
      </c>
      <c r="F19" s="26" t="n">
        <v>1690</v>
      </c>
      <c r="G19" s="18" t="n">
        <v>50000</v>
      </c>
      <c r="H19" s="27" t="n">
        <f aca="false">IF(B19="",0,F19/1000*G19)</f>
        <v>84500</v>
      </c>
      <c r="I19" s="10" t="s">
        <v>208</v>
      </c>
      <c r="J19" s="10"/>
      <c r="K19" s="10"/>
      <c r="L19" s="17" t="n">
        <f aca="false">IF(B19="","",IF(C19="Tổ",IFERROR(INDEX(PB_TO_COUNT,MATCH(D19,PB_TO_TEN,0),B19),0),COUNTA(I19:K19)))</f>
        <v>1</v>
      </c>
      <c r="M19" s="27" t="n">
        <f aca="false">IF(OR(B19="",L19=0),0,IF(C19="Tổ",ROUNDDOWN(H19/L19,-3),H19/L19))</f>
        <v>84500</v>
      </c>
      <c r="N19" s="27" t="n">
        <f aca="false">IF(OR(B19="",L19=0,C19&lt;&gt;"Tổ"),0,H19-M19*(L19-1))</f>
        <v>0</v>
      </c>
      <c r="O19" s="10"/>
    </row>
    <row r="20" customFormat="false" ht="15" hidden="false" customHeight="false" outlineLevel="0" collapsed="false">
      <c r="A20" s="17" t="n">
        <v>16</v>
      </c>
      <c r="B20" s="10" t="n">
        <v>20</v>
      </c>
      <c r="C20" s="10" t="s">
        <v>299</v>
      </c>
      <c r="D20" s="10"/>
      <c r="E20" s="10" t="s">
        <v>300</v>
      </c>
      <c r="F20" s="26" t="n">
        <v>2210</v>
      </c>
      <c r="G20" s="18" t="n">
        <v>50000</v>
      </c>
      <c r="H20" s="27" t="n">
        <f aca="false">IF(B20="",0,F20/1000*G20)</f>
        <v>110500</v>
      </c>
      <c r="I20" s="10" t="s">
        <v>208</v>
      </c>
      <c r="J20" s="10" t="s">
        <v>206</v>
      </c>
      <c r="K20" s="10"/>
      <c r="L20" s="17" t="n">
        <f aca="false">IF(B20="","",IF(C20="Tổ",IFERROR(INDEX(PB_TO_COUNT,MATCH(D20,PB_TO_TEN,0),B20),0),COUNTA(I20:K20)))</f>
        <v>2</v>
      </c>
      <c r="M20" s="27" t="n">
        <f aca="false">IF(OR(B20="",L20=0),0,IF(C20="Tổ",ROUNDDOWN(H20/L20,-3),H20/L20))</f>
        <v>55250</v>
      </c>
      <c r="N20" s="27" t="n">
        <f aca="false">IF(OR(B20="",L20=0,C20&lt;&gt;"Tổ"),0,H20-M20*(L20-1))</f>
        <v>0</v>
      </c>
      <c r="O20" s="10"/>
    </row>
    <row r="21" customFormat="false" ht="15" hidden="false" customHeight="false" outlineLevel="0" collapsed="false">
      <c r="A21" s="17" t="n">
        <v>17</v>
      </c>
      <c r="B21" s="10" t="n">
        <v>21</v>
      </c>
      <c r="C21" s="10" t="s">
        <v>299</v>
      </c>
      <c r="D21" s="10"/>
      <c r="E21" s="10" t="s">
        <v>300</v>
      </c>
      <c r="F21" s="26" t="n">
        <v>5575</v>
      </c>
      <c r="G21" s="18" t="n">
        <v>50000</v>
      </c>
      <c r="H21" s="27" t="n">
        <f aca="false">IF(B21="",0,F21/1000*G21)</f>
        <v>278750</v>
      </c>
      <c r="I21" s="10" t="s">
        <v>208</v>
      </c>
      <c r="J21" s="10"/>
      <c r="K21" s="10"/>
      <c r="L21" s="17" t="n">
        <f aca="false">IF(B21="","",IF(C21="Tổ",IFERROR(INDEX(PB_TO_COUNT,MATCH(D21,PB_TO_TEN,0),B21),0),COUNTA(I21:K21)))</f>
        <v>1</v>
      </c>
      <c r="M21" s="27" t="n">
        <f aca="false">IF(OR(B21="",L21=0),0,IF(C21="Tổ",ROUNDDOWN(H21/L21,-3),H21/L21))</f>
        <v>278750</v>
      </c>
      <c r="N21" s="27" t="n">
        <f aca="false">IF(OR(B21="",L21=0,C21&lt;&gt;"Tổ"),0,H21-M21*(L21-1))</f>
        <v>0</v>
      </c>
      <c r="O21" s="10"/>
    </row>
    <row r="22" customFormat="false" ht="15" hidden="false" customHeight="false" outlineLevel="0" collapsed="false">
      <c r="A22" s="17" t="n">
        <v>18</v>
      </c>
      <c r="B22" s="10" t="n">
        <v>25</v>
      </c>
      <c r="C22" s="10" t="s">
        <v>299</v>
      </c>
      <c r="D22" s="10"/>
      <c r="E22" s="10" t="s">
        <v>300</v>
      </c>
      <c r="F22" s="26" t="n">
        <v>9750</v>
      </c>
      <c r="G22" s="18" t="n">
        <v>50000</v>
      </c>
      <c r="H22" s="27" t="n">
        <f aca="false">IF(B22="",0,F22/1000*G22)</f>
        <v>487500</v>
      </c>
      <c r="I22" s="10" t="s">
        <v>208</v>
      </c>
      <c r="J22" s="10" t="s">
        <v>206</v>
      </c>
      <c r="K22" s="10"/>
      <c r="L22" s="17" t="n">
        <f aca="false">IF(B22="","",IF(C22="Tổ",IFERROR(INDEX(PB_TO_COUNT,MATCH(D22,PB_TO_TEN,0),B22),0),COUNTA(I22:K22)))</f>
        <v>2</v>
      </c>
      <c r="M22" s="27" t="n">
        <f aca="false">IF(OR(B22="",L22=0),0,IF(C22="Tổ",ROUNDDOWN(H22/L22,-3),H22/L22))</f>
        <v>243750</v>
      </c>
      <c r="N22" s="27" t="n">
        <f aca="false">IF(OR(B22="",L22=0,C22&lt;&gt;"Tổ"),0,H22-M22*(L22-1))</f>
        <v>0</v>
      </c>
      <c r="O22" s="10"/>
    </row>
    <row r="23" customFormat="false" ht="15" hidden="false" customHeight="false" outlineLevel="0" collapsed="false">
      <c r="A23" s="17" t="n">
        <v>19</v>
      </c>
      <c r="B23" s="10" t="n">
        <v>26</v>
      </c>
      <c r="C23" s="10" t="s">
        <v>299</v>
      </c>
      <c r="D23" s="10"/>
      <c r="E23" s="10" t="s">
        <v>300</v>
      </c>
      <c r="F23" s="26" t="n">
        <v>1885</v>
      </c>
      <c r="G23" s="18" t="n">
        <v>50000</v>
      </c>
      <c r="H23" s="27" t="n">
        <f aca="false">IF(B23="",0,F23/1000*G23)</f>
        <v>94250</v>
      </c>
      <c r="I23" s="10" t="s">
        <v>208</v>
      </c>
      <c r="J23" s="10"/>
      <c r="K23" s="10"/>
      <c r="L23" s="17" t="n">
        <f aca="false">IF(B23="","",IF(C23="Tổ",IFERROR(INDEX(PB_TO_COUNT,MATCH(D23,PB_TO_TEN,0),B23),0),COUNTA(I23:K23)))</f>
        <v>1</v>
      </c>
      <c r="M23" s="27" t="n">
        <f aca="false">IF(OR(B23="",L23=0),0,IF(C23="Tổ",ROUNDDOWN(H23/L23,-3),H23/L23))</f>
        <v>94250</v>
      </c>
      <c r="N23" s="27" t="n">
        <f aca="false">IF(OR(B23="",L23=0,C23&lt;&gt;"Tổ"),0,H23-M23*(L23-1))</f>
        <v>0</v>
      </c>
      <c r="O23" s="10"/>
    </row>
    <row r="24" customFormat="false" ht="15" hidden="false" customHeight="false" outlineLevel="0" collapsed="false">
      <c r="A24" s="17" t="n">
        <v>20</v>
      </c>
      <c r="B24" s="10" t="n">
        <v>29</v>
      </c>
      <c r="C24" s="10" t="s">
        <v>299</v>
      </c>
      <c r="D24" s="10"/>
      <c r="E24" s="10" t="s">
        <v>300</v>
      </c>
      <c r="F24" s="26" t="n">
        <v>3885</v>
      </c>
      <c r="G24" s="18" t="n">
        <v>50000</v>
      </c>
      <c r="H24" s="27" t="n">
        <f aca="false">IF(B24="",0,F24/1000*G24)</f>
        <v>194250</v>
      </c>
      <c r="I24" s="10" t="s">
        <v>208</v>
      </c>
      <c r="J24" s="10"/>
      <c r="K24" s="10"/>
      <c r="L24" s="17" t="n">
        <f aca="false">IF(B24="","",IF(C24="Tổ",IFERROR(INDEX(PB_TO_COUNT,MATCH(D24,PB_TO_TEN,0),B24),0),COUNTA(I24:K24)))</f>
        <v>1</v>
      </c>
      <c r="M24" s="27" t="n">
        <f aca="false">IF(OR(B24="",L24=0),0,IF(C24="Tổ",ROUNDDOWN(H24/L24,-3),H24/L24))</f>
        <v>194250</v>
      </c>
      <c r="N24" s="27" t="n">
        <f aca="false">IF(OR(B24="",L24=0,C24&lt;&gt;"Tổ"),0,H24-M24*(L24-1))</f>
        <v>0</v>
      </c>
      <c r="O24" s="10"/>
    </row>
    <row r="25" customFormat="false" ht="15" hidden="false" customHeight="false" outlineLevel="0" collapsed="false">
      <c r="A25" s="17" t="n">
        <v>21</v>
      </c>
      <c r="B25" s="10" t="n">
        <v>30</v>
      </c>
      <c r="C25" s="10" t="s">
        <v>299</v>
      </c>
      <c r="D25" s="10"/>
      <c r="E25" s="10" t="s">
        <v>300</v>
      </c>
      <c r="F25" s="26" t="n">
        <v>1375</v>
      </c>
      <c r="G25" s="18" t="n">
        <v>50000</v>
      </c>
      <c r="H25" s="27" t="n">
        <f aca="false">IF(B25="",0,F25/1000*G25)</f>
        <v>68750</v>
      </c>
      <c r="I25" s="10" t="s">
        <v>206</v>
      </c>
      <c r="J25" s="10"/>
      <c r="K25" s="10"/>
      <c r="L25" s="17" t="n">
        <f aca="false">IF(B25="","",IF(C25="Tổ",IFERROR(INDEX(PB_TO_COUNT,MATCH(D25,PB_TO_TEN,0),B25),0),COUNTA(I25:K25)))</f>
        <v>1</v>
      </c>
      <c r="M25" s="27" t="n">
        <f aca="false">IF(OR(B25="",L25=0),0,IF(C25="Tổ",ROUNDDOWN(H25/L25,-3),H25/L25))</f>
        <v>68750</v>
      </c>
      <c r="N25" s="27" t="n">
        <f aca="false">IF(OR(B25="",L25=0,C25&lt;&gt;"Tổ"),0,H25-M25*(L25-1))</f>
        <v>0</v>
      </c>
      <c r="O25" s="10"/>
    </row>
    <row r="26" customFormat="false" ht="15" hidden="false" customHeight="false" outlineLevel="0" collapsed="false">
      <c r="A26" s="17" t="str">
        <f aca="false">IF(B26="","",ROW()-4)</f>
        <v/>
      </c>
      <c r="B26" s="10"/>
      <c r="C26" s="10"/>
      <c r="D26" s="10"/>
      <c r="E26" s="10"/>
      <c r="F26" s="10"/>
      <c r="G26" s="10"/>
      <c r="H26" s="27" t="n">
        <f aca="false">IF(B26="",0,F26/1000*G26)</f>
        <v>0</v>
      </c>
      <c r="I26" s="10"/>
      <c r="J26" s="10"/>
      <c r="K26" s="10"/>
      <c r="L26" s="17" t="str">
        <f aca="false">IF(B26="","",IF(C26="Tổ",IFERROR(INDEX(PB_TO_COUNT,MATCH(D26,PB_TO_TEN,0),B26),0),COUNTA(I26:K26)))</f>
        <v/>
      </c>
      <c r="M26" s="27" t="n">
        <f aca="false">IF(OR(B26="",L26=0),0,IF(C26="Tổ",ROUNDDOWN(H26/L26,-3),H26/L26))</f>
        <v>0</v>
      </c>
      <c r="N26" s="27" t="n">
        <f aca="false">IF(OR(B26="",L26=0,C26&lt;&gt;"Tổ"),0,H26-M26*(L26-1))</f>
        <v>0</v>
      </c>
      <c r="O26" s="10"/>
    </row>
    <row r="27" customFormat="false" ht="15" hidden="false" customHeight="false" outlineLevel="0" collapsed="false">
      <c r="A27" s="17" t="str">
        <f aca="false">IF(B27="","",ROW()-4)</f>
        <v/>
      </c>
      <c r="B27" s="10"/>
      <c r="C27" s="10"/>
      <c r="D27" s="10"/>
      <c r="E27" s="10"/>
      <c r="F27" s="10"/>
      <c r="G27" s="10"/>
      <c r="H27" s="27" t="n">
        <f aca="false">IF(B27="",0,F27/1000*G27)</f>
        <v>0</v>
      </c>
      <c r="I27" s="10"/>
      <c r="J27" s="10"/>
      <c r="K27" s="10"/>
      <c r="L27" s="17" t="str">
        <f aca="false">IF(B27="","",IF(C27="Tổ",IFERROR(INDEX(PB_TO_COUNT,MATCH(D27,PB_TO_TEN,0),B27),0),COUNTA(I27:K27)))</f>
        <v/>
      </c>
      <c r="M27" s="27" t="n">
        <f aca="false">IF(OR(B27="",L27=0),0,IF(C27="Tổ",ROUNDDOWN(H27/L27,-3),H27/L27))</f>
        <v>0</v>
      </c>
      <c r="N27" s="27" t="n">
        <f aca="false">IF(OR(B27="",L27=0,C27&lt;&gt;"Tổ"),0,H27-M27*(L27-1))</f>
        <v>0</v>
      </c>
      <c r="O27" s="10"/>
    </row>
    <row r="28" customFormat="false" ht="15" hidden="false" customHeight="false" outlineLevel="0" collapsed="false">
      <c r="A28" s="17" t="str">
        <f aca="false">IF(B28="","",ROW()-4)</f>
        <v/>
      </c>
      <c r="B28" s="10"/>
      <c r="C28" s="10"/>
      <c r="D28" s="10"/>
      <c r="E28" s="10"/>
      <c r="F28" s="10"/>
      <c r="G28" s="10"/>
      <c r="H28" s="27" t="n">
        <f aca="false">IF(B28="",0,F28/1000*G28)</f>
        <v>0</v>
      </c>
      <c r="I28" s="10"/>
      <c r="J28" s="10"/>
      <c r="K28" s="10"/>
      <c r="L28" s="17" t="str">
        <f aca="false">IF(B28="","",IF(C28="Tổ",IFERROR(INDEX(PB_TO_COUNT,MATCH(D28,PB_TO_TEN,0),B28),0),COUNTA(I28:K28)))</f>
        <v/>
      </c>
      <c r="M28" s="27" t="n">
        <f aca="false">IF(OR(B28="",L28=0),0,IF(C28="Tổ",ROUNDDOWN(H28/L28,-3),H28/L28))</f>
        <v>0</v>
      </c>
      <c r="N28" s="27" t="n">
        <f aca="false">IF(OR(B28="",L28=0,C28&lt;&gt;"Tổ"),0,H28-M28*(L28-1))</f>
        <v>0</v>
      </c>
      <c r="O28" s="10"/>
    </row>
    <row r="29" customFormat="false" ht="15" hidden="false" customHeight="false" outlineLevel="0" collapsed="false">
      <c r="A29" s="17" t="str">
        <f aca="false">IF(B29="","",ROW()-4)</f>
        <v/>
      </c>
      <c r="B29" s="10"/>
      <c r="C29" s="10"/>
      <c r="D29" s="10"/>
      <c r="E29" s="10"/>
      <c r="F29" s="10"/>
      <c r="G29" s="10"/>
      <c r="H29" s="27" t="n">
        <f aca="false">IF(B29="",0,F29/1000*G29)</f>
        <v>0</v>
      </c>
      <c r="I29" s="10"/>
      <c r="J29" s="10"/>
      <c r="K29" s="10"/>
      <c r="L29" s="17" t="str">
        <f aca="false">IF(B29="","",IF(C29="Tổ",IFERROR(INDEX(PB_TO_COUNT,MATCH(D29,PB_TO_TEN,0),B29),0),COUNTA(I29:K29)))</f>
        <v/>
      </c>
      <c r="M29" s="27" t="n">
        <f aca="false">IF(OR(B29="",L29=0),0,IF(C29="Tổ",ROUNDDOWN(H29/L29,-3),H29/L29))</f>
        <v>0</v>
      </c>
      <c r="N29" s="27" t="n">
        <f aca="false">IF(OR(B29="",L29=0,C29&lt;&gt;"Tổ"),0,H29-M29*(L29-1))</f>
        <v>0</v>
      </c>
      <c r="O29" s="10"/>
    </row>
    <row r="30" customFormat="false" ht="15" hidden="false" customHeight="false" outlineLevel="0" collapsed="false">
      <c r="A30" s="17" t="str">
        <f aca="false">IF(B30="","",ROW()-4)</f>
        <v/>
      </c>
      <c r="B30" s="10"/>
      <c r="C30" s="10"/>
      <c r="D30" s="10"/>
      <c r="E30" s="10"/>
      <c r="F30" s="10"/>
      <c r="G30" s="10"/>
      <c r="H30" s="27" t="n">
        <f aca="false">IF(B30="",0,F30/1000*G30)</f>
        <v>0</v>
      </c>
      <c r="I30" s="10"/>
      <c r="J30" s="10"/>
      <c r="K30" s="10"/>
      <c r="L30" s="17" t="str">
        <f aca="false">IF(B30="","",IF(C30="Tổ",IFERROR(INDEX(PB_TO_COUNT,MATCH(D30,PB_TO_TEN,0),B30),0),COUNTA(I30:K30)))</f>
        <v/>
      </c>
      <c r="M30" s="27" t="n">
        <f aca="false">IF(OR(B30="",L30=0),0,IF(C30="Tổ",ROUNDDOWN(H30/L30,-3),H30/L30))</f>
        <v>0</v>
      </c>
      <c r="N30" s="27" t="n">
        <f aca="false">IF(OR(B30="",L30=0,C30&lt;&gt;"Tổ"),0,H30-M30*(L30-1))</f>
        <v>0</v>
      </c>
      <c r="O30" s="10"/>
    </row>
    <row r="31" customFormat="false" ht="15" hidden="false" customHeight="false" outlineLevel="0" collapsed="false">
      <c r="A31" s="17" t="str">
        <f aca="false">IF(B31="","",ROW()-4)</f>
        <v/>
      </c>
      <c r="B31" s="10"/>
      <c r="C31" s="10"/>
      <c r="D31" s="10"/>
      <c r="E31" s="10"/>
      <c r="F31" s="10"/>
      <c r="G31" s="10"/>
      <c r="H31" s="27" t="n">
        <f aca="false">IF(B31="",0,F31/1000*G31)</f>
        <v>0</v>
      </c>
      <c r="I31" s="10"/>
      <c r="J31" s="10"/>
      <c r="K31" s="10"/>
      <c r="L31" s="17" t="str">
        <f aca="false">IF(B31="","",IF(C31="Tổ",IFERROR(INDEX(PB_TO_COUNT,MATCH(D31,PB_TO_TEN,0),B31),0),COUNTA(I31:K31)))</f>
        <v/>
      </c>
      <c r="M31" s="27" t="n">
        <f aca="false">IF(OR(B31="",L31=0),0,IF(C31="Tổ",ROUNDDOWN(H31/L31,-3),H31/L31))</f>
        <v>0</v>
      </c>
      <c r="N31" s="27" t="n">
        <f aca="false">IF(OR(B31="",L31=0,C31&lt;&gt;"Tổ"),0,H31-M31*(L31-1))</f>
        <v>0</v>
      </c>
      <c r="O31" s="10"/>
    </row>
    <row r="32" customFormat="false" ht="15" hidden="false" customHeight="false" outlineLevel="0" collapsed="false">
      <c r="A32" s="17" t="str">
        <f aca="false">IF(B32="","",ROW()-4)</f>
        <v/>
      </c>
      <c r="B32" s="10"/>
      <c r="C32" s="10"/>
      <c r="D32" s="10"/>
      <c r="E32" s="10"/>
      <c r="F32" s="10"/>
      <c r="G32" s="10"/>
      <c r="H32" s="27" t="n">
        <f aca="false">IF(B32="",0,F32/1000*G32)</f>
        <v>0</v>
      </c>
      <c r="I32" s="10"/>
      <c r="J32" s="10"/>
      <c r="K32" s="10"/>
      <c r="L32" s="17" t="str">
        <f aca="false">IF(B32="","",IF(C32="Tổ",IFERROR(INDEX(PB_TO_COUNT,MATCH(D32,PB_TO_TEN,0),B32),0),COUNTA(I32:K32)))</f>
        <v/>
      </c>
      <c r="M32" s="27" t="n">
        <f aca="false">IF(OR(B32="",L32=0),0,IF(C32="Tổ",ROUNDDOWN(H32/L32,-3),H32/L32))</f>
        <v>0</v>
      </c>
      <c r="N32" s="27" t="n">
        <f aca="false">IF(OR(B32="",L32=0,C32&lt;&gt;"Tổ"),0,H32-M32*(L32-1))</f>
        <v>0</v>
      </c>
      <c r="O32" s="10"/>
    </row>
    <row r="33" customFormat="false" ht="15" hidden="false" customHeight="false" outlineLevel="0" collapsed="false">
      <c r="A33" s="17" t="str">
        <f aca="false">IF(B33="","",ROW()-4)</f>
        <v/>
      </c>
      <c r="B33" s="10"/>
      <c r="C33" s="10"/>
      <c r="D33" s="10"/>
      <c r="E33" s="10"/>
      <c r="F33" s="10"/>
      <c r="G33" s="10"/>
      <c r="H33" s="27" t="n">
        <f aca="false">IF(B33="",0,F33/1000*G33)</f>
        <v>0</v>
      </c>
      <c r="I33" s="10"/>
      <c r="J33" s="10"/>
      <c r="K33" s="10"/>
      <c r="L33" s="17" t="str">
        <f aca="false">IF(B33="","",IF(C33="Tổ",IFERROR(INDEX(PB_TO_COUNT,MATCH(D33,PB_TO_TEN,0),B33),0),COUNTA(I33:K33)))</f>
        <v/>
      </c>
      <c r="M33" s="27" t="n">
        <f aca="false">IF(OR(B33="",L33=0),0,IF(C33="Tổ",ROUNDDOWN(H33/L33,-3),H33/L33))</f>
        <v>0</v>
      </c>
      <c r="N33" s="27" t="n">
        <f aca="false">IF(OR(B33="",L33=0,C33&lt;&gt;"Tổ"),0,H33-M33*(L33-1))</f>
        <v>0</v>
      </c>
      <c r="O33" s="10"/>
    </row>
    <row r="34" customFormat="false" ht="15" hidden="false" customHeight="false" outlineLevel="0" collapsed="false">
      <c r="A34" s="17" t="str">
        <f aca="false">IF(B34="","",ROW()-4)</f>
        <v/>
      </c>
      <c r="B34" s="10"/>
      <c r="C34" s="10"/>
      <c r="D34" s="10"/>
      <c r="E34" s="10"/>
      <c r="F34" s="10"/>
      <c r="G34" s="10"/>
      <c r="H34" s="27" t="n">
        <f aca="false">IF(B34="",0,F34/1000*G34)</f>
        <v>0</v>
      </c>
      <c r="I34" s="10"/>
      <c r="J34" s="10"/>
      <c r="K34" s="10"/>
      <c r="L34" s="17" t="str">
        <f aca="false">IF(B34="","",IF(C34="Tổ",IFERROR(INDEX(PB_TO_COUNT,MATCH(D34,PB_TO_TEN,0),B34),0),COUNTA(I34:K34)))</f>
        <v/>
      </c>
      <c r="M34" s="27" t="n">
        <f aca="false">IF(OR(B34="",L34=0),0,IF(C34="Tổ",ROUNDDOWN(H34/L34,-3),H34/L34))</f>
        <v>0</v>
      </c>
      <c r="N34" s="27" t="n">
        <f aca="false">IF(OR(B34="",L34=0,C34&lt;&gt;"Tổ"),0,H34-M34*(L34-1))</f>
        <v>0</v>
      </c>
      <c r="O34" s="10"/>
    </row>
    <row r="35" customFormat="false" ht="15" hidden="false" customHeight="false" outlineLevel="0" collapsed="false">
      <c r="A35" s="17" t="str">
        <f aca="false">IF(B35="","",ROW()-4)</f>
        <v/>
      </c>
      <c r="B35" s="10"/>
      <c r="C35" s="10"/>
      <c r="D35" s="10"/>
      <c r="E35" s="10"/>
      <c r="F35" s="10"/>
      <c r="G35" s="10"/>
      <c r="H35" s="27" t="n">
        <f aca="false">IF(B35="",0,F35/1000*G35)</f>
        <v>0</v>
      </c>
      <c r="I35" s="10"/>
      <c r="J35" s="10"/>
      <c r="K35" s="10"/>
      <c r="L35" s="17" t="str">
        <f aca="false">IF(B35="","",IF(C35="Tổ",IFERROR(INDEX(PB_TO_COUNT,MATCH(D35,PB_TO_TEN,0),B35),0),COUNTA(I35:K35)))</f>
        <v/>
      </c>
      <c r="M35" s="27" t="n">
        <f aca="false">IF(OR(B35="",L35=0),0,IF(C35="Tổ",ROUNDDOWN(H35/L35,-3),H35/L35))</f>
        <v>0</v>
      </c>
      <c r="N35" s="27" t="n">
        <f aca="false">IF(OR(B35="",L35=0,C35&lt;&gt;"Tổ"),0,H35-M35*(L35-1))</f>
        <v>0</v>
      </c>
      <c r="O35" s="10"/>
    </row>
    <row r="36" customFormat="false" ht="15" hidden="false" customHeight="false" outlineLevel="0" collapsed="false">
      <c r="A36" s="17" t="str">
        <f aca="false">IF(B36="","",ROW()-4)</f>
        <v/>
      </c>
      <c r="B36" s="10"/>
      <c r="C36" s="10"/>
      <c r="D36" s="10"/>
      <c r="E36" s="10"/>
      <c r="F36" s="10"/>
      <c r="G36" s="10"/>
      <c r="H36" s="27" t="n">
        <f aca="false">IF(B36="",0,F36/1000*G36)</f>
        <v>0</v>
      </c>
      <c r="I36" s="10"/>
      <c r="J36" s="10"/>
      <c r="K36" s="10"/>
      <c r="L36" s="17" t="str">
        <f aca="false">IF(B36="","",IF(C36="Tổ",IFERROR(INDEX(PB_TO_COUNT,MATCH(D36,PB_TO_TEN,0),B36),0),COUNTA(I36:K36)))</f>
        <v/>
      </c>
      <c r="M36" s="27" t="n">
        <f aca="false">IF(OR(B36="",L36=0),0,IF(C36="Tổ",ROUNDDOWN(H36/L36,-3),H36/L36))</f>
        <v>0</v>
      </c>
      <c r="N36" s="27" t="n">
        <f aca="false">IF(OR(B36="",L36=0,C36&lt;&gt;"Tổ"),0,H36-M36*(L36-1))</f>
        <v>0</v>
      </c>
      <c r="O36" s="10"/>
    </row>
    <row r="37" customFormat="false" ht="15" hidden="false" customHeight="false" outlineLevel="0" collapsed="false">
      <c r="A37" s="17" t="str">
        <f aca="false">IF(B37="","",ROW()-4)</f>
        <v/>
      </c>
      <c r="B37" s="10"/>
      <c r="C37" s="10"/>
      <c r="D37" s="10"/>
      <c r="E37" s="10"/>
      <c r="F37" s="10"/>
      <c r="G37" s="10"/>
      <c r="H37" s="27" t="n">
        <f aca="false">IF(B37="",0,F37/1000*G37)</f>
        <v>0</v>
      </c>
      <c r="I37" s="10"/>
      <c r="J37" s="10"/>
      <c r="K37" s="10"/>
      <c r="L37" s="17" t="str">
        <f aca="false">IF(B37="","",IF(C37="Tổ",IFERROR(INDEX(PB_TO_COUNT,MATCH(D37,PB_TO_TEN,0),B37),0),COUNTA(I37:K37)))</f>
        <v/>
      </c>
      <c r="M37" s="27" t="n">
        <f aca="false">IF(OR(B37="",L37=0),0,IF(C37="Tổ",ROUNDDOWN(H37/L37,-3),H37/L37))</f>
        <v>0</v>
      </c>
      <c r="N37" s="27" t="n">
        <f aca="false">IF(OR(B37="",L37=0,C37&lt;&gt;"Tổ"),0,H37-M37*(L37-1))</f>
        <v>0</v>
      </c>
      <c r="O37" s="10"/>
    </row>
    <row r="38" customFormat="false" ht="15" hidden="false" customHeight="false" outlineLevel="0" collapsed="false">
      <c r="A38" s="17" t="str">
        <f aca="false">IF(B38="","",ROW()-4)</f>
        <v/>
      </c>
      <c r="B38" s="10"/>
      <c r="C38" s="10"/>
      <c r="D38" s="10"/>
      <c r="E38" s="10"/>
      <c r="F38" s="10"/>
      <c r="G38" s="10"/>
      <c r="H38" s="27" t="n">
        <f aca="false">IF(B38="",0,F38/1000*G38)</f>
        <v>0</v>
      </c>
      <c r="I38" s="10"/>
      <c r="J38" s="10"/>
      <c r="K38" s="10"/>
      <c r="L38" s="17" t="str">
        <f aca="false">IF(B38="","",IF(C38="Tổ",IFERROR(INDEX(PB_TO_COUNT,MATCH(D38,PB_TO_TEN,0),B38),0),COUNTA(I38:K38)))</f>
        <v/>
      </c>
      <c r="M38" s="27" t="n">
        <f aca="false">IF(OR(B38="",L38=0),0,IF(C38="Tổ",ROUNDDOWN(H38/L38,-3),H38/L38))</f>
        <v>0</v>
      </c>
      <c r="N38" s="27" t="n">
        <f aca="false">IF(OR(B38="",L38=0,C38&lt;&gt;"Tổ"),0,H38-M38*(L38-1))</f>
        <v>0</v>
      </c>
      <c r="O38" s="10"/>
    </row>
    <row r="39" customFormat="false" ht="15" hidden="false" customHeight="false" outlineLevel="0" collapsed="false">
      <c r="A39" s="17" t="str">
        <f aca="false">IF(B39="","",ROW()-4)</f>
        <v/>
      </c>
      <c r="B39" s="10"/>
      <c r="C39" s="10"/>
      <c r="D39" s="10"/>
      <c r="E39" s="10"/>
      <c r="F39" s="10"/>
      <c r="G39" s="10"/>
      <c r="H39" s="27" t="n">
        <f aca="false">IF(B39="",0,F39/1000*G39)</f>
        <v>0</v>
      </c>
      <c r="I39" s="10"/>
      <c r="J39" s="10"/>
      <c r="K39" s="10"/>
      <c r="L39" s="17" t="str">
        <f aca="false">IF(B39="","",IF(C39="Tổ",IFERROR(INDEX(PB_TO_COUNT,MATCH(D39,PB_TO_TEN,0),B39),0),COUNTA(I39:K39)))</f>
        <v/>
      </c>
      <c r="M39" s="27" t="n">
        <f aca="false">IF(OR(B39="",L39=0),0,IF(C39="Tổ",ROUNDDOWN(H39/L39,-3),H39/L39))</f>
        <v>0</v>
      </c>
      <c r="N39" s="27" t="n">
        <f aca="false">IF(OR(B39="",L39=0,C39&lt;&gt;"Tổ"),0,H39-M39*(L39-1))</f>
        <v>0</v>
      </c>
      <c r="O39" s="10"/>
    </row>
    <row r="40" customFormat="false" ht="15" hidden="false" customHeight="false" outlineLevel="0" collapsed="false">
      <c r="A40" s="17" t="str">
        <f aca="false">IF(B40="","",ROW()-4)</f>
        <v/>
      </c>
      <c r="B40" s="10"/>
      <c r="C40" s="10"/>
      <c r="D40" s="10"/>
      <c r="E40" s="10"/>
      <c r="F40" s="10"/>
      <c r="G40" s="10"/>
      <c r="H40" s="27" t="n">
        <f aca="false">IF(B40="",0,F40/1000*G40)</f>
        <v>0</v>
      </c>
      <c r="I40" s="10"/>
      <c r="J40" s="10"/>
      <c r="K40" s="10"/>
      <c r="L40" s="17" t="str">
        <f aca="false">IF(B40="","",IF(C40="Tổ",IFERROR(INDEX(PB_TO_COUNT,MATCH(D40,PB_TO_TEN,0),B40),0),COUNTA(I40:K40)))</f>
        <v/>
      </c>
      <c r="M40" s="27" t="n">
        <f aca="false">IF(OR(B40="",L40=0),0,IF(C40="Tổ",ROUNDDOWN(H40/L40,-3),H40/L40))</f>
        <v>0</v>
      </c>
      <c r="N40" s="27" t="n">
        <f aca="false">IF(OR(B40="",L40=0,C40&lt;&gt;"Tổ"),0,H40-M40*(L40-1))</f>
        <v>0</v>
      </c>
      <c r="O40" s="10"/>
    </row>
    <row r="41" customFormat="false" ht="15" hidden="false" customHeight="false" outlineLevel="0" collapsed="false">
      <c r="A41" s="17" t="str">
        <f aca="false">IF(B41="","",ROW()-4)</f>
        <v/>
      </c>
      <c r="B41" s="10"/>
      <c r="C41" s="10"/>
      <c r="D41" s="10"/>
      <c r="E41" s="10"/>
      <c r="F41" s="10"/>
      <c r="G41" s="10"/>
      <c r="H41" s="27" t="n">
        <f aca="false">IF(B41="",0,F41/1000*G41)</f>
        <v>0</v>
      </c>
      <c r="I41" s="10"/>
      <c r="J41" s="10"/>
      <c r="K41" s="10"/>
      <c r="L41" s="17" t="str">
        <f aca="false">IF(B41="","",IF(C41="Tổ",IFERROR(INDEX(PB_TO_COUNT,MATCH(D41,PB_TO_TEN,0),B41),0),COUNTA(I41:K41)))</f>
        <v/>
      </c>
      <c r="M41" s="27" t="n">
        <f aca="false">IF(OR(B41="",L41=0),0,IF(C41="Tổ",ROUNDDOWN(H41/L41,-3),H41/L41))</f>
        <v>0</v>
      </c>
      <c r="N41" s="27" t="n">
        <f aca="false">IF(OR(B41="",L41=0,C41&lt;&gt;"Tổ"),0,H41-M41*(L41-1))</f>
        <v>0</v>
      </c>
      <c r="O41" s="10"/>
    </row>
    <row r="42" customFormat="false" ht="15" hidden="false" customHeight="false" outlineLevel="0" collapsed="false">
      <c r="A42" s="17" t="str">
        <f aca="false">IF(B42="","",ROW()-4)</f>
        <v/>
      </c>
      <c r="B42" s="10"/>
      <c r="C42" s="10"/>
      <c r="D42" s="10"/>
      <c r="E42" s="10"/>
      <c r="F42" s="10"/>
      <c r="G42" s="10"/>
      <c r="H42" s="27" t="n">
        <f aca="false">IF(B42="",0,F42/1000*G42)</f>
        <v>0</v>
      </c>
      <c r="I42" s="10"/>
      <c r="J42" s="10"/>
      <c r="K42" s="10"/>
      <c r="L42" s="17" t="str">
        <f aca="false">IF(B42="","",IF(C42="Tổ",IFERROR(INDEX(PB_TO_COUNT,MATCH(D42,PB_TO_TEN,0),B42),0),COUNTA(I42:K42)))</f>
        <v/>
      </c>
      <c r="M42" s="27" t="n">
        <f aca="false">IF(OR(B42="",L42=0),0,IF(C42="Tổ",ROUNDDOWN(H42/L42,-3),H42/L42))</f>
        <v>0</v>
      </c>
      <c r="N42" s="27" t="n">
        <f aca="false">IF(OR(B42="",L42=0,C42&lt;&gt;"Tổ"),0,H42-M42*(L42-1))</f>
        <v>0</v>
      </c>
      <c r="O42" s="10"/>
    </row>
    <row r="43" customFormat="false" ht="15" hidden="false" customHeight="false" outlineLevel="0" collapsed="false">
      <c r="A43" s="17" t="str">
        <f aca="false">IF(B43="","",ROW()-4)</f>
        <v/>
      </c>
      <c r="B43" s="10"/>
      <c r="C43" s="10"/>
      <c r="D43" s="10"/>
      <c r="E43" s="10"/>
      <c r="F43" s="10"/>
      <c r="G43" s="10"/>
      <c r="H43" s="27" t="n">
        <f aca="false">IF(B43="",0,F43/1000*G43)</f>
        <v>0</v>
      </c>
      <c r="I43" s="10"/>
      <c r="J43" s="10"/>
      <c r="K43" s="10"/>
      <c r="L43" s="17" t="str">
        <f aca="false">IF(B43="","",IF(C43="Tổ",IFERROR(INDEX(PB_TO_COUNT,MATCH(D43,PB_TO_TEN,0),B43),0),COUNTA(I43:K43)))</f>
        <v/>
      </c>
      <c r="M43" s="27" t="n">
        <f aca="false">IF(OR(B43="",L43=0),0,IF(C43="Tổ",ROUNDDOWN(H43/L43,-3),H43/L43))</f>
        <v>0</v>
      </c>
      <c r="N43" s="27" t="n">
        <f aca="false">IF(OR(B43="",L43=0,C43&lt;&gt;"Tổ"),0,H43-M43*(L43-1))</f>
        <v>0</v>
      </c>
      <c r="O43" s="10"/>
    </row>
    <row r="44" customFormat="false" ht="15" hidden="false" customHeight="false" outlineLevel="0" collapsed="false">
      <c r="A44" s="17" t="str">
        <f aca="false">IF(B44="","",ROW()-4)</f>
        <v/>
      </c>
      <c r="B44" s="10"/>
      <c r="C44" s="10"/>
      <c r="D44" s="10"/>
      <c r="E44" s="10"/>
      <c r="F44" s="10"/>
      <c r="G44" s="10"/>
      <c r="H44" s="27" t="n">
        <f aca="false">IF(B44="",0,F44/1000*G44)</f>
        <v>0</v>
      </c>
      <c r="I44" s="10"/>
      <c r="J44" s="10"/>
      <c r="K44" s="10"/>
      <c r="L44" s="17" t="str">
        <f aca="false">IF(B44="","",IF(C44="Tổ",IFERROR(INDEX(PB_TO_COUNT,MATCH(D44,PB_TO_TEN,0),B44),0),COUNTA(I44:K44)))</f>
        <v/>
      </c>
      <c r="M44" s="27" t="n">
        <f aca="false">IF(OR(B44="",L44=0),0,IF(C44="Tổ",ROUNDDOWN(H44/L44,-3),H44/L44))</f>
        <v>0</v>
      </c>
      <c r="N44" s="27" t="n">
        <f aca="false">IF(OR(B44="",L44=0,C44&lt;&gt;"Tổ"),0,H44-M44*(L44-1))</f>
        <v>0</v>
      </c>
      <c r="O44" s="10"/>
    </row>
    <row r="45" customFormat="false" ht="15" hidden="false" customHeight="false" outlineLevel="0" collapsed="false">
      <c r="A45" s="17" t="str">
        <f aca="false">IF(B45="","",ROW()-4)</f>
        <v/>
      </c>
      <c r="B45" s="10"/>
      <c r="C45" s="10"/>
      <c r="D45" s="10"/>
      <c r="E45" s="10"/>
      <c r="F45" s="10"/>
      <c r="G45" s="10"/>
      <c r="H45" s="27" t="n">
        <f aca="false">IF(B45="",0,F45/1000*G45)</f>
        <v>0</v>
      </c>
      <c r="I45" s="10"/>
      <c r="J45" s="10"/>
      <c r="K45" s="10"/>
      <c r="L45" s="17" t="str">
        <f aca="false">IF(B45="","",IF(C45="Tổ",IFERROR(INDEX(PB_TO_COUNT,MATCH(D45,PB_TO_TEN,0),B45),0),COUNTA(I45:K45)))</f>
        <v/>
      </c>
      <c r="M45" s="27" t="n">
        <f aca="false">IF(OR(B45="",L45=0),0,IF(C45="Tổ",ROUNDDOWN(H45/L45,-3),H45/L45))</f>
        <v>0</v>
      </c>
      <c r="N45" s="27" t="n">
        <f aca="false">IF(OR(B45="",L45=0,C45&lt;&gt;"Tổ"),0,H45-M45*(L45-1))</f>
        <v>0</v>
      </c>
      <c r="O45" s="10"/>
    </row>
    <row r="46" customFormat="false" ht="15" hidden="false" customHeight="false" outlineLevel="0" collapsed="false">
      <c r="A46" s="17" t="str">
        <f aca="false">IF(B46="","",ROW()-4)</f>
        <v/>
      </c>
      <c r="B46" s="10"/>
      <c r="C46" s="10"/>
      <c r="D46" s="10"/>
      <c r="E46" s="10"/>
      <c r="F46" s="10"/>
      <c r="G46" s="10"/>
      <c r="H46" s="27" t="n">
        <f aca="false">IF(B46="",0,F46/1000*G46)</f>
        <v>0</v>
      </c>
      <c r="I46" s="10"/>
      <c r="J46" s="10"/>
      <c r="K46" s="10"/>
      <c r="L46" s="17" t="str">
        <f aca="false">IF(B46="","",IF(C46="Tổ",IFERROR(INDEX(PB_TO_COUNT,MATCH(D46,PB_TO_TEN,0),B46),0),COUNTA(I46:K46)))</f>
        <v/>
      </c>
      <c r="M46" s="27" t="n">
        <f aca="false">IF(OR(B46="",L46=0),0,IF(C46="Tổ",ROUNDDOWN(H46/L46,-3),H46/L46))</f>
        <v>0</v>
      </c>
      <c r="N46" s="27" t="n">
        <f aca="false">IF(OR(B46="",L46=0,C46&lt;&gt;"Tổ"),0,H46-M46*(L46-1))</f>
        <v>0</v>
      </c>
      <c r="O46" s="10"/>
    </row>
    <row r="47" customFormat="false" ht="15" hidden="false" customHeight="false" outlineLevel="0" collapsed="false">
      <c r="A47" s="17" t="str">
        <f aca="false">IF(B47="","",ROW()-4)</f>
        <v/>
      </c>
      <c r="B47" s="10"/>
      <c r="C47" s="10"/>
      <c r="D47" s="10"/>
      <c r="E47" s="10"/>
      <c r="F47" s="10"/>
      <c r="G47" s="10"/>
      <c r="H47" s="27" t="n">
        <f aca="false">IF(B47="",0,F47/1000*G47)</f>
        <v>0</v>
      </c>
      <c r="I47" s="10"/>
      <c r="J47" s="10"/>
      <c r="K47" s="10"/>
      <c r="L47" s="17" t="str">
        <f aca="false">IF(B47="","",IF(C47="Tổ",IFERROR(INDEX(PB_TO_COUNT,MATCH(D47,PB_TO_TEN,0),B47),0),COUNTA(I47:K47)))</f>
        <v/>
      </c>
      <c r="M47" s="27" t="n">
        <f aca="false">IF(OR(B47="",L47=0),0,IF(C47="Tổ",ROUNDDOWN(H47/L47,-3),H47/L47))</f>
        <v>0</v>
      </c>
      <c r="N47" s="27" t="n">
        <f aca="false">IF(OR(B47="",L47=0,C47&lt;&gt;"Tổ"),0,H47-M47*(L47-1))</f>
        <v>0</v>
      </c>
      <c r="O47" s="10"/>
    </row>
    <row r="48" customFormat="false" ht="15" hidden="false" customHeight="false" outlineLevel="0" collapsed="false">
      <c r="A48" s="17" t="str">
        <f aca="false">IF(B48="","",ROW()-4)</f>
        <v/>
      </c>
      <c r="B48" s="10"/>
      <c r="C48" s="10"/>
      <c r="D48" s="10"/>
      <c r="E48" s="10"/>
      <c r="F48" s="10"/>
      <c r="G48" s="10"/>
      <c r="H48" s="27" t="n">
        <f aca="false">IF(B48="",0,F48/1000*G48)</f>
        <v>0</v>
      </c>
      <c r="I48" s="10"/>
      <c r="J48" s="10"/>
      <c r="K48" s="10"/>
      <c r="L48" s="17" t="str">
        <f aca="false">IF(B48="","",IF(C48="Tổ",IFERROR(INDEX(PB_TO_COUNT,MATCH(D48,PB_TO_TEN,0),B48),0),COUNTA(I48:K48)))</f>
        <v/>
      </c>
      <c r="M48" s="27" t="n">
        <f aca="false">IF(OR(B48="",L48=0),0,IF(C48="Tổ",ROUNDDOWN(H48/L48,-3),H48/L48))</f>
        <v>0</v>
      </c>
      <c r="N48" s="27" t="n">
        <f aca="false">IF(OR(B48="",L48=0,C48&lt;&gt;"Tổ"),0,H48-M48*(L48-1))</f>
        <v>0</v>
      </c>
      <c r="O48" s="10"/>
    </row>
    <row r="49" customFormat="false" ht="15" hidden="false" customHeight="false" outlineLevel="0" collapsed="false">
      <c r="A49" s="17" t="str">
        <f aca="false">IF(B49="","",ROW()-4)</f>
        <v/>
      </c>
      <c r="B49" s="10"/>
      <c r="C49" s="10"/>
      <c r="D49" s="10"/>
      <c r="E49" s="10"/>
      <c r="F49" s="10"/>
      <c r="G49" s="10"/>
      <c r="H49" s="27" t="n">
        <f aca="false">IF(B49="",0,F49/1000*G49)</f>
        <v>0</v>
      </c>
      <c r="I49" s="10"/>
      <c r="J49" s="10"/>
      <c r="K49" s="10"/>
      <c r="L49" s="17" t="str">
        <f aca="false">IF(B49="","",IF(C49="Tổ",IFERROR(INDEX(PB_TO_COUNT,MATCH(D49,PB_TO_TEN,0),B49),0),COUNTA(I49:K49)))</f>
        <v/>
      </c>
      <c r="M49" s="27" t="n">
        <f aca="false">IF(OR(B49="",L49=0),0,IF(C49="Tổ",ROUNDDOWN(H49/L49,-3),H49/L49))</f>
        <v>0</v>
      </c>
      <c r="N49" s="27" t="n">
        <f aca="false">IF(OR(B49="",L49=0,C49&lt;&gt;"Tổ"),0,H49-M49*(L49-1))</f>
        <v>0</v>
      </c>
      <c r="O49" s="10"/>
    </row>
    <row r="50" customFormat="false" ht="15" hidden="false" customHeight="false" outlineLevel="0" collapsed="false">
      <c r="A50" s="17" t="str">
        <f aca="false">IF(B50="","",ROW()-4)</f>
        <v/>
      </c>
      <c r="B50" s="10"/>
      <c r="C50" s="10"/>
      <c r="D50" s="10"/>
      <c r="E50" s="10"/>
      <c r="F50" s="10"/>
      <c r="G50" s="10"/>
      <c r="H50" s="27" t="n">
        <f aca="false">IF(B50="",0,F50/1000*G50)</f>
        <v>0</v>
      </c>
      <c r="I50" s="10"/>
      <c r="J50" s="10"/>
      <c r="K50" s="10"/>
      <c r="L50" s="17" t="str">
        <f aca="false">IF(B50="","",IF(C50="Tổ",IFERROR(INDEX(PB_TO_COUNT,MATCH(D50,PB_TO_TEN,0),B50),0),COUNTA(I50:K50)))</f>
        <v/>
      </c>
      <c r="M50" s="27" t="n">
        <f aca="false">IF(OR(B50="",L50=0),0,IF(C50="Tổ",ROUNDDOWN(H50/L50,-3),H50/L50))</f>
        <v>0</v>
      </c>
      <c r="N50" s="27" t="n">
        <f aca="false">IF(OR(B50="",L50=0,C50&lt;&gt;"Tổ"),0,H50-M50*(L50-1))</f>
        <v>0</v>
      </c>
      <c r="O50" s="10"/>
    </row>
    <row r="51" customFormat="false" ht="15" hidden="false" customHeight="false" outlineLevel="0" collapsed="false">
      <c r="A51" s="17" t="str">
        <f aca="false">IF(B51="","",ROW()-4)</f>
        <v/>
      </c>
      <c r="B51" s="10"/>
      <c r="C51" s="10"/>
      <c r="D51" s="10"/>
      <c r="E51" s="10"/>
      <c r="F51" s="10"/>
      <c r="G51" s="10"/>
      <c r="H51" s="27" t="n">
        <f aca="false">IF(B51="",0,F51/1000*G51)</f>
        <v>0</v>
      </c>
      <c r="I51" s="10"/>
      <c r="J51" s="10"/>
      <c r="K51" s="10"/>
      <c r="L51" s="17" t="str">
        <f aca="false">IF(B51="","",IF(C51="Tổ",IFERROR(INDEX(PB_TO_COUNT,MATCH(D51,PB_TO_TEN,0),B51),0),COUNTA(I51:K51)))</f>
        <v/>
      </c>
      <c r="M51" s="27" t="n">
        <f aca="false">IF(OR(B51="",L51=0),0,IF(C51="Tổ",ROUNDDOWN(H51/L51,-3),H51/L51))</f>
        <v>0</v>
      </c>
      <c r="N51" s="27" t="n">
        <f aca="false">IF(OR(B51="",L51=0,C51&lt;&gt;"Tổ"),0,H51-M51*(L51-1))</f>
        <v>0</v>
      </c>
      <c r="O51" s="10"/>
    </row>
    <row r="52" customFormat="false" ht="15" hidden="false" customHeight="false" outlineLevel="0" collapsed="false">
      <c r="A52" s="17" t="str">
        <f aca="false">IF(B52="","",ROW()-4)</f>
        <v/>
      </c>
      <c r="B52" s="10"/>
      <c r="C52" s="10"/>
      <c r="D52" s="10"/>
      <c r="E52" s="10"/>
      <c r="F52" s="10"/>
      <c r="G52" s="10"/>
      <c r="H52" s="27" t="n">
        <f aca="false">IF(B52="",0,F52/1000*G52)</f>
        <v>0</v>
      </c>
      <c r="I52" s="10"/>
      <c r="J52" s="10"/>
      <c r="K52" s="10"/>
      <c r="L52" s="17" t="str">
        <f aca="false">IF(B52="","",IF(C52="Tổ",IFERROR(INDEX(PB_TO_COUNT,MATCH(D52,PB_TO_TEN,0),B52),0),COUNTA(I52:K52)))</f>
        <v/>
      </c>
      <c r="M52" s="27" t="n">
        <f aca="false">IF(OR(B52="",L52=0),0,IF(C52="Tổ",ROUNDDOWN(H52/L52,-3),H52/L52))</f>
        <v>0</v>
      </c>
      <c r="N52" s="27" t="n">
        <f aca="false">IF(OR(B52="",L52=0,C52&lt;&gt;"Tổ"),0,H52-M52*(L52-1))</f>
        <v>0</v>
      </c>
      <c r="O52" s="10"/>
    </row>
    <row r="53" customFormat="false" ht="15" hidden="false" customHeight="false" outlineLevel="0" collapsed="false">
      <c r="A53" s="17" t="str">
        <f aca="false">IF(B53="","",ROW()-4)</f>
        <v/>
      </c>
      <c r="B53" s="10"/>
      <c r="C53" s="10"/>
      <c r="D53" s="10"/>
      <c r="E53" s="10"/>
      <c r="F53" s="10"/>
      <c r="G53" s="10"/>
      <c r="H53" s="27" t="n">
        <f aca="false">IF(B53="",0,F53/1000*G53)</f>
        <v>0</v>
      </c>
      <c r="I53" s="10"/>
      <c r="J53" s="10"/>
      <c r="K53" s="10"/>
      <c r="L53" s="17" t="str">
        <f aca="false">IF(B53="","",IF(C53="Tổ",IFERROR(INDEX(PB_TO_COUNT,MATCH(D53,PB_TO_TEN,0),B53),0),COUNTA(I53:K53)))</f>
        <v/>
      </c>
      <c r="M53" s="27" t="n">
        <f aca="false">IF(OR(B53="",L53=0),0,IF(C53="Tổ",ROUNDDOWN(H53/L53,-3),H53/L53))</f>
        <v>0</v>
      </c>
      <c r="N53" s="27" t="n">
        <f aca="false">IF(OR(B53="",L53=0,C53&lt;&gt;"Tổ"),0,H53-M53*(L53-1))</f>
        <v>0</v>
      </c>
      <c r="O53" s="10"/>
    </row>
    <row r="54" customFormat="false" ht="15" hidden="false" customHeight="false" outlineLevel="0" collapsed="false">
      <c r="A54" s="17" t="str">
        <f aca="false">IF(B54="","",ROW()-4)</f>
        <v/>
      </c>
      <c r="B54" s="10"/>
      <c r="C54" s="10"/>
      <c r="D54" s="10"/>
      <c r="E54" s="10"/>
      <c r="F54" s="10"/>
      <c r="G54" s="10"/>
      <c r="H54" s="27" t="n">
        <f aca="false">IF(B54="",0,F54/1000*G54)</f>
        <v>0</v>
      </c>
      <c r="I54" s="10"/>
      <c r="J54" s="10"/>
      <c r="K54" s="10"/>
      <c r="L54" s="17" t="str">
        <f aca="false">IF(B54="","",IF(C54="Tổ",IFERROR(INDEX(PB_TO_COUNT,MATCH(D54,PB_TO_TEN,0),B54),0),COUNTA(I54:K54)))</f>
        <v/>
      </c>
      <c r="M54" s="27" t="n">
        <f aca="false">IF(OR(B54="",L54=0),0,IF(C54="Tổ",ROUNDDOWN(H54/L54,-3),H54/L54))</f>
        <v>0</v>
      </c>
      <c r="N54" s="27" t="n">
        <f aca="false">IF(OR(B54="",L54=0,C54&lt;&gt;"Tổ"),0,H54-M54*(L54-1))</f>
        <v>0</v>
      </c>
      <c r="O54" s="10"/>
    </row>
    <row r="55" customFormat="false" ht="15" hidden="false" customHeight="false" outlineLevel="0" collapsed="false">
      <c r="A55" s="17" t="str">
        <f aca="false">IF(B55="","",ROW()-4)</f>
        <v/>
      </c>
      <c r="B55" s="10"/>
      <c r="C55" s="10"/>
      <c r="D55" s="10"/>
      <c r="E55" s="10"/>
      <c r="F55" s="10"/>
      <c r="G55" s="10"/>
      <c r="H55" s="27" t="n">
        <f aca="false">IF(B55="",0,F55/1000*G55)</f>
        <v>0</v>
      </c>
      <c r="I55" s="10"/>
      <c r="J55" s="10"/>
      <c r="K55" s="10"/>
      <c r="L55" s="17" t="str">
        <f aca="false">IF(B55="","",IF(C55="Tổ",IFERROR(INDEX(PB_TO_COUNT,MATCH(D55,PB_TO_TEN,0),B55),0),COUNTA(I55:K55)))</f>
        <v/>
      </c>
      <c r="M55" s="27" t="n">
        <f aca="false">IF(OR(B55="",L55=0),0,IF(C55="Tổ",ROUNDDOWN(H55/L55,-3),H55/L55))</f>
        <v>0</v>
      </c>
      <c r="N55" s="27" t="n">
        <f aca="false">IF(OR(B55="",L55=0,C55&lt;&gt;"Tổ"),0,H55-M55*(L55-1))</f>
        <v>0</v>
      </c>
      <c r="O55" s="10"/>
    </row>
    <row r="56" customFormat="false" ht="15" hidden="false" customHeight="false" outlineLevel="0" collapsed="false">
      <c r="A56" s="17" t="str">
        <f aca="false">IF(B56="","",ROW()-4)</f>
        <v/>
      </c>
      <c r="B56" s="10"/>
      <c r="C56" s="10"/>
      <c r="D56" s="10"/>
      <c r="E56" s="10"/>
      <c r="F56" s="10"/>
      <c r="G56" s="10"/>
      <c r="H56" s="27" t="n">
        <f aca="false">IF(B56="",0,F56/1000*G56)</f>
        <v>0</v>
      </c>
      <c r="I56" s="10"/>
      <c r="J56" s="10"/>
      <c r="K56" s="10"/>
      <c r="L56" s="17" t="str">
        <f aca="false">IF(B56="","",IF(C56="Tổ",IFERROR(INDEX(PB_TO_COUNT,MATCH(D56,PB_TO_TEN,0),B56),0),COUNTA(I56:K56)))</f>
        <v/>
      </c>
      <c r="M56" s="27" t="n">
        <f aca="false">IF(OR(B56="",L56=0),0,IF(C56="Tổ",ROUNDDOWN(H56/L56,-3),H56/L56))</f>
        <v>0</v>
      </c>
      <c r="N56" s="27" t="n">
        <f aca="false">IF(OR(B56="",L56=0,C56&lt;&gt;"Tổ"),0,H56-M56*(L56-1))</f>
        <v>0</v>
      </c>
      <c r="O56" s="10"/>
    </row>
    <row r="57" customFormat="false" ht="15" hidden="false" customHeight="false" outlineLevel="0" collapsed="false">
      <c r="A57" s="17" t="str">
        <f aca="false">IF(B57="","",ROW()-4)</f>
        <v/>
      </c>
      <c r="B57" s="10"/>
      <c r="C57" s="10"/>
      <c r="D57" s="10"/>
      <c r="E57" s="10"/>
      <c r="F57" s="10"/>
      <c r="G57" s="10"/>
      <c r="H57" s="27" t="n">
        <f aca="false">IF(B57="",0,F57/1000*G57)</f>
        <v>0</v>
      </c>
      <c r="I57" s="10"/>
      <c r="J57" s="10"/>
      <c r="K57" s="10"/>
      <c r="L57" s="17" t="str">
        <f aca="false">IF(B57="","",IF(C57="Tổ",IFERROR(INDEX(PB_TO_COUNT,MATCH(D57,PB_TO_TEN,0),B57),0),COUNTA(I57:K57)))</f>
        <v/>
      </c>
      <c r="M57" s="27" t="n">
        <f aca="false">IF(OR(B57="",L57=0),0,IF(C57="Tổ",ROUNDDOWN(H57/L57,-3),H57/L57))</f>
        <v>0</v>
      </c>
      <c r="N57" s="27" t="n">
        <f aca="false">IF(OR(B57="",L57=0,C57&lt;&gt;"Tổ"),0,H57-M57*(L57-1))</f>
        <v>0</v>
      </c>
      <c r="O57" s="10"/>
    </row>
    <row r="58" customFormat="false" ht="15" hidden="false" customHeight="false" outlineLevel="0" collapsed="false">
      <c r="A58" s="17" t="str">
        <f aca="false">IF(B58="","",ROW()-4)</f>
        <v/>
      </c>
      <c r="B58" s="10"/>
      <c r="C58" s="10"/>
      <c r="D58" s="10"/>
      <c r="E58" s="10"/>
      <c r="F58" s="10"/>
      <c r="G58" s="10"/>
      <c r="H58" s="27" t="n">
        <f aca="false">IF(B58="",0,F58/1000*G58)</f>
        <v>0</v>
      </c>
      <c r="I58" s="10"/>
      <c r="J58" s="10"/>
      <c r="K58" s="10"/>
      <c r="L58" s="17" t="str">
        <f aca="false">IF(B58="","",IF(C58="Tổ",IFERROR(INDEX(PB_TO_COUNT,MATCH(D58,PB_TO_TEN,0),B58),0),COUNTA(I58:K58)))</f>
        <v/>
      </c>
      <c r="M58" s="27" t="n">
        <f aca="false">IF(OR(B58="",L58=0),0,IF(C58="Tổ",ROUNDDOWN(H58/L58,-3),H58/L58))</f>
        <v>0</v>
      </c>
      <c r="N58" s="27" t="n">
        <f aca="false">IF(OR(B58="",L58=0,C58&lt;&gt;"Tổ"),0,H58-M58*(L58-1))</f>
        <v>0</v>
      </c>
      <c r="O58" s="10"/>
    </row>
    <row r="59" customFormat="false" ht="15" hidden="false" customHeight="false" outlineLevel="0" collapsed="false">
      <c r="A59" s="17" t="str">
        <f aca="false">IF(B59="","",ROW()-4)</f>
        <v/>
      </c>
      <c r="B59" s="10"/>
      <c r="C59" s="10"/>
      <c r="D59" s="10"/>
      <c r="E59" s="10"/>
      <c r="F59" s="10"/>
      <c r="G59" s="10"/>
      <c r="H59" s="27" t="n">
        <f aca="false">IF(B59="",0,F59/1000*G59)</f>
        <v>0</v>
      </c>
      <c r="I59" s="10"/>
      <c r="J59" s="10"/>
      <c r="K59" s="10"/>
      <c r="L59" s="17" t="str">
        <f aca="false">IF(B59="","",IF(C59="Tổ",IFERROR(INDEX(PB_TO_COUNT,MATCH(D59,PB_TO_TEN,0),B59),0),COUNTA(I59:K59)))</f>
        <v/>
      </c>
      <c r="M59" s="27" t="n">
        <f aca="false">IF(OR(B59="",L59=0),0,IF(C59="Tổ",ROUNDDOWN(H59/L59,-3),H59/L59))</f>
        <v>0</v>
      </c>
      <c r="N59" s="27" t="n">
        <f aca="false">IF(OR(B59="",L59=0,C59&lt;&gt;"Tổ"),0,H59-M59*(L59-1))</f>
        <v>0</v>
      </c>
      <c r="O59" s="10"/>
    </row>
    <row r="60" customFormat="false" ht="15" hidden="false" customHeight="false" outlineLevel="0" collapsed="false">
      <c r="A60" s="17" t="str">
        <f aca="false">IF(B60="","",ROW()-4)</f>
        <v/>
      </c>
      <c r="B60" s="10"/>
      <c r="C60" s="10"/>
      <c r="D60" s="10"/>
      <c r="E60" s="10"/>
      <c r="F60" s="10"/>
      <c r="G60" s="10"/>
      <c r="H60" s="27" t="n">
        <f aca="false">IF(B60="",0,F60/1000*G60)</f>
        <v>0</v>
      </c>
      <c r="I60" s="10"/>
      <c r="J60" s="10"/>
      <c r="K60" s="10"/>
      <c r="L60" s="17" t="str">
        <f aca="false">IF(B60="","",IF(C60="Tổ",IFERROR(INDEX(PB_TO_COUNT,MATCH(D60,PB_TO_TEN,0),B60),0),COUNTA(I60:K60)))</f>
        <v/>
      </c>
      <c r="M60" s="27" t="n">
        <f aca="false">IF(OR(B60="",L60=0),0,IF(C60="Tổ",ROUNDDOWN(H60/L60,-3),H60/L60))</f>
        <v>0</v>
      </c>
      <c r="N60" s="27" t="n">
        <f aca="false">IF(OR(B60="",L60=0,C60&lt;&gt;"Tổ"),0,H60-M60*(L60-1))</f>
        <v>0</v>
      </c>
      <c r="O60" s="10"/>
    </row>
    <row r="61" customFormat="false" ht="15" hidden="false" customHeight="false" outlineLevel="0" collapsed="false">
      <c r="A61" s="17" t="str">
        <f aca="false">IF(B61="","",ROW()-4)</f>
        <v/>
      </c>
      <c r="B61" s="10"/>
      <c r="C61" s="10"/>
      <c r="D61" s="10"/>
      <c r="E61" s="10"/>
      <c r="F61" s="10"/>
      <c r="G61" s="10"/>
      <c r="H61" s="27" t="n">
        <f aca="false">IF(B61="",0,F61/1000*G61)</f>
        <v>0</v>
      </c>
      <c r="I61" s="10"/>
      <c r="J61" s="10"/>
      <c r="K61" s="10"/>
      <c r="L61" s="17" t="str">
        <f aca="false">IF(B61="","",IF(C61="Tổ",IFERROR(INDEX(PB_TO_COUNT,MATCH(D61,PB_TO_TEN,0),B61),0),COUNTA(I61:K61)))</f>
        <v/>
      </c>
      <c r="M61" s="27" t="n">
        <f aca="false">IF(OR(B61="",L61=0),0,IF(C61="Tổ",ROUNDDOWN(H61/L61,-3),H61/L61))</f>
        <v>0</v>
      </c>
      <c r="N61" s="27" t="n">
        <f aca="false">IF(OR(B61="",L61=0,C61&lt;&gt;"Tổ"),0,H61-M61*(L61-1))</f>
        <v>0</v>
      </c>
      <c r="O61" s="10"/>
    </row>
    <row r="62" customFormat="false" ht="15" hidden="false" customHeight="false" outlineLevel="0" collapsed="false">
      <c r="A62" s="17" t="str">
        <f aca="false">IF(B62="","",ROW()-4)</f>
        <v/>
      </c>
      <c r="B62" s="10"/>
      <c r="C62" s="10"/>
      <c r="D62" s="10"/>
      <c r="E62" s="10"/>
      <c r="F62" s="10"/>
      <c r="G62" s="10"/>
      <c r="H62" s="27" t="n">
        <f aca="false">IF(B62="",0,F62/1000*G62)</f>
        <v>0</v>
      </c>
      <c r="I62" s="10"/>
      <c r="J62" s="10"/>
      <c r="K62" s="10"/>
      <c r="L62" s="17" t="str">
        <f aca="false">IF(B62="","",IF(C62="Tổ",IFERROR(INDEX(PB_TO_COUNT,MATCH(D62,PB_TO_TEN,0),B62),0),COUNTA(I62:K62)))</f>
        <v/>
      </c>
      <c r="M62" s="27" t="n">
        <f aca="false">IF(OR(B62="",L62=0),0,IF(C62="Tổ",ROUNDDOWN(H62/L62,-3),H62/L62))</f>
        <v>0</v>
      </c>
      <c r="N62" s="27" t="n">
        <f aca="false">IF(OR(B62="",L62=0,C62&lt;&gt;"Tổ"),0,H62-M62*(L62-1))</f>
        <v>0</v>
      </c>
      <c r="O62" s="10"/>
    </row>
    <row r="63" customFormat="false" ht="15" hidden="false" customHeight="false" outlineLevel="0" collapsed="false">
      <c r="A63" s="17" t="str">
        <f aca="false">IF(B63="","",ROW()-4)</f>
        <v/>
      </c>
      <c r="B63" s="10"/>
      <c r="C63" s="10"/>
      <c r="D63" s="10"/>
      <c r="E63" s="10"/>
      <c r="F63" s="10"/>
      <c r="G63" s="10"/>
      <c r="H63" s="27" t="n">
        <f aca="false">IF(B63="",0,F63/1000*G63)</f>
        <v>0</v>
      </c>
      <c r="I63" s="10"/>
      <c r="J63" s="10"/>
      <c r="K63" s="10"/>
      <c r="L63" s="17" t="str">
        <f aca="false">IF(B63="","",IF(C63="Tổ",IFERROR(INDEX(PB_TO_COUNT,MATCH(D63,PB_TO_TEN,0),B63),0),COUNTA(I63:K63)))</f>
        <v/>
      </c>
      <c r="M63" s="27" t="n">
        <f aca="false">IF(OR(B63="",L63=0),0,IF(C63="Tổ",ROUNDDOWN(H63/L63,-3),H63/L63))</f>
        <v>0</v>
      </c>
      <c r="N63" s="27" t="n">
        <f aca="false">IF(OR(B63="",L63=0,C63&lt;&gt;"Tổ"),0,H63-M63*(L63-1))</f>
        <v>0</v>
      </c>
      <c r="O63" s="10"/>
    </row>
    <row r="64" customFormat="false" ht="15" hidden="false" customHeight="false" outlineLevel="0" collapsed="false">
      <c r="A64" s="17" t="str">
        <f aca="false">IF(B64="","",ROW()-4)</f>
        <v/>
      </c>
      <c r="B64" s="10"/>
      <c r="C64" s="10"/>
      <c r="D64" s="10"/>
      <c r="E64" s="10"/>
      <c r="F64" s="10"/>
      <c r="G64" s="10"/>
      <c r="H64" s="27" t="n">
        <f aca="false">IF(B64="",0,F64/1000*G64)</f>
        <v>0</v>
      </c>
      <c r="I64" s="10"/>
      <c r="J64" s="10"/>
      <c r="K64" s="10"/>
      <c r="L64" s="17" t="str">
        <f aca="false">IF(B64="","",IF(C64="Tổ",IFERROR(INDEX(PB_TO_COUNT,MATCH(D64,PB_TO_TEN,0),B64),0),COUNTA(I64:K64)))</f>
        <v/>
      </c>
      <c r="M64" s="27" t="n">
        <f aca="false">IF(OR(B64="",L64=0),0,IF(C64="Tổ",ROUNDDOWN(H64/L64,-3),H64/L64))</f>
        <v>0</v>
      </c>
      <c r="N64" s="27" t="n">
        <f aca="false">IF(OR(B64="",L64=0,C64&lt;&gt;"Tổ"),0,H64-M64*(L64-1))</f>
        <v>0</v>
      </c>
      <c r="O64" s="10"/>
    </row>
    <row r="65" customFormat="false" ht="15" hidden="false" customHeight="false" outlineLevel="0" collapsed="false">
      <c r="A65" s="17" t="str">
        <f aca="false">IF(B65="","",ROW()-4)</f>
        <v/>
      </c>
      <c r="B65" s="10"/>
      <c r="C65" s="10"/>
      <c r="D65" s="10"/>
      <c r="E65" s="10"/>
      <c r="F65" s="10"/>
      <c r="G65" s="10"/>
      <c r="H65" s="27" t="n">
        <f aca="false">IF(B65="",0,F65/1000*G65)</f>
        <v>0</v>
      </c>
      <c r="I65" s="10"/>
      <c r="J65" s="10"/>
      <c r="K65" s="10"/>
      <c r="L65" s="17" t="str">
        <f aca="false">IF(B65="","",IF(C65="Tổ",IFERROR(INDEX(PB_TO_COUNT,MATCH(D65,PB_TO_TEN,0),B65),0),COUNTA(I65:K65)))</f>
        <v/>
      </c>
      <c r="M65" s="27" t="n">
        <f aca="false">IF(OR(B65="",L65=0),0,IF(C65="Tổ",ROUNDDOWN(H65/L65,-3),H65/L65))</f>
        <v>0</v>
      </c>
      <c r="N65" s="27" t="n">
        <f aca="false">IF(OR(B65="",L65=0,C65&lt;&gt;"Tổ"),0,H65-M65*(L65-1))</f>
        <v>0</v>
      </c>
      <c r="O65" s="10"/>
    </row>
    <row r="66" customFormat="false" ht="15" hidden="false" customHeight="false" outlineLevel="0" collapsed="false">
      <c r="A66" s="17" t="str">
        <f aca="false">IF(B66="","",ROW()-4)</f>
        <v/>
      </c>
      <c r="B66" s="10"/>
      <c r="C66" s="10"/>
      <c r="D66" s="10"/>
      <c r="E66" s="10"/>
      <c r="F66" s="10"/>
      <c r="G66" s="10"/>
      <c r="H66" s="27" t="n">
        <f aca="false">IF(B66="",0,F66/1000*G66)</f>
        <v>0</v>
      </c>
      <c r="I66" s="10"/>
      <c r="J66" s="10"/>
      <c r="K66" s="10"/>
      <c r="L66" s="17" t="str">
        <f aca="false">IF(B66="","",IF(C66="Tổ",IFERROR(INDEX(PB_TO_COUNT,MATCH(D66,PB_TO_TEN,0),B66),0),COUNTA(I66:K66)))</f>
        <v/>
      </c>
      <c r="M66" s="27" t="n">
        <f aca="false">IF(OR(B66="",L66=0),0,IF(C66="Tổ",ROUNDDOWN(H66/L66,-3),H66/L66))</f>
        <v>0</v>
      </c>
      <c r="N66" s="27" t="n">
        <f aca="false">IF(OR(B66="",L66=0,C66&lt;&gt;"Tổ"),0,H66-M66*(L66-1))</f>
        <v>0</v>
      </c>
      <c r="O66" s="10"/>
    </row>
    <row r="67" customFormat="false" ht="15" hidden="false" customHeight="false" outlineLevel="0" collapsed="false">
      <c r="A67" s="17" t="str">
        <f aca="false">IF(B67="","",ROW()-4)</f>
        <v/>
      </c>
      <c r="B67" s="10"/>
      <c r="C67" s="10"/>
      <c r="D67" s="10"/>
      <c r="E67" s="10"/>
      <c r="F67" s="10"/>
      <c r="G67" s="10"/>
      <c r="H67" s="27" t="n">
        <f aca="false">IF(B67="",0,F67/1000*G67)</f>
        <v>0</v>
      </c>
      <c r="I67" s="10"/>
      <c r="J67" s="10"/>
      <c r="K67" s="10"/>
      <c r="L67" s="17" t="str">
        <f aca="false">IF(B67="","",IF(C67="Tổ",IFERROR(INDEX(PB_TO_COUNT,MATCH(D67,PB_TO_TEN,0),B67),0),COUNTA(I67:K67)))</f>
        <v/>
      </c>
      <c r="M67" s="27" t="n">
        <f aca="false">IF(OR(B67="",L67=0),0,IF(C67="Tổ",ROUNDDOWN(H67/L67,-3),H67/L67))</f>
        <v>0</v>
      </c>
      <c r="N67" s="27" t="n">
        <f aca="false">IF(OR(B67="",L67=0,C67&lt;&gt;"Tổ"),0,H67-M67*(L67-1))</f>
        <v>0</v>
      </c>
      <c r="O67" s="10"/>
    </row>
    <row r="68" customFormat="false" ht="15" hidden="false" customHeight="false" outlineLevel="0" collapsed="false">
      <c r="A68" s="17" t="str">
        <f aca="false">IF(B68="","",ROW()-4)</f>
        <v/>
      </c>
      <c r="B68" s="10"/>
      <c r="C68" s="10"/>
      <c r="D68" s="10"/>
      <c r="E68" s="10"/>
      <c r="F68" s="10"/>
      <c r="G68" s="10"/>
      <c r="H68" s="27" t="n">
        <f aca="false">IF(B68="",0,F68/1000*G68)</f>
        <v>0</v>
      </c>
      <c r="I68" s="10"/>
      <c r="J68" s="10"/>
      <c r="K68" s="10"/>
      <c r="L68" s="17" t="str">
        <f aca="false">IF(B68="","",IF(C68="Tổ",IFERROR(INDEX(PB_TO_COUNT,MATCH(D68,PB_TO_TEN,0),B68),0),COUNTA(I68:K68)))</f>
        <v/>
      </c>
      <c r="M68" s="27" t="n">
        <f aca="false">IF(OR(B68="",L68=0),0,IF(C68="Tổ",ROUNDDOWN(H68/L68,-3),H68/L68))</f>
        <v>0</v>
      </c>
      <c r="N68" s="27" t="n">
        <f aca="false">IF(OR(B68="",L68=0,C68&lt;&gt;"Tổ"),0,H68-M68*(L68-1))</f>
        <v>0</v>
      </c>
      <c r="O68" s="10"/>
    </row>
    <row r="69" customFormat="false" ht="15" hidden="false" customHeight="false" outlineLevel="0" collapsed="false">
      <c r="A69" s="17" t="str">
        <f aca="false">IF(B69="","",ROW()-4)</f>
        <v/>
      </c>
      <c r="B69" s="10"/>
      <c r="C69" s="10"/>
      <c r="D69" s="10"/>
      <c r="E69" s="10"/>
      <c r="F69" s="10"/>
      <c r="G69" s="10"/>
      <c r="H69" s="27" t="n">
        <f aca="false">IF(B69="",0,F69/1000*G69)</f>
        <v>0</v>
      </c>
      <c r="I69" s="10"/>
      <c r="J69" s="10"/>
      <c r="K69" s="10"/>
      <c r="L69" s="17" t="str">
        <f aca="false">IF(B69="","",IF(C69="Tổ",IFERROR(INDEX(PB_TO_COUNT,MATCH(D69,PB_TO_TEN,0),B69),0),COUNTA(I69:K69)))</f>
        <v/>
      </c>
      <c r="M69" s="27" t="n">
        <f aca="false">IF(OR(B69="",L69=0),0,IF(C69="Tổ",ROUNDDOWN(H69/L69,-3),H69/L69))</f>
        <v>0</v>
      </c>
      <c r="N69" s="27" t="n">
        <f aca="false">IF(OR(B69="",L69=0,C69&lt;&gt;"Tổ"),0,H69-M69*(L69-1))</f>
        <v>0</v>
      </c>
      <c r="O69" s="10"/>
    </row>
    <row r="70" customFormat="false" ht="15" hidden="false" customHeight="false" outlineLevel="0" collapsed="false">
      <c r="A70" s="17" t="str">
        <f aca="false">IF(B70="","",ROW()-4)</f>
        <v/>
      </c>
      <c r="B70" s="10"/>
      <c r="C70" s="10"/>
      <c r="D70" s="10"/>
      <c r="E70" s="10"/>
      <c r="F70" s="10"/>
      <c r="G70" s="10"/>
      <c r="H70" s="27" t="n">
        <f aca="false">IF(B70="",0,F70/1000*G70)</f>
        <v>0</v>
      </c>
      <c r="I70" s="10"/>
      <c r="J70" s="10"/>
      <c r="K70" s="10"/>
      <c r="L70" s="17" t="str">
        <f aca="false">IF(B70="","",IF(C70="Tổ",IFERROR(INDEX(PB_TO_COUNT,MATCH(D70,PB_TO_TEN,0),B70),0),COUNTA(I70:K70)))</f>
        <v/>
      </c>
      <c r="M70" s="27" t="n">
        <f aca="false">IF(OR(B70="",L70=0),0,IF(C70="Tổ",ROUNDDOWN(H70/L70,-3),H70/L70))</f>
        <v>0</v>
      </c>
      <c r="N70" s="27" t="n">
        <f aca="false">IF(OR(B70="",L70=0,C70&lt;&gt;"Tổ"),0,H70-M70*(L70-1))</f>
        <v>0</v>
      </c>
      <c r="O70" s="10"/>
    </row>
    <row r="71" customFormat="false" ht="15" hidden="false" customHeight="false" outlineLevel="0" collapsed="false">
      <c r="A71" s="17" t="str">
        <f aca="false">IF(B71="","",ROW()-4)</f>
        <v/>
      </c>
      <c r="B71" s="10"/>
      <c r="C71" s="10"/>
      <c r="D71" s="10"/>
      <c r="E71" s="10"/>
      <c r="F71" s="10"/>
      <c r="G71" s="10"/>
      <c r="H71" s="27" t="n">
        <f aca="false">IF(B71="",0,F71/1000*G71)</f>
        <v>0</v>
      </c>
      <c r="I71" s="10"/>
      <c r="J71" s="10"/>
      <c r="K71" s="10"/>
      <c r="L71" s="17" t="str">
        <f aca="false">IF(B71="","",IF(C71="Tổ",IFERROR(INDEX(PB_TO_COUNT,MATCH(D71,PB_TO_TEN,0),B71),0),COUNTA(I71:K71)))</f>
        <v/>
      </c>
      <c r="M71" s="27" t="n">
        <f aca="false">IF(OR(B71="",L71=0),0,IF(C71="Tổ",ROUNDDOWN(H71/L71,-3),H71/L71))</f>
        <v>0</v>
      </c>
      <c r="N71" s="27" t="n">
        <f aca="false">IF(OR(B71="",L71=0,C71&lt;&gt;"Tổ"),0,H71-M71*(L71-1))</f>
        <v>0</v>
      </c>
      <c r="O71" s="10"/>
    </row>
    <row r="72" customFormat="false" ht="15" hidden="false" customHeight="false" outlineLevel="0" collapsed="false">
      <c r="A72" s="17" t="str">
        <f aca="false">IF(B72="","",ROW()-4)</f>
        <v/>
      </c>
      <c r="B72" s="10"/>
      <c r="C72" s="10"/>
      <c r="D72" s="10"/>
      <c r="E72" s="10"/>
      <c r="F72" s="10"/>
      <c r="G72" s="10"/>
      <c r="H72" s="27" t="n">
        <f aca="false">IF(B72="",0,F72/1000*G72)</f>
        <v>0</v>
      </c>
      <c r="I72" s="10"/>
      <c r="J72" s="10"/>
      <c r="K72" s="10"/>
      <c r="L72" s="17" t="str">
        <f aca="false">IF(B72="","",IF(C72="Tổ",IFERROR(INDEX(PB_TO_COUNT,MATCH(D72,PB_TO_TEN,0),B72),0),COUNTA(I72:K72)))</f>
        <v/>
      </c>
      <c r="M72" s="27" t="n">
        <f aca="false">IF(OR(B72="",L72=0),0,IF(C72="Tổ",ROUNDDOWN(H72/L72,-3),H72/L72))</f>
        <v>0</v>
      </c>
      <c r="N72" s="27" t="n">
        <f aca="false">IF(OR(B72="",L72=0,C72&lt;&gt;"Tổ"),0,H72-M72*(L72-1))</f>
        <v>0</v>
      </c>
      <c r="O72" s="10"/>
    </row>
    <row r="73" customFormat="false" ht="15" hidden="false" customHeight="false" outlineLevel="0" collapsed="false">
      <c r="A73" s="17" t="str">
        <f aca="false">IF(B73="","",ROW()-4)</f>
        <v/>
      </c>
      <c r="B73" s="10"/>
      <c r="C73" s="10"/>
      <c r="D73" s="10"/>
      <c r="E73" s="10"/>
      <c r="F73" s="10"/>
      <c r="G73" s="10"/>
      <c r="H73" s="27" t="n">
        <f aca="false">IF(B73="",0,F73/1000*G73)</f>
        <v>0</v>
      </c>
      <c r="I73" s="10"/>
      <c r="J73" s="10"/>
      <c r="K73" s="10"/>
      <c r="L73" s="17" t="str">
        <f aca="false">IF(B73="","",IF(C73="Tổ",IFERROR(INDEX(PB_TO_COUNT,MATCH(D73,PB_TO_TEN,0),B73),0),COUNTA(I73:K73)))</f>
        <v/>
      </c>
      <c r="M73" s="27" t="n">
        <f aca="false">IF(OR(B73="",L73=0),0,IF(C73="Tổ",ROUNDDOWN(H73/L73,-3),H73/L73))</f>
        <v>0</v>
      </c>
      <c r="N73" s="27" t="n">
        <f aca="false">IF(OR(B73="",L73=0,C73&lt;&gt;"Tổ"),0,H73-M73*(L73-1))</f>
        <v>0</v>
      </c>
      <c r="O73" s="10"/>
    </row>
    <row r="74" customFormat="false" ht="15" hidden="false" customHeight="false" outlineLevel="0" collapsed="false">
      <c r="A74" s="17" t="str">
        <f aca="false">IF(B74="","",ROW()-4)</f>
        <v/>
      </c>
      <c r="B74" s="10"/>
      <c r="C74" s="10"/>
      <c r="D74" s="10"/>
      <c r="E74" s="10"/>
      <c r="F74" s="10"/>
      <c r="G74" s="10"/>
      <c r="H74" s="27" t="n">
        <f aca="false">IF(B74="",0,F74/1000*G74)</f>
        <v>0</v>
      </c>
      <c r="I74" s="10"/>
      <c r="J74" s="10"/>
      <c r="K74" s="10"/>
      <c r="L74" s="17" t="str">
        <f aca="false">IF(B74="","",IF(C74="Tổ",IFERROR(INDEX(PB_TO_COUNT,MATCH(D74,PB_TO_TEN,0),B74),0),COUNTA(I74:K74)))</f>
        <v/>
      </c>
      <c r="M74" s="27" t="n">
        <f aca="false">IF(OR(B74="",L74=0),0,IF(C74="Tổ",ROUNDDOWN(H74/L74,-3),H74/L74))</f>
        <v>0</v>
      </c>
      <c r="N74" s="27" t="n">
        <f aca="false">IF(OR(B74="",L74=0,C74&lt;&gt;"Tổ"),0,H74-M74*(L74-1))</f>
        <v>0</v>
      </c>
      <c r="O74" s="10"/>
    </row>
    <row r="75" customFormat="false" ht="15" hidden="false" customHeight="false" outlineLevel="0" collapsed="false">
      <c r="A75" s="17" t="str">
        <f aca="false">IF(B75="","",ROW()-4)</f>
        <v/>
      </c>
      <c r="B75" s="10"/>
      <c r="C75" s="10"/>
      <c r="D75" s="10"/>
      <c r="E75" s="10"/>
      <c r="F75" s="10"/>
      <c r="G75" s="10"/>
      <c r="H75" s="27" t="n">
        <f aca="false">IF(B75="",0,F75/1000*G75)</f>
        <v>0</v>
      </c>
      <c r="I75" s="10"/>
      <c r="J75" s="10"/>
      <c r="K75" s="10"/>
      <c r="L75" s="17" t="str">
        <f aca="false">IF(B75="","",IF(C75="Tổ",IFERROR(INDEX(PB_TO_COUNT,MATCH(D75,PB_TO_TEN,0),B75),0),COUNTA(I75:K75)))</f>
        <v/>
      </c>
      <c r="M75" s="27" t="n">
        <f aca="false">IF(OR(B75="",L75=0),0,IF(C75="Tổ",ROUNDDOWN(H75/L75,-3),H75/L75))</f>
        <v>0</v>
      </c>
      <c r="N75" s="27" t="n">
        <f aca="false">IF(OR(B75="",L75=0,C75&lt;&gt;"Tổ"),0,H75-M75*(L75-1))</f>
        <v>0</v>
      </c>
      <c r="O75" s="10"/>
    </row>
    <row r="76" customFormat="false" ht="15" hidden="false" customHeight="false" outlineLevel="0" collapsed="false">
      <c r="A76" s="17" t="str">
        <f aca="false">IF(B76="","",ROW()-4)</f>
        <v/>
      </c>
      <c r="B76" s="10"/>
      <c r="C76" s="10"/>
      <c r="D76" s="10"/>
      <c r="E76" s="10"/>
      <c r="F76" s="10"/>
      <c r="G76" s="10"/>
      <c r="H76" s="27" t="n">
        <f aca="false">IF(B76="",0,F76/1000*G76)</f>
        <v>0</v>
      </c>
      <c r="I76" s="10"/>
      <c r="J76" s="10"/>
      <c r="K76" s="10"/>
      <c r="L76" s="17" t="str">
        <f aca="false">IF(B76="","",IF(C76="Tổ",IFERROR(INDEX(PB_TO_COUNT,MATCH(D76,PB_TO_TEN,0),B76),0),COUNTA(I76:K76)))</f>
        <v/>
      </c>
      <c r="M76" s="27" t="n">
        <f aca="false">IF(OR(B76="",L76=0),0,IF(C76="Tổ",ROUNDDOWN(H76/L76,-3),H76/L76))</f>
        <v>0</v>
      </c>
      <c r="N76" s="27" t="n">
        <f aca="false">IF(OR(B76="",L76=0,C76&lt;&gt;"Tổ"),0,H76-M76*(L76-1))</f>
        <v>0</v>
      </c>
      <c r="O76" s="10"/>
    </row>
    <row r="77" customFormat="false" ht="15" hidden="false" customHeight="false" outlineLevel="0" collapsed="false">
      <c r="A77" s="17" t="str">
        <f aca="false">IF(B77="","",ROW()-4)</f>
        <v/>
      </c>
      <c r="B77" s="10"/>
      <c r="C77" s="10"/>
      <c r="D77" s="10"/>
      <c r="E77" s="10"/>
      <c r="F77" s="10"/>
      <c r="G77" s="10"/>
      <c r="H77" s="27" t="n">
        <f aca="false">IF(B77="",0,F77/1000*G77)</f>
        <v>0</v>
      </c>
      <c r="I77" s="10"/>
      <c r="J77" s="10"/>
      <c r="K77" s="10"/>
      <c r="L77" s="17" t="str">
        <f aca="false">IF(B77="","",IF(C77="Tổ",IFERROR(INDEX(PB_TO_COUNT,MATCH(D77,PB_TO_TEN,0),B77),0),COUNTA(I77:K77)))</f>
        <v/>
      </c>
      <c r="M77" s="27" t="n">
        <f aca="false">IF(OR(B77="",L77=0),0,IF(C77="Tổ",ROUNDDOWN(H77/L77,-3),H77/L77))</f>
        <v>0</v>
      </c>
      <c r="N77" s="27" t="n">
        <f aca="false">IF(OR(B77="",L77=0,C77&lt;&gt;"Tổ"),0,H77-M77*(L77-1))</f>
        <v>0</v>
      </c>
      <c r="O77" s="10"/>
    </row>
    <row r="78" customFormat="false" ht="15" hidden="false" customHeight="false" outlineLevel="0" collapsed="false">
      <c r="A78" s="17" t="str">
        <f aca="false">IF(B78="","",ROW()-4)</f>
        <v/>
      </c>
      <c r="B78" s="10"/>
      <c r="C78" s="10"/>
      <c r="D78" s="10"/>
      <c r="E78" s="10"/>
      <c r="F78" s="10"/>
      <c r="G78" s="10"/>
      <c r="H78" s="27" t="n">
        <f aca="false">IF(B78="",0,F78/1000*G78)</f>
        <v>0</v>
      </c>
      <c r="I78" s="10"/>
      <c r="J78" s="10"/>
      <c r="K78" s="10"/>
      <c r="L78" s="17" t="str">
        <f aca="false">IF(B78="","",IF(C78="Tổ",IFERROR(INDEX(PB_TO_COUNT,MATCH(D78,PB_TO_TEN,0),B78),0),COUNTA(I78:K78)))</f>
        <v/>
      </c>
      <c r="M78" s="27" t="n">
        <f aca="false">IF(OR(B78="",L78=0),0,IF(C78="Tổ",ROUNDDOWN(H78/L78,-3),H78/L78))</f>
        <v>0</v>
      </c>
      <c r="N78" s="27" t="n">
        <f aca="false">IF(OR(B78="",L78=0,C78&lt;&gt;"Tổ"),0,H78-M78*(L78-1))</f>
        <v>0</v>
      </c>
      <c r="O78" s="10"/>
    </row>
    <row r="79" customFormat="false" ht="15" hidden="false" customHeight="false" outlineLevel="0" collapsed="false">
      <c r="A79" s="17" t="str">
        <f aca="false">IF(B79="","",ROW()-4)</f>
        <v/>
      </c>
      <c r="B79" s="10"/>
      <c r="C79" s="10"/>
      <c r="D79" s="10"/>
      <c r="E79" s="10"/>
      <c r="F79" s="10"/>
      <c r="G79" s="10"/>
      <c r="H79" s="27" t="n">
        <f aca="false">IF(B79="",0,F79/1000*G79)</f>
        <v>0</v>
      </c>
      <c r="I79" s="10"/>
      <c r="J79" s="10"/>
      <c r="K79" s="10"/>
      <c r="L79" s="17" t="str">
        <f aca="false">IF(B79="","",IF(C79="Tổ",IFERROR(INDEX(PB_TO_COUNT,MATCH(D79,PB_TO_TEN,0),B79),0),COUNTA(I79:K79)))</f>
        <v/>
      </c>
      <c r="M79" s="27" t="n">
        <f aca="false">IF(OR(B79="",L79=0),0,IF(C79="Tổ",ROUNDDOWN(H79/L79,-3),H79/L79))</f>
        <v>0</v>
      </c>
      <c r="N79" s="27" t="n">
        <f aca="false">IF(OR(B79="",L79=0,C79&lt;&gt;"Tổ"),0,H79-M79*(L79-1))</f>
        <v>0</v>
      </c>
      <c r="O79" s="10"/>
    </row>
    <row r="80" customFormat="false" ht="15" hidden="false" customHeight="false" outlineLevel="0" collapsed="false">
      <c r="A80" s="17" t="str">
        <f aca="false">IF(B80="","",ROW()-4)</f>
        <v/>
      </c>
      <c r="B80" s="10"/>
      <c r="C80" s="10"/>
      <c r="D80" s="10"/>
      <c r="E80" s="10"/>
      <c r="F80" s="10"/>
      <c r="G80" s="10"/>
      <c r="H80" s="27" t="n">
        <f aca="false">IF(B80="",0,F80/1000*G80)</f>
        <v>0</v>
      </c>
      <c r="I80" s="10"/>
      <c r="J80" s="10"/>
      <c r="K80" s="10"/>
      <c r="L80" s="17" t="str">
        <f aca="false">IF(B80="","",IF(C80="Tổ",IFERROR(INDEX(PB_TO_COUNT,MATCH(D80,PB_TO_TEN,0),B80),0),COUNTA(I80:K80)))</f>
        <v/>
      </c>
      <c r="M80" s="27" t="n">
        <f aca="false">IF(OR(B80="",L80=0),0,IF(C80="Tổ",ROUNDDOWN(H80/L80,-3),H80/L80))</f>
        <v>0</v>
      </c>
      <c r="N80" s="27" t="n">
        <f aca="false">IF(OR(B80="",L80=0,C80&lt;&gt;"Tổ"),0,H80-M80*(L80-1))</f>
        <v>0</v>
      </c>
      <c r="O80" s="10"/>
    </row>
    <row r="82" customFormat="false" ht="15" hidden="false" customHeight="false" outlineLevel="0" collapsed="false">
      <c r="E82" s="3" t="s">
        <v>274</v>
      </c>
      <c r="H82" s="28" t="n">
        <f aca="false">SUM(H5:H80)</f>
        <v>25514582.5</v>
      </c>
    </row>
    <row r="83" customFormat="false" ht="15" hidden="false" customHeight="false" outlineLevel="0" collapsed="false">
      <c r="E83" s="2" t="s">
        <v>301</v>
      </c>
    </row>
  </sheetData>
  <sheetProtection sheet="true" formatColumns="false" formatRows="false"/>
  <dataValidations count="1">
    <dataValidation allowBlank="true" errorStyle="stop" operator="between" showDropDown="false" showErrorMessage="false" showInputMessage="false" sqref="C5:C80" type="list">
      <formula1>"Tổ,Đích danh"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R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5" topLeftCell="F6" activePane="bottomRight" state="frozen"/>
      <selection pane="topLeft" activeCell="A1" activeCellId="0" sqref="A1"/>
      <selection pane="topRight" activeCell="F1" activeCellId="0" sqref="F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22"/>
    <col collapsed="false" customWidth="true" hidden="false" outlineLevel="0" max="4" min="4" style="0" width="7"/>
    <col collapsed="false" customWidth="true" hidden="false" outlineLevel="0" max="5" min="5" style="0" width="11"/>
    <col collapsed="false" customWidth="true" hidden="false" outlineLevel="0" max="36" min="6" style="0" width="3.61"/>
    <col collapsed="false" customWidth="true" hidden="false" outlineLevel="0" max="37" min="37" style="0" width="8"/>
    <col collapsed="false" customWidth="true" hidden="false" outlineLevel="0" max="38" min="38" style="0" width="13"/>
    <col collapsed="false" customWidth="true" hidden="false" outlineLevel="0" max="69" min="39" style="0" width="8"/>
  </cols>
  <sheetData>
    <row r="1" customFormat="false" ht="17.35" hidden="false" customHeight="false" outlineLevel="0" collapsed="false">
      <c r="A1" s="1" t="s">
        <v>302</v>
      </c>
    </row>
    <row r="2" customFormat="false" ht="15" hidden="false" customHeight="false" outlineLevel="0" collapsed="false">
      <c r="A2" s="2" t="s">
        <v>303</v>
      </c>
    </row>
    <row r="3" customFormat="false" ht="15" hidden="false" customHeight="false" outlineLevel="0" collapsed="false">
      <c r="F3" s="19" t="n">
        <f aca="false">BCC!G3</f>
        <v>46235</v>
      </c>
      <c r="G3" s="19" t="n">
        <f aca="false">BCC!H3</f>
        <v>46236</v>
      </c>
      <c r="H3" s="19" t="n">
        <f aca="false">BCC!I3</f>
        <v>46237</v>
      </c>
      <c r="I3" s="19" t="n">
        <f aca="false">BCC!J3</f>
        <v>46238</v>
      </c>
      <c r="J3" s="19" t="n">
        <f aca="false">BCC!K3</f>
        <v>46239</v>
      </c>
      <c r="K3" s="19" t="n">
        <f aca="false">BCC!L3</f>
        <v>46240</v>
      </c>
      <c r="L3" s="19" t="n">
        <f aca="false">BCC!M3</f>
        <v>46241</v>
      </c>
      <c r="M3" s="19" t="n">
        <f aca="false">BCC!N3</f>
        <v>46242</v>
      </c>
      <c r="N3" s="19" t="n">
        <f aca="false">BCC!O3</f>
        <v>46243</v>
      </c>
      <c r="O3" s="19" t="n">
        <f aca="false">BCC!P3</f>
        <v>46244</v>
      </c>
      <c r="P3" s="19" t="n">
        <f aca="false">BCC!Q3</f>
        <v>46245</v>
      </c>
      <c r="Q3" s="19" t="n">
        <f aca="false">BCC!R3</f>
        <v>46246</v>
      </c>
      <c r="R3" s="19" t="n">
        <f aca="false">BCC!S3</f>
        <v>46247</v>
      </c>
      <c r="S3" s="19" t="n">
        <f aca="false">BCC!T3</f>
        <v>46248</v>
      </c>
      <c r="T3" s="19" t="n">
        <f aca="false">BCC!U3</f>
        <v>46249</v>
      </c>
      <c r="U3" s="19" t="n">
        <f aca="false">BCC!V3</f>
        <v>46250</v>
      </c>
      <c r="V3" s="19" t="n">
        <f aca="false">BCC!W3</f>
        <v>46251</v>
      </c>
      <c r="W3" s="19" t="n">
        <f aca="false">BCC!X3</f>
        <v>46252</v>
      </c>
      <c r="X3" s="19" t="n">
        <f aca="false">BCC!Y3</f>
        <v>46253</v>
      </c>
      <c r="Y3" s="19" t="n">
        <f aca="false">BCC!Z3</f>
        <v>46254</v>
      </c>
      <c r="Z3" s="19" t="n">
        <f aca="false">BCC!AA3</f>
        <v>46255</v>
      </c>
      <c r="AA3" s="19" t="n">
        <f aca="false">BCC!AB3</f>
        <v>46256</v>
      </c>
      <c r="AB3" s="19" t="n">
        <f aca="false">BCC!AC3</f>
        <v>46257</v>
      </c>
      <c r="AC3" s="19" t="n">
        <f aca="false">BCC!AD3</f>
        <v>46258</v>
      </c>
      <c r="AD3" s="19" t="n">
        <f aca="false">BCC!AE3</f>
        <v>46259</v>
      </c>
      <c r="AE3" s="19" t="n">
        <f aca="false">BCC!AF3</f>
        <v>46260</v>
      </c>
      <c r="AF3" s="19" t="n">
        <f aca="false">BCC!AG3</f>
        <v>46261</v>
      </c>
      <c r="AG3" s="19" t="n">
        <f aca="false">BCC!AH3</f>
        <v>46262</v>
      </c>
      <c r="AH3" s="19" t="n">
        <f aca="false">BCC!AI3</f>
        <v>46263</v>
      </c>
      <c r="AI3" s="19" t="n">
        <f aca="false">BCC!AJ3</f>
        <v>46264</v>
      </c>
      <c r="AJ3" s="19" t="n">
        <f aca="false">BCC!AK3</f>
        <v>46265</v>
      </c>
    </row>
    <row r="4" customFormat="false" ht="15" hidden="false" customHeight="false" outlineLevel="0" collapsed="false">
      <c r="F4" s="3" t="s">
        <v>304</v>
      </c>
      <c r="AM4" s="3" t="s">
        <v>305</v>
      </c>
    </row>
    <row r="5" customFormat="false" ht="36" hidden="false" customHeight="true" outlineLevel="0" collapsed="false">
      <c r="A5" s="14" t="s">
        <v>85</v>
      </c>
      <c r="B5" s="14" t="s">
        <v>86</v>
      </c>
      <c r="C5" s="14" t="s">
        <v>87</v>
      </c>
      <c r="D5" s="14" t="s">
        <v>279</v>
      </c>
      <c r="E5" s="14" t="s">
        <v>306</v>
      </c>
      <c r="F5" s="14" t="s">
        <v>235</v>
      </c>
      <c r="G5" s="14" t="s">
        <v>236</v>
      </c>
      <c r="H5" s="14" t="s">
        <v>237</v>
      </c>
      <c r="I5" s="14" t="s">
        <v>238</v>
      </c>
      <c r="J5" s="14" t="s">
        <v>239</v>
      </c>
      <c r="K5" s="14" t="s">
        <v>240</v>
      </c>
      <c r="L5" s="14" t="s">
        <v>241</v>
      </c>
      <c r="M5" s="14" t="s">
        <v>242</v>
      </c>
      <c r="N5" s="14" t="s">
        <v>243</v>
      </c>
      <c r="O5" s="14" t="s">
        <v>244</v>
      </c>
      <c r="P5" s="14" t="s">
        <v>245</v>
      </c>
      <c r="Q5" s="14" t="s">
        <v>246</v>
      </c>
      <c r="R5" s="14" t="s">
        <v>247</v>
      </c>
      <c r="S5" s="14" t="s">
        <v>248</v>
      </c>
      <c r="T5" s="14" t="s">
        <v>249</v>
      </c>
      <c r="U5" s="14" t="s">
        <v>250</v>
      </c>
      <c r="V5" s="14" t="s">
        <v>251</v>
      </c>
      <c r="W5" s="14" t="s">
        <v>252</v>
      </c>
      <c r="X5" s="14" t="s">
        <v>253</v>
      </c>
      <c r="Y5" s="14" t="s">
        <v>254</v>
      </c>
      <c r="Z5" s="14" t="s">
        <v>255</v>
      </c>
      <c r="AA5" s="14" t="s">
        <v>256</v>
      </c>
      <c r="AB5" s="14" t="s">
        <v>257</v>
      </c>
      <c r="AC5" s="14" t="s">
        <v>258</v>
      </c>
      <c r="AD5" s="14" t="s">
        <v>259</v>
      </c>
      <c r="AE5" s="14" t="s">
        <v>260</v>
      </c>
      <c r="AF5" s="14" t="s">
        <v>261</v>
      </c>
      <c r="AG5" s="14" t="s">
        <v>262</v>
      </c>
      <c r="AH5" s="14" t="s">
        <v>263</v>
      </c>
      <c r="AI5" s="14" t="s">
        <v>264</v>
      </c>
      <c r="AJ5" s="14" t="s">
        <v>265</v>
      </c>
      <c r="AK5" s="14" t="s">
        <v>307</v>
      </c>
      <c r="AL5" s="14" t="s">
        <v>308</v>
      </c>
      <c r="AM5" s="14"/>
      <c r="AN5" s="14" t="s">
        <v>235</v>
      </c>
      <c r="AO5" s="14" t="s">
        <v>236</v>
      </c>
      <c r="AP5" s="14" t="s">
        <v>237</v>
      </c>
      <c r="AQ5" s="14" t="s">
        <v>238</v>
      </c>
      <c r="AR5" s="14" t="s">
        <v>239</v>
      </c>
      <c r="AS5" s="14" t="s">
        <v>240</v>
      </c>
      <c r="AT5" s="14" t="s">
        <v>241</v>
      </c>
      <c r="AU5" s="14" t="s">
        <v>242</v>
      </c>
      <c r="AV5" s="14" t="s">
        <v>243</v>
      </c>
      <c r="AW5" s="14" t="s">
        <v>244</v>
      </c>
      <c r="AX5" s="14" t="s">
        <v>245</v>
      </c>
      <c r="AY5" s="14" t="s">
        <v>246</v>
      </c>
      <c r="AZ5" s="14" t="s">
        <v>247</v>
      </c>
      <c r="BA5" s="14" t="s">
        <v>248</v>
      </c>
      <c r="BB5" s="14" t="s">
        <v>249</v>
      </c>
      <c r="BC5" s="14" t="s">
        <v>250</v>
      </c>
      <c r="BD5" s="14" t="s">
        <v>251</v>
      </c>
      <c r="BE5" s="14" t="s">
        <v>252</v>
      </c>
      <c r="BF5" s="14" t="s">
        <v>253</v>
      </c>
      <c r="BG5" s="14" t="s">
        <v>254</v>
      </c>
      <c r="BH5" s="14" t="s">
        <v>255</v>
      </c>
      <c r="BI5" s="14" t="s">
        <v>256</v>
      </c>
      <c r="BJ5" s="14" t="s">
        <v>257</v>
      </c>
      <c r="BK5" s="14" t="s">
        <v>258</v>
      </c>
      <c r="BL5" s="14" t="s">
        <v>259</v>
      </c>
      <c r="BM5" s="14" t="s">
        <v>260</v>
      </c>
      <c r="BN5" s="14" t="s">
        <v>261</v>
      </c>
      <c r="BO5" s="14" t="s">
        <v>262</v>
      </c>
      <c r="BP5" s="14" t="s">
        <v>263</v>
      </c>
      <c r="BQ5" s="14" t="s">
        <v>264</v>
      </c>
      <c r="BR5" s="14" t="s">
        <v>265</v>
      </c>
    </row>
    <row r="6" customFormat="false" ht="15" hidden="false" customHeight="false" outlineLevel="0" collapsed="false">
      <c r="A6" s="17" t="str">
        <f aca="false">IF(B6="","",ROW()-5)</f>
        <v/>
      </c>
      <c r="B6" s="29" t="str">
        <f aca="false">IF(OR(BCC!B6="",BCC!D6&lt;&gt;"Thời vụ HAQT"),"",BCC!B6)</f>
        <v/>
      </c>
      <c r="C6" s="17" t="str">
        <f aca="false">IF(B6="","",BCC!C6)</f>
        <v/>
      </c>
      <c r="D6" s="17" t="str">
        <f aca="false">IF(B6="","",IFERROR(INDEX(NV_TO,MATCH(B6,NV_MA,0)),""))</f>
        <v/>
      </c>
      <c r="E6" s="17" t="str">
        <f aca="false">IF(B6="","",IFERROR(INDEX(NV_VT,MATCH(B6,NV_MA,0)),""))</f>
        <v/>
      </c>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17" t="str">
        <f aca="false">IF(B6="","",COUNTA(F6:AJ6))</f>
        <v/>
      </c>
      <c r="AL6" s="30" t="str">
        <f aca="false">IF(B6="","",SUM(AM6:BQ6))</f>
        <v/>
      </c>
      <c r="AM6" s="31" t="n">
        <f aca="false">IF(OR($B6="",F6=""),0,IF(AND($E6="Trưởng tổ",F6="x"),SUMIFS(KT_TRUONG,KT_LOAI,"Tổ",KT_TO,$D6,KT_NGAY,1),SUMIFS(KT_PHAN,KT_LOAI,"Tổ",KT_TO,IF(F6="x",$D6,F6),KT_NGAY,1)))</f>
        <v>0</v>
      </c>
      <c r="AN6" s="31" t="n">
        <f aca="false">IF(OR($B6="",G6=""),0,IF(AND($E6="Trưởng tổ",G6="x"),SUMIFS(KT_TRUONG,KT_LOAI,"Tổ",KT_TO,$D6,KT_NGAY,2),SUMIFS(KT_PHAN,KT_LOAI,"Tổ",KT_TO,IF(G6="x",$D6,G6),KT_NGAY,2)))</f>
        <v>0</v>
      </c>
      <c r="AO6" s="31" t="n">
        <f aca="false">IF(OR($B6="",H6=""),0,IF(AND($E6="Trưởng tổ",H6="x"),SUMIFS(KT_TRUONG,KT_LOAI,"Tổ",KT_TO,$D6,KT_NGAY,3),SUMIFS(KT_PHAN,KT_LOAI,"Tổ",KT_TO,IF(H6="x",$D6,H6),KT_NGAY,3)))</f>
        <v>0</v>
      </c>
      <c r="AP6" s="31" t="n">
        <f aca="false">IF(OR($B6="",I6=""),0,IF(AND($E6="Trưởng tổ",I6="x"),SUMIFS(KT_TRUONG,KT_LOAI,"Tổ",KT_TO,$D6,KT_NGAY,4),SUMIFS(KT_PHAN,KT_LOAI,"Tổ",KT_TO,IF(I6="x",$D6,I6),KT_NGAY,4)))</f>
        <v>0</v>
      </c>
      <c r="AQ6" s="31" t="n">
        <f aca="false">IF(OR($B6="",J6=""),0,IF(AND($E6="Trưởng tổ",J6="x"),SUMIFS(KT_TRUONG,KT_LOAI,"Tổ",KT_TO,$D6,KT_NGAY,5),SUMIFS(KT_PHAN,KT_LOAI,"Tổ",KT_TO,IF(J6="x",$D6,J6),KT_NGAY,5)))</f>
        <v>0</v>
      </c>
      <c r="AR6" s="31" t="n">
        <f aca="false">IF(OR($B6="",K6=""),0,IF(AND($E6="Trưởng tổ",K6="x"),SUMIFS(KT_TRUONG,KT_LOAI,"Tổ",KT_TO,$D6,KT_NGAY,6),SUMIFS(KT_PHAN,KT_LOAI,"Tổ",KT_TO,IF(K6="x",$D6,K6),KT_NGAY,6)))</f>
        <v>0</v>
      </c>
      <c r="AS6" s="31" t="n">
        <f aca="false">IF(OR($B6="",L6=""),0,IF(AND($E6="Trưởng tổ",L6="x"),SUMIFS(KT_TRUONG,KT_LOAI,"Tổ",KT_TO,$D6,KT_NGAY,7),SUMIFS(KT_PHAN,KT_LOAI,"Tổ",KT_TO,IF(L6="x",$D6,L6),KT_NGAY,7)))</f>
        <v>0</v>
      </c>
      <c r="AT6" s="31" t="n">
        <f aca="false">IF(OR($B6="",M6=""),0,IF(AND($E6="Trưởng tổ",M6="x"),SUMIFS(KT_TRUONG,KT_LOAI,"Tổ",KT_TO,$D6,KT_NGAY,8),SUMIFS(KT_PHAN,KT_LOAI,"Tổ",KT_TO,IF(M6="x",$D6,M6),KT_NGAY,8)))</f>
        <v>0</v>
      </c>
      <c r="AU6" s="31" t="n">
        <f aca="false">IF(OR($B6="",N6=""),0,IF(AND($E6="Trưởng tổ",N6="x"),SUMIFS(KT_TRUONG,KT_LOAI,"Tổ",KT_TO,$D6,KT_NGAY,9),SUMIFS(KT_PHAN,KT_LOAI,"Tổ",KT_TO,IF(N6="x",$D6,N6),KT_NGAY,9)))</f>
        <v>0</v>
      </c>
      <c r="AV6" s="31" t="n">
        <f aca="false">IF(OR($B6="",O6=""),0,IF(AND($E6="Trưởng tổ",O6="x"),SUMIFS(KT_TRUONG,KT_LOAI,"Tổ",KT_TO,$D6,KT_NGAY,10),SUMIFS(KT_PHAN,KT_LOAI,"Tổ",KT_TO,IF(O6="x",$D6,O6),KT_NGAY,10)))</f>
        <v>0</v>
      </c>
      <c r="AW6" s="31" t="n">
        <f aca="false">IF(OR($B6="",P6=""),0,IF(AND($E6="Trưởng tổ",P6="x"),SUMIFS(KT_TRUONG,KT_LOAI,"Tổ",KT_TO,$D6,KT_NGAY,11),SUMIFS(KT_PHAN,KT_LOAI,"Tổ",KT_TO,IF(P6="x",$D6,P6),KT_NGAY,11)))</f>
        <v>0</v>
      </c>
      <c r="AX6" s="31" t="n">
        <f aca="false">IF(OR($B6="",Q6=""),0,IF(AND($E6="Trưởng tổ",Q6="x"),SUMIFS(KT_TRUONG,KT_LOAI,"Tổ",KT_TO,$D6,KT_NGAY,12),SUMIFS(KT_PHAN,KT_LOAI,"Tổ",KT_TO,IF(Q6="x",$D6,Q6),KT_NGAY,12)))</f>
        <v>0</v>
      </c>
      <c r="AY6" s="31" t="n">
        <f aca="false">IF(OR($B6="",R6=""),0,IF(AND($E6="Trưởng tổ",R6="x"),SUMIFS(KT_TRUONG,KT_LOAI,"Tổ",KT_TO,$D6,KT_NGAY,13),SUMIFS(KT_PHAN,KT_LOAI,"Tổ",KT_TO,IF(R6="x",$D6,R6),KT_NGAY,13)))</f>
        <v>0</v>
      </c>
      <c r="AZ6" s="31" t="n">
        <f aca="false">IF(OR($B6="",S6=""),0,IF(AND($E6="Trưởng tổ",S6="x"),SUMIFS(KT_TRUONG,KT_LOAI,"Tổ",KT_TO,$D6,KT_NGAY,14),SUMIFS(KT_PHAN,KT_LOAI,"Tổ",KT_TO,IF(S6="x",$D6,S6),KT_NGAY,14)))</f>
        <v>0</v>
      </c>
      <c r="BA6" s="31" t="n">
        <f aca="false">IF(OR($B6="",T6=""),0,IF(AND($E6="Trưởng tổ",T6="x"),SUMIFS(KT_TRUONG,KT_LOAI,"Tổ",KT_TO,$D6,KT_NGAY,15),SUMIFS(KT_PHAN,KT_LOAI,"Tổ",KT_TO,IF(T6="x",$D6,T6),KT_NGAY,15)))</f>
        <v>0</v>
      </c>
      <c r="BB6" s="31" t="n">
        <f aca="false">IF(OR($B6="",U6=""),0,IF(AND($E6="Trưởng tổ",U6="x"),SUMIFS(KT_TRUONG,KT_LOAI,"Tổ",KT_TO,$D6,KT_NGAY,16),SUMIFS(KT_PHAN,KT_LOAI,"Tổ",KT_TO,IF(U6="x",$D6,U6),KT_NGAY,16)))</f>
        <v>0</v>
      </c>
      <c r="BC6" s="31" t="n">
        <f aca="false">IF(OR($B6="",V6=""),0,IF(AND($E6="Trưởng tổ",V6="x"),SUMIFS(KT_TRUONG,KT_LOAI,"Tổ",KT_TO,$D6,KT_NGAY,17),SUMIFS(KT_PHAN,KT_LOAI,"Tổ",KT_TO,IF(V6="x",$D6,V6),KT_NGAY,17)))</f>
        <v>0</v>
      </c>
      <c r="BD6" s="31" t="n">
        <f aca="false">IF(OR($B6="",W6=""),0,IF(AND($E6="Trưởng tổ",W6="x"),SUMIFS(KT_TRUONG,KT_LOAI,"Tổ",KT_TO,$D6,KT_NGAY,18),SUMIFS(KT_PHAN,KT_LOAI,"Tổ",KT_TO,IF(W6="x",$D6,W6),KT_NGAY,18)))</f>
        <v>0</v>
      </c>
      <c r="BE6" s="31" t="n">
        <f aca="false">IF(OR($B6="",X6=""),0,IF(AND($E6="Trưởng tổ",X6="x"),SUMIFS(KT_TRUONG,KT_LOAI,"Tổ",KT_TO,$D6,KT_NGAY,19),SUMIFS(KT_PHAN,KT_LOAI,"Tổ",KT_TO,IF(X6="x",$D6,X6),KT_NGAY,19)))</f>
        <v>0</v>
      </c>
      <c r="BF6" s="31" t="n">
        <f aca="false">IF(OR($B6="",Y6=""),0,IF(AND($E6="Trưởng tổ",Y6="x"),SUMIFS(KT_TRUONG,KT_LOAI,"Tổ",KT_TO,$D6,KT_NGAY,20),SUMIFS(KT_PHAN,KT_LOAI,"Tổ",KT_TO,IF(Y6="x",$D6,Y6),KT_NGAY,20)))</f>
        <v>0</v>
      </c>
      <c r="BG6" s="31" t="n">
        <f aca="false">IF(OR($B6="",Z6=""),0,IF(AND($E6="Trưởng tổ",Z6="x"),SUMIFS(KT_TRUONG,KT_LOAI,"Tổ",KT_TO,$D6,KT_NGAY,21),SUMIFS(KT_PHAN,KT_LOAI,"Tổ",KT_TO,IF(Z6="x",$D6,Z6),KT_NGAY,21)))</f>
        <v>0</v>
      </c>
      <c r="BH6" s="31" t="n">
        <f aca="false">IF(OR($B6="",AA6=""),0,IF(AND($E6="Trưởng tổ",AA6="x"),SUMIFS(KT_TRUONG,KT_LOAI,"Tổ",KT_TO,$D6,KT_NGAY,22),SUMIFS(KT_PHAN,KT_LOAI,"Tổ",KT_TO,IF(AA6="x",$D6,AA6),KT_NGAY,22)))</f>
        <v>0</v>
      </c>
      <c r="BI6" s="31" t="n">
        <f aca="false">IF(OR($B6="",AB6=""),0,IF(AND($E6="Trưởng tổ",AB6="x"),SUMIFS(KT_TRUONG,KT_LOAI,"Tổ",KT_TO,$D6,KT_NGAY,23),SUMIFS(KT_PHAN,KT_LOAI,"Tổ",KT_TO,IF(AB6="x",$D6,AB6),KT_NGAY,23)))</f>
        <v>0</v>
      </c>
      <c r="BJ6" s="31" t="n">
        <f aca="false">IF(OR($B6="",AC6=""),0,IF(AND($E6="Trưởng tổ",AC6="x"),SUMIFS(KT_TRUONG,KT_LOAI,"Tổ",KT_TO,$D6,KT_NGAY,24),SUMIFS(KT_PHAN,KT_LOAI,"Tổ",KT_TO,IF(AC6="x",$D6,AC6),KT_NGAY,24)))</f>
        <v>0</v>
      </c>
      <c r="BK6" s="31" t="n">
        <f aca="false">IF(OR($B6="",AD6=""),0,IF(AND($E6="Trưởng tổ",AD6="x"),SUMIFS(KT_TRUONG,KT_LOAI,"Tổ",KT_TO,$D6,KT_NGAY,25),SUMIFS(KT_PHAN,KT_LOAI,"Tổ",KT_TO,IF(AD6="x",$D6,AD6),KT_NGAY,25)))</f>
        <v>0</v>
      </c>
      <c r="BL6" s="31" t="n">
        <f aca="false">IF(OR($B6="",AE6=""),0,IF(AND($E6="Trưởng tổ",AE6="x"),SUMIFS(KT_TRUONG,KT_LOAI,"Tổ",KT_TO,$D6,KT_NGAY,26),SUMIFS(KT_PHAN,KT_LOAI,"Tổ",KT_TO,IF(AE6="x",$D6,AE6),KT_NGAY,26)))</f>
        <v>0</v>
      </c>
      <c r="BM6" s="31" t="n">
        <f aca="false">IF(OR($B6="",AF6=""),0,IF(AND($E6="Trưởng tổ",AF6="x"),SUMIFS(KT_TRUONG,KT_LOAI,"Tổ",KT_TO,$D6,KT_NGAY,27),SUMIFS(KT_PHAN,KT_LOAI,"Tổ",KT_TO,IF(AF6="x",$D6,AF6),KT_NGAY,27)))</f>
        <v>0</v>
      </c>
      <c r="BN6" s="31" t="n">
        <f aca="false">IF(OR($B6="",AG6=""),0,IF(AND($E6="Trưởng tổ",AG6="x"),SUMIFS(KT_TRUONG,KT_LOAI,"Tổ",KT_TO,$D6,KT_NGAY,28),SUMIFS(KT_PHAN,KT_LOAI,"Tổ",KT_TO,IF(AG6="x",$D6,AG6),KT_NGAY,28)))</f>
        <v>0</v>
      </c>
      <c r="BO6" s="31" t="n">
        <f aca="false">IF(OR($B6="",AH6=""),0,IF(AND($E6="Trưởng tổ",AH6="x"),SUMIFS(KT_TRUONG,KT_LOAI,"Tổ",KT_TO,$D6,KT_NGAY,29),SUMIFS(KT_PHAN,KT_LOAI,"Tổ",KT_TO,IF(AH6="x",$D6,AH6),KT_NGAY,29)))</f>
        <v>0</v>
      </c>
      <c r="BP6" s="31" t="n">
        <f aca="false">IF(OR($B6="",AI6=""),0,IF(AND($E6="Trưởng tổ",AI6="x"),SUMIFS(KT_TRUONG,KT_LOAI,"Tổ",KT_TO,$D6,KT_NGAY,30),SUMIFS(KT_PHAN,KT_LOAI,"Tổ",KT_TO,IF(AI6="x",$D6,AI6),KT_NGAY,30)))</f>
        <v>0</v>
      </c>
      <c r="BQ6" s="31" t="n">
        <f aca="false">IF(OR($B6="",AJ6=""),0,IF(AND($E6="Trưởng tổ",AJ6="x"),SUMIFS(KT_TRUONG,KT_LOAI,"Tổ",KT_TO,$D6,KT_NGAY,31),SUMIFS(KT_PHAN,KT_LOAI,"Tổ",KT_TO,IF(AJ6="x",$D6,AJ6),KT_NGAY,31)))</f>
        <v>0</v>
      </c>
    </row>
    <row r="7" customFormat="false" ht="15" hidden="false" customHeight="false" outlineLevel="0" collapsed="false">
      <c r="A7" s="17" t="str">
        <f aca="false">IF(B7="","",ROW()-5)</f>
        <v/>
      </c>
      <c r="B7" s="29" t="str">
        <f aca="false">IF(OR(BCC!B7="",BCC!D7&lt;&gt;"Thời vụ HAQT"),"",BCC!B7)</f>
        <v/>
      </c>
      <c r="C7" s="17" t="str">
        <f aca="false">IF(B7="","",BCC!C7)</f>
        <v/>
      </c>
      <c r="D7" s="17" t="str">
        <f aca="false">IF(B7="","",IFERROR(INDEX(NV_TO,MATCH(B7,NV_MA,0)),""))</f>
        <v/>
      </c>
      <c r="E7" s="17" t="str">
        <f aca="false">IF(B7="","",IFERROR(INDEX(NV_VT,MATCH(B7,NV_MA,0)),""))</f>
        <v/>
      </c>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17" t="str">
        <f aca="false">IF(B7="","",COUNTA(F7:AJ7))</f>
        <v/>
      </c>
      <c r="AL7" s="30" t="str">
        <f aca="false">IF(B7="","",SUM(AM7:BQ7))</f>
        <v/>
      </c>
      <c r="AM7" s="31" t="n">
        <f aca="false">IF(OR($B7="",F7=""),0,IF(AND($E7="Trưởng tổ",F7="x"),SUMIFS(KT_TRUONG,KT_LOAI,"Tổ",KT_TO,$D7,KT_NGAY,1),SUMIFS(KT_PHAN,KT_LOAI,"Tổ",KT_TO,IF(F7="x",$D7,F7),KT_NGAY,1)))</f>
        <v>0</v>
      </c>
      <c r="AN7" s="31" t="n">
        <f aca="false">IF(OR($B7="",G7=""),0,IF(AND($E7="Trưởng tổ",G7="x"),SUMIFS(KT_TRUONG,KT_LOAI,"Tổ",KT_TO,$D7,KT_NGAY,2),SUMIFS(KT_PHAN,KT_LOAI,"Tổ",KT_TO,IF(G7="x",$D7,G7),KT_NGAY,2)))</f>
        <v>0</v>
      </c>
      <c r="AO7" s="31" t="n">
        <f aca="false">IF(OR($B7="",H7=""),0,IF(AND($E7="Trưởng tổ",H7="x"),SUMIFS(KT_TRUONG,KT_LOAI,"Tổ",KT_TO,$D7,KT_NGAY,3),SUMIFS(KT_PHAN,KT_LOAI,"Tổ",KT_TO,IF(H7="x",$D7,H7),KT_NGAY,3)))</f>
        <v>0</v>
      </c>
      <c r="AP7" s="31" t="n">
        <f aca="false">IF(OR($B7="",I7=""),0,IF(AND($E7="Trưởng tổ",I7="x"),SUMIFS(KT_TRUONG,KT_LOAI,"Tổ",KT_TO,$D7,KT_NGAY,4),SUMIFS(KT_PHAN,KT_LOAI,"Tổ",KT_TO,IF(I7="x",$D7,I7),KT_NGAY,4)))</f>
        <v>0</v>
      </c>
      <c r="AQ7" s="31" t="n">
        <f aca="false">IF(OR($B7="",J7=""),0,IF(AND($E7="Trưởng tổ",J7="x"),SUMIFS(KT_TRUONG,KT_LOAI,"Tổ",KT_TO,$D7,KT_NGAY,5),SUMIFS(KT_PHAN,KT_LOAI,"Tổ",KT_TO,IF(J7="x",$D7,J7),KT_NGAY,5)))</f>
        <v>0</v>
      </c>
      <c r="AR7" s="31" t="n">
        <f aca="false">IF(OR($B7="",K7=""),0,IF(AND($E7="Trưởng tổ",K7="x"),SUMIFS(KT_TRUONG,KT_LOAI,"Tổ",KT_TO,$D7,KT_NGAY,6),SUMIFS(KT_PHAN,KT_LOAI,"Tổ",KT_TO,IF(K7="x",$D7,K7),KT_NGAY,6)))</f>
        <v>0</v>
      </c>
      <c r="AS7" s="31" t="n">
        <f aca="false">IF(OR($B7="",L7=""),0,IF(AND($E7="Trưởng tổ",L7="x"),SUMIFS(KT_TRUONG,KT_LOAI,"Tổ",KT_TO,$D7,KT_NGAY,7),SUMIFS(KT_PHAN,KT_LOAI,"Tổ",KT_TO,IF(L7="x",$D7,L7),KT_NGAY,7)))</f>
        <v>0</v>
      </c>
      <c r="AT7" s="31" t="n">
        <f aca="false">IF(OR($B7="",M7=""),0,IF(AND($E7="Trưởng tổ",M7="x"),SUMIFS(KT_TRUONG,KT_LOAI,"Tổ",KT_TO,$D7,KT_NGAY,8),SUMIFS(KT_PHAN,KT_LOAI,"Tổ",KT_TO,IF(M7="x",$D7,M7),KT_NGAY,8)))</f>
        <v>0</v>
      </c>
      <c r="AU7" s="31" t="n">
        <f aca="false">IF(OR($B7="",N7=""),0,IF(AND($E7="Trưởng tổ",N7="x"),SUMIFS(KT_TRUONG,KT_LOAI,"Tổ",KT_TO,$D7,KT_NGAY,9),SUMIFS(KT_PHAN,KT_LOAI,"Tổ",KT_TO,IF(N7="x",$D7,N7),KT_NGAY,9)))</f>
        <v>0</v>
      </c>
      <c r="AV7" s="31" t="n">
        <f aca="false">IF(OR($B7="",O7=""),0,IF(AND($E7="Trưởng tổ",O7="x"),SUMIFS(KT_TRUONG,KT_LOAI,"Tổ",KT_TO,$D7,KT_NGAY,10),SUMIFS(KT_PHAN,KT_LOAI,"Tổ",KT_TO,IF(O7="x",$D7,O7),KT_NGAY,10)))</f>
        <v>0</v>
      </c>
      <c r="AW7" s="31" t="n">
        <f aca="false">IF(OR($B7="",P7=""),0,IF(AND($E7="Trưởng tổ",P7="x"),SUMIFS(KT_TRUONG,KT_LOAI,"Tổ",KT_TO,$D7,KT_NGAY,11),SUMIFS(KT_PHAN,KT_LOAI,"Tổ",KT_TO,IF(P7="x",$D7,P7),KT_NGAY,11)))</f>
        <v>0</v>
      </c>
      <c r="AX7" s="31" t="n">
        <f aca="false">IF(OR($B7="",Q7=""),0,IF(AND($E7="Trưởng tổ",Q7="x"),SUMIFS(KT_TRUONG,KT_LOAI,"Tổ",KT_TO,$D7,KT_NGAY,12),SUMIFS(KT_PHAN,KT_LOAI,"Tổ",KT_TO,IF(Q7="x",$D7,Q7),KT_NGAY,12)))</f>
        <v>0</v>
      </c>
      <c r="AY7" s="31" t="n">
        <f aca="false">IF(OR($B7="",R7=""),0,IF(AND($E7="Trưởng tổ",R7="x"),SUMIFS(KT_TRUONG,KT_LOAI,"Tổ",KT_TO,$D7,KT_NGAY,13),SUMIFS(KT_PHAN,KT_LOAI,"Tổ",KT_TO,IF(R7="x",$D7,R7),KT_NGAY,13)))</f>
        <v>0</v>
      </c>
      <c r="AZ7" s="31" t="n">
        <f aca="false">IF(OR($B7="",S7=""),0,IF(AND($E7="Trưởng tổ",S7="x"),SUMIFS(KT_TRUONG,KT_LOAI,"Tổ",KT_TO,$D7,KT_NGAY,14),SUMIFS(KT_PHAN,KT_LOAI,"Tổ",KT_TO,IF(S7="x",$D7,S7),KT_NGAY,14)))</f>
        <v>0</v>
      </c>
      <c r="BA7" s="31" t="n">
        <f aca="false">IF(OR($B7="",T7=""),0,IF(AND($E7="Trưởng tổ",T7="x"),SUMIFS(KT_TRUONG,KT_LOAI,"Tổ",KT_TO,$D7,KT_NGAY,15),SUMIFS(KT_PHAN,KT_LOAI,"Tổ",KT_TO,IF(T7="x",$D7,T7),KT_NGAY,15)))</f>
        <v>0</v>
      </c>
      <c r="BB7" s="31" t="n">
        <f aca="false">IF(OR($B7="",U7=""),0,IF(AND($E7="Trưởng tổ",U7="x"),SUMIFS(KT_TRUONG,KT_LOAI,"Tổ",KT_TO,$D7,KT_NGAY,16),SUMIFS(KT_PHAN,KT_LOAI,"Tổ",KT_TO,IF(U7="x",$D7,U7),KT_NGAY,16)))</f>
        <v>0</v>
      </c>
      <c r="BC7" s="31" t="n">
        <f aca="false">IF(OR($B7="",V7=""),0,IF(AND($E7="Trưởng tổ",V7="x"),SUMIFS(KT_TRUONG,KT_LOAI,"Tổ",KT_TO,$D7,KT_NGAY,17),SUMIFS(KT_PHAN,KT_LOAI,"Tổ",KT_TO,IF(V7="x",$D7,V7),KT_NGAY,17)))</f>
        <v>0</v>
      </c>
      <c r="BD7" s="31" t="n">
        <f aca="false">IF(OR($B7="",W7=""),0,IF(AND($E7="Trưởng tổ",W7="x"),SUMIFS(KT_TRUONG,KT_LOAI,"Tổ",KT_TO,$D7,KT_NGAY,18),SUMIFS(KT_PHAN,KT_LOAI,"Tổ",KT_TO,IF(W7="x",$D7,W7),KT_NGAY,18)))</f>
        <v>0</v>
      </c>
      <c r="BE7" s="31" t="n">
        <f aca="false">IF(OR($B7="",X7=""),0,IF(AND($E7="Trưởng tổ",X7="x"),SUMIFS(KT_TRUONG,KT_LOAI,"Tổ",KT_TO,$D7,KT_NGAY,19),SUMIFS(KT_PHAN,KT_LOAI,"Tổ",KT_TO,IF(X7="x",$D7,X7),KT_NGAY,19)))</f>
        <v>0</v>
      </c>
      <c r="BF7" s="31" t="n">
        <f aca="false">IF(OR($B7="",Y7=""),0,IF(AND($E7="Trưởng tổ",Y7="x"),SUMIFS(KT_TRUONG,KT_LOAI,"Tổ",KT_TO,$D7,KT_NGAY,20),SUMIFS(KT_PHAN,KT_LOAI,"Tổ",KT_TO,IF(Y7="x",$D7,Y7),KT_NGAY,20)))</f>
        <v>0</v>
      </c>
      <c r="BG7" s="31" t="n">
        <f aca="false">IF(OR($B7="",Z7=""),0,IF(AND($E7="Trưởng tổ",Z7="x"),SUMIFS(KT_TRUONG,KT_LOAI,"Tổ",KT_TO,$D7,KT_NGAY,21),SUMIFS(KT_PHAN,KT_LOAI,"Tổ",KT_TO,IF(Z7="x",$D7,Z7),KT_NGAY,21)))</f>
        <v>0</v>
      </c>
      <c r="BH7" s="31" t="n">
        <f aca="false">IF(OR($B7="",AA7=""),0,IF(AND($E7="Trưởng tổ",AA7="x"),SUMIFS(KT_TRUONG,KT_LOAI,"Tổ",KT_TO,$D7,KT_NGAY,22),SUMIFS(KT_PHAN,KT_LOAI,"Tổ",KT_TO,IF(AA7="x",$D7,AA7),KT_NGAY,22)))</f>
        <v>0</v>
      </c>
      <c r="BI7" s="31" t="n">
        <f aca="false">IF(OR($B7="",AB7=""),0,IF(AND($E7="Trưởng tổ",AB7="x"),SUMIFS(KT_TRUONG,KT_LOAI,"Tổ",KT_TO,$D7,KT_NGAY,23),SUMIFS(KT_PHAN,KT_LOAI,"Tổ",KT_TO,IF(AB7="x",$D7,AB7),KT_NGAY,23)))</f>
        <v>0</v>
      </c>
      <c r="BJ7" s="31" t="n">
        <f aca="false">IF(OR($B7="",AC7=""),0,IF(AND($E7="Trưởng tổ",AC7="x"),SUMIFS(KT_TRUONG,KT_LOAI,"Tổ",KT_TO,$D7,KT_NGAY,24),SUMIFS(KT_PHAN,KT_LOAI,"Tổ",KT_TO,IF(AC7="x",$D7,AC7),KT_NGAY,24)))</f>
        <v>0</v>
      </c>
      <c r="BK7" s="31" t="n">
        <f aca="false">IF(OR($B7="",AD7=""),0,IF(AND($E7="Trưởng tổ",AD7="x"),SUMIFS(KT_TRUONG,KT_LOAI,"Tổ",KT_TO,$D7,KT_NGAY,25),SUMIFS(KT_PHAN,KT_LOAI,"Tổ",KT_TO,IF(AD7="x",$D7,AD7),KT_NGAY,25)))</f>
        <v>0</v>
      </c>
      <c r="BL7" s="31" t="n">
        <f aca="false">IF(OR($B7="",AE7=""),0,IF(AND($E7="Trưởng tổ",AE7="x"),SUMIFS(KT_TRUONG,KT_LOAI,"Tổ",KT_TO,$D7,KT_NGAY,26),SUMIFS(KT_PHAN,KT_LOAI,"Tổ",KT_TO,IF(AE7="x",$D7,AE7),KT_NGAY,26)))</f>
        <v>0</v>
      </c>
      <c r="BM7" s="31" t="n">
        <f aca="false">IF(OR($B7="",AF7=""),0,IF(AND($E7="Trưởng tổ",AF7="x"),SUMIFS(KT_TRUONG,KT_LOAI,"Tổ",KT_TO,$D7,KT_NGAY,27),SUMIFS(KT_PHAN,KT_LOAI,"Tổ",KT_TO,IF(AF7="x",$D7,AF7),KT_NGAY,27)))</f>
        <v>0</v>
      </c>
      <c r="BN7" s="31" t="n">
        <f aca="false">IF(OR($B7="",AG7=""),0,IF(AND($E7="Trưởng tổ",AG7="x"),SUMIFS(KT_TRUONG,KT_LOAI,"Tổ",KT_TO,$D7,KT_NGAY,28),SUMIFS(KT_PHAN,KT_LOAI,"Tổ",KT_TO,IF(AG7="x",$D7,AG7),KT_NGAY,28)))</f>
        <v>0</v>
      </c>
      <c r="BO7" s="31" t="n">
        <f aca="false">IF(OR($B7="",AH7=""),0,IF(AND($E7="Trưởng tổ",AH7="x"),SUMIFS(KT_TRUONG,KT_LOAI,"Tổ",KT_TO,$D7,KT_NGAY,29),SUMIFS(KT_PHAN,KT_LOAI,"Tổ",KT_TO,IF(AH7="x",$D7,AH7),KT_NGAY,29)))</f>
        <v>0</v>
      </c>
      <c r="BP7" s="31" t="n">
        <f aca="false">IF(OR($B7="",AI7=""),0,IF(AND($E7="Trưởng tổ",AI7="x"),SUMIFS(KT_TRUONG,KT_LOAI,"Tổ",KT_TO,$D7,KT_NGAY,30),SUMIFS(KT_PHAN,KT_LOAI,"Tổ",KT_TO,IF(AI7="x",$D7,AI7),KT_NGAY,30)))</f>
        <v>0</v>
      </c>
      <c r="BQ7" s="31" t="n">
        <f aca="false">IF(OR($B7="",AJ7=""),0,IF(AND($E7="Trưởng tổ",AJ7="x"),SUMIFS(KT_TRUONG,KT_LOAI,"Tổ",KT_TO,$D7,KT_NGAY,31),SUMIFS(KT_PHAN,KT_LOAI,"Tổ",KT_TO,IF(AJ7="x",$D7,AJ7),KT_NGAY,31)))</f>
        <v>0</v>
      </c>
    </row>
    <row r="8" customFormat="false" ht="15" hidden="false" customHeight="false" outlineLevel="0" collapsed="false">
      <c r="A8" s="17" t="str">
        <f aca="false">IF(B8="","",ROW()-5)</f>
        <v/>
      </c>
      <c r="B8" s="29" t="str">
        <f aca="false">IF(OR(BCC!B8="",BCC!D8&lt;&gt;"Thời vụ HAQT"),"",BCC!B8)</f>
        <v/>
      </c>
      <c r="C8" s="17" t="str">
        <f aca="false">IF(B8="","",BCC!C8)</f>
        <v/>
      </c>
      <c r="D8" s="17" t="str">
        <f aca="false">IF(B8="","",IFERROR(INDEX(NV_TO,MATCH(B8,NV_MA,0)),""))</f>
        <v/>
      </c>
      <c r="E8" s="17" t="str">
        <f aca="false">IF(B8="","",IFERROR(INDEX(NV_VT,MATCH(B8,NV_MA,0)),""))</f>
        <v/>
      </c>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17" t="str">
        <f aca="false">IF(B8="","",COUNTA(F8:AJ8))</f>
        <v/>
      </c>
      <c r="AL8" s="30" t="str">
        <f aca="false">IF(B8="","",SUM(AM8:BQ8))</f>
        <v/>
      </c>
      <c r="AM8" s="31" t="n">
        <f aca="false">IF(OR($B8="",F8=""),0,IF(AND($E8="Trưởng tổ",F8="x"),SUMIFS(KT_TRUONG,KT_LOAI,"Tổ",KT_TO,$D8,KT_NGAY,1),SUMIFS(KT_PHAN,KT_LOAI,"Tổ",KT_TO,IF(F8="x",$D8,F8),KT_NGAY,1)))</f>
        <v>0</v>
      </c>
      <c r="AN8" s="31" t="n">
        <f aca="false">IF(OR($B8="",G8=""),0,IF(AND($E8="Trưởng tổ",G8="x"),SUMIFS(KT_TRUONG,KT_LOAI,"Tổ",KT_TO,$D8,KT_NGAY,2),SUMIFS(KT_PHAN,KT_LOAI,"Tổ",KT_TO,IF(G8="x",$D8,G8),KT_NGAY,2)))</f>
        <v>0</v>
      </c>
      <c r="AO8" s="31" t="n">
        <f aca="false">IF(OR($B8="",H8=""),0,IF(AND($E8="Trưởng tổ",H8="x"),SUMIFS(KT_TRUONG,KT_LOAI,"Tổ",KT_TO,$D8,KT_NGAY,3),SUMIFS(KT_PHAN,KT_LOAI,"Tổ",KT_TO,IF(H8="x",$D8,H8),KT_NGAY,3)))</f>
        <v>0</v>
      </c>
      <c r="AP8" s="31" t="n">
        <f aca="false">IF(OR($B8="",I8=""),0,IF(AND($E8="Trưởng tổ",I8="x"),SUMIFS(KT_TRUONG,KT_LOAI,"Tổ",KT_TO,$D8,KT_NGAY,4),SUMIFS(KT_PHAN,KT_LOAI,"Tổ",KT_TO,IF(I8="x",$D8,I8),KT_NGAY,4)))</f>
        <v>0</v>
      </c>
      <c r="AQ8" s="31" t="n">
        <f aca="false">IF(OR($B8="",J8=""),0,IF(AND($E8="Trưởng tổ",J8="x"),SUMIFS(KT_TRUONG,KT_LOAI,"Tổ",KT_TO,$D8,KT_NGAY,5),SUMIFS(KT_PHAN,KT_LOAI,"Tổ",KT_TO,IF(J8="x",$D8,J8),KT_NGAY,5)))</f>
        <v>0</v>
      </c>
      <c r="AR8" s="31" t="n">
        <f aca="false">IF(OR($B8="",K8=""),0,IF(AND($E8="Trưởng tổ",K8="x"),SUMIFS(KT_TRUONG,KT_LOAI,"Tổ",KT_TO,$D8,KT_NGAY,6),SUMIFS(KT_PHAN,KT_LOAI,"Tổ",KT_TO,IF(K8="x",$D8,K8),KT_NGAY,6)))</f>
        <v>0</v>
      </c>
      <c r="AS8" s="31" t="n">
        <f aca="false">IF(OR($B8="",L8=""),0,IF(AND($E8="Trưởng tổ",L8="x"),SUMIFS(KT_TRUONG,KT_LOAI,"Tổ",KT_TO,$D8,KT_NGAY,7),SUMIFS(KT_PHAN,KT_LOAI,"Tổ",KT_TO,IF(L8="x",$D8,L8),KT_NGAY,7)))</f>
        <v>0</v>
      </c>
      <c r="AT8" s="31" t="n">
        <f aca="false">IF(OR($B8="",M8=""),0,IF(AND($E8="Trưởng tổ",M8="x"),SUMIFS(KT_TRUONG,KT_LOAI,"Tổ",KT_TO,$D8,KT_NGAY,8),SUMIFS(KT_PHAN,KT_LOAI,"Tổ",KT_TO,IF(M8="x",$D8,M8),KT_NGAY,8)))</f>
        <v>0</v>
      </c>
      <c r="AU8" s="31" t="n">
        <f aca="false">IF(OR($B8="",N8=""),0,IF(AND($E8="Trưởng tổ",N8="x"),SUMIFS(KT_TRUONG,KT_LOAI,"Tổ",KT_TO,$D8,KT_NGAY,9),SUMIFS(KT_PHAN,KT_LOAI,"Tổ",KT_TO,IF(N8="x",$D8,N8),KT_NGAY,9)))</f>
        <v>0</v>
      </c>
      <c r="AV8" s="31" t="n">
        <f aca="false">IF(OR($B8="",O8=""),0,IF(AND($E8="Trưởng tổ",O8="x"),SUMIFS(KT_TRUONG,KT_LOAI,"Tổ",KT_TO,$D8,KT_NGAY,10),SUMIFS(KT_PHAN,KT_LOAI,"Tổ",KT_TO,IF(O8="x",$D8,O8),KT_NGAY,10)))</f>
        <v>0</v>
      </c>
      <c r="AW8" s="31" t="n">
        <f aca="false">IF(OR($B8="",P8=""),0,IF(AND($E8="Trưởng tổ",P8="x"),SUMIFS(KT_TRUONG,KT_LOAI,"Tổ",KT_TO,$D8,KT_NGAY,11),SUMIFS(KT_PHAN,KT_LOAI,"Tổ",KT_TO,IF(P8="x",$D8,P8),KT_NGAY,11)))</f>
        <v>0</v>
      </c>
      <c r="AX8" s="31" t="n">
        <f aca="false">IF(OR($B8="",Q8=""),0,IF(AND($E8="Trưởng tổ",Q8="x"),SUMIFS(KT_TRUONG,KT_LOAI,"Tổ",KT_TO,$D8,KT_NGAY,12),SUMIFS(KT_PHAN,KT_LOAI,"Tổ",KT_TO,IF(Q8="x",$D8,Q8),KT_NGAY,12)))</f>
        <v>0</v>
      </c>
      <c r="AY8" s="31" t="n">
        <f aca="false">IF(OR($B8="",R8=""),0,IF(AND($E8="Trưởng tổ",R8="x"),SUMIFS(KT_TRUONG,KT_LOAI,"Tổ",KT_TO,$D8,KT_NGAY,13),SUMIFS(KT_PHAN,KT_LOAI,"Tổ",KT_TO,IF(R8="x",$D8,R8),KT_NGAY,13)))</f>
        <v>0</v>
      </c>
      <c r="AZ8" s="31" t="n">
        <f aca="false">IF(OR($B8="",S8=""),0,IF(AND($E8="Trưởng tổ",S8="x"),SUMIFS(KT_TRUONG,KT_LOAI,"Tổ",KT_TO,$D8,KT_NGAY,14),SUMIFS(KT_PHAN,KT_LOAI,"Tổ",KT_TO,IF(S8="x",$D8,S8),KT_NGAY,14)))</f>
        <v>0</v>
      </c>
      <c r="BA8" s="31" t="n">
        <f aca="false">IF(OR($B8="",T8=""),0,IF(AND($E8="Trưởng tổ",T8="x"),SUMIFS(KT_TRUONG,KT_LOAI,"Tổ",KT_TO,$D8,KT_NGAY,15),SUMIFS(KT_PHAN,KT_LOAI,"Tổ",KT_TO,IF(T8="x",$D8,T8),KT_NGAY,15)))</f>
        <v>0</v>
      </c>
      <c r="BB8" s="31" t="n">
        <f aca="false">IF(OR($B8="",U8=""),0,IF(AND($E8="Trưởng tổ",U8="x"),SUMIFS(KT_TRUONG,KT_LOAI,"Tổ",KT_TO,$D8,KT_NGAY,16),SUMIFS(KT_PHAN,KT_LOAI,"Tổ",KT_TO,IF(U8="x",$D8,U8),KT_NGAY,16)))</f>
        <v>0</v>
      </c>
      <c r="BC8" s="31" t="n">
        <f aca="false">IF(OR($B8="",V8=""),0,IF(AND($E8="Trưởng tổ",V8="x"),SUMIFS(KT_TRUONG,KT_LOAI,"Tổ",KT_TO,$D8,KT_NGAY,17),SUMIFS(KT_PHAN,KT_LOAI,"Tổ",KT_TO,IF(V8="x",$D8,V8),KT_NGAY,17)))</f>
        <v>0</v>
      </c>
      <c r="BD8" s="31" t="n">
        <f aca="false">IF(OR($B8="",W8=""),0,IF(AND($E8="Trưởng tổ",W8="x"),SUMIFS(KT_TRUONG,KT_LOAI,"Tổ",KT_TO,$D8,KT_NGAY,18),SUMIFS(KT_PHAN,KT_LOAI,"Tổ",KT_TO,IF(W8="x",$D8,W8),KT_NGAY,18)))</f>
        <v>0</v>
      </c>
      <c r="BE8" s="31" t="n">
        <f aca="false">IF(OR($B8="",X8=""),0,IF(AND($E8="Trưởng tổ",X8="x"),SUMIFS(KT_TRUONG,KT_LOAI,"Tổ",KT_TO,$D8,KT_NGAY,19),SUMIFS(KT_PHAN,KT_LOAI,"Tổ",KT_TO,IF(X8="x",$D8,X8),KT_NGAY,19)))</f>
        <v>0</v>
      </c>
      <c r="BF8" s="31" t="n">
        <f aca="false">IF(OR($B8="",Y8=""),0,IF(AND($E8="Trưởng tổ",Y8="x"),SUMIFS(KT_TRUONG,KT_LOAI,"Tổ",KT_TO,$D8,KT_NGAY,20),SUMIFS(KT_PHAN,KT_LOAI,"Tổ",KT_TO,IF(Y8="x",$D8,Y8),KT_NGAY,20)))</f>
        <v>0</v>
      </c>
      <c r="BG8" s="31" t="n">
        <f aca="false">IF(OR($B8="",Z8=""),0,IF(AND($E8="Trưởng tổ",Z8="x"),SUMIFS(KT_TRUONG,KT_LOAI,"Tổ",KT_TO,$D8,KT_NGAY,21),SUMIFS(KT_PHAN,KT_LOAI,"Tổ",KT_TO,IF(Z8="x",$D8,Z8),KT_NGAY,21)))</f>
        <v>0</v>
      </c>
      <c r="BH8" s="31" t="n">
        <f aca="false">IF(OR($B8="",AA8=""),0,IF(AND($E8="Trưởng tổ",AA8="x"),SUMIFS(KT_TRUONG,KT_LOAI,"Tổ",KT_TO,$D8,KT_NGAY,22),SUMIFS(KT_PHAN,KT_LOAI,"Tổ",KT_TO,IF(AA8="x",$D8,AA8),KT_NGAY,22)))</f>
        <v>0</v>
      </c>
      <c r="BI8" s="31" t="n">
        <f aca="false">IF(OR($B8="",AB8=""),0,IF(AND($E8="Trưởng tổ",AB8="x"),SUMIFS(KT_TRUONG,KT_LOAI,"Tổ",KT_TO,$D8,KT_NGAY,23),SUMIFS(KT_PHAN,KT_LOAI,"Tổ",KT_TO,IF(AB8="x",$D8,AB8),KT_NGAY,23)))</f>
        <v>0</v>
      </c>
      <c r="BJ8" s="31" t="n">
        <f aca="false">IF(OR($B8="",AC8=""),0,IF(AND($E8="Trưởng tổ",AC8="x"),SUMIFS(KT_TRUONG,KT_LOAI,"Tổ",KT_TO,$D8,KT_NGAY,24),SUMIFS(KT_PHAN,KT_LOAI,"Tổ",KT_TO,IF(AC8="x",$D8,AC8),KT_NGAY,24)))</f>
        <v>0</v>
      </c>
      <c r="BK8" s="31" t="n">
        <f aca="false">IF(OR($B8="",AD8=""),0,IF(AND($E8="Trưởng tổ",AD8="x"),SUMIFS(KT_TRUONG,KT_LOAI,"Tổ",KT_TO,$D8,KT_NGAY,25),SUMIFS(KT_PHAN,KT_LOAI,"Tổ",KT_TO,IF(AD8="x",$D8,AD8),KT_NGAY,25)))</f>
        <v>0</v>
      </c>
      <c r="BL8" s="31" t="n">
        <f aca="false">IF(OR($B8="",AE8=""),0,IF(AND($E8="Trưởng tổ",AE8="x"),SUMIFS(KT_TRUONG,KT_LOAI,"Tổ",KT_TO,$D8,KT_NGAY,26),SUMIFS(KT_PHAN,KT_LOAI,"Tổ",KT_TO,IF(AE8="x",$D8,AE8),KT_NGAY,26)))</f>
        <v>0</v>
      </c>
      <c r="BM8" s="31" t="n">
        <f aca="false">IF(OR($B8="",AF8=""),0,IF(AND($E8="Trưởng tổ",AF8="x"),SUMIFS(KT_TRUONG,KT_LOAI,"Tổ",KT_TO,$D8,KT_NGAY,27),SUMIFS(KT_PHAN,KT_LOAI,"Tổ",KT_TO,IF(AF8="x",$D8,AF8),KT_NGAY,27)))</f>
        <v>0</v>
      </c>
      <c r="BN8" s="31" t="n">
        <f aca="false">IF(OR($B8="",AG8=""),0,IF(AND($E8="Trưởng tổ",AG8="x"),SUMIFS(KT_TRUONG,KT_LOAI,"Tổ",KT_TO,$D8,KT_NGAY,28),SUMIFS(KT_PHAN,KT_LOAI,"Tổ",KT_TO,IF(AG8="x",$D8,AG8),KT_NGAY,28)))</f>
        <v>0</v>
      </c>
      <c r="BO8" s="31" t="n">
        <f aca="false">IF(OR($B8="",AH8=""),0,IF(AND($E8="Trưởng tổ",AH8="x"),SUMIFS(KT_TRUONG,KT_LOAI,"Tổ",KT_TO,$D8,KT_NGAY,29),SUMIFS(KT_PHAN,KT_LOAI,"Tổ",KT_TO,IF(AH8="x",$D8,AH8),KT_NGAY,29)))</f>
        <v>0</v>
      </c>
      <c r="BP8" s="31" t="n">
        <f aca="false">IF(OR($B8="",AI8=""),0,IF(AND($E8="Trưởng tổ",AI8="x"),SUMIFS(KT_TRUONG,KT_LOAI,"Tổ",KT_TO,$D8,KT_NGAY,30),SUMIFS(KT_PHAN,KT_LOAI,"Tổ",KT_TO,IF(AI8="x",$D8,AI8),KT_NGAY,30)))</f>
        <v>0</v>
      </c>
      <c r="BQ8" s="31" t="n">
        <f aca="false">IF(OR($B8="",AJ8=""),0,IF(AND($E8="Trưởng tổ",AJ8="x"),SUMIFS(KT_TRUONG,KT_LOAI,"Tổ",KT_TO,$D8,KT_NGAY,31),SUMIFS(KT_PHAN,KT_LOAI,"Tổ",KT_TO,IF(AJ8="x",$D8,AJ8),KT_NGAY,31)))</f>
        <v>0</v>
      </c>
    </row>
    <row r="9" customFormat="false" ht="15" hidden="false" customHeight="false" outlineLevel="0" collapsed="false">
      <c r="A9" s="17" t="str">
        <f aca="false">IF(B9="","",ROW()-5)</f>
        <v/>
      </c>
      <c r="B9" s="29" t="str">
        <f aca="false">IF(OR(BCC!B9="",BCC!D9&lt;&gt;"Thời vụ HAQT"),"",BCC!B9)</f>
        <v/>
      </c>
      <c r="C9" s="17" t="str">
        <f aca="false">IF(B9="","",BCC!C9)</f>
        <v/>
      </c>
      <c r="D9" s="17" t="str">
        <f aca="false">IF(B9="","",IFERROR(INDEX(NV_TO,MATCH(B9,NV_MA,0)),""))</f>
        <v/>
      </c>
      <c r="E9" s="17" t="str">
        <f aca="false">IF(B9="","",IFERROR(INDEX(NV_VT,MATCH(B9,NV_MA,0)),""))</f>
        <v/>
      </c>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17" t="str">
        <f aca="false">IF(B9="","",COUNTA(F9:AJ9))</f>
        <v/>
      </c>
      <c r="AL9" s="30" t="str">
        <f aca="false">IF(B9="","",SUM(AM9:BQ9))</f>
        <v/>
      </c>
      <c r="AM9" s="31" t="n">
        <f aca="false">IF(OR($B9="",F9=""),0,IF(AND($E9="Trưởng tổ",F9="x"),SUMIFS(KT_TRUONG,KT_LOAI,"Tổ",KT_TO,$D9,KT_NGAY,1),SUMIFS(KT_PHAN,KT_LOAI,"Tổ",KT_TO,IF(F9="x",$D9,F9),KT_NGAY,1)))</f>
        <v>0</v>
      </c>
      <c r="AN9" s="31" t="n">
        <f aca="false">IF(OR($B9="",G9=""),0,IF(AND($E9="Trưởng tổ",G9="x"),SUMIFS(KT_TRUONG,KT_LOAI,"Tổ",KT_TO,$D9,KT_NGAY,2),SUMIFS(KT_PHAN,KT_LOAI,"Tổ",KT_TO,IF(G9="x",$D9,G9),KT_NGAY,2)))</f>
        <v>0</v>
      </c>
      <c r="AO9" s="31" t="n">
        <f aca="false">IF(OR($B9="",H9=""),0,IF(AND($E9="Trưởng tổ",H9="x"),SUMIFS(KT_TRUONG,KT_LOAI,"Tổ",KT_TO,$D9,KT_NGAY,3),SUMIFS(KT_PHAN,KT_LOAI,"Tổ",KT_TO,IF(H9="x",$D9,H9),KT_NGAY,3)))</f>
        <v>0</v>
      </c>
      <c r="AP9" s="31" t="n">
        <f aca="false">IF(OR($B9="",I9=""),0,IF(AND($E9="Trưởng tổ",I9="x"),SUMIFS(KT_TRUONG,KT_LOAI,"Tổ",KT_TO,$D9,KT_NGAY,4),SUMIFS(KT_PHAN,KT_LOAI,"Tổ",KT_TO,IF(I9="x",$D9,I9),KT_NGAY,4)))</f>
        <v>0</v>
      </c>
      <c r="AQ9" s="31" t="n">
        <f aca="false">IF(OR($B9="",J9=""),0,IF(AND($E9="Trưởng tổ",J9="x"),SUMIFS(KT_TRUONG,KT_LOAI,"Tổ",KT_TO,$D9,KT_NGAY,5),SUMIFS(KT_PHAN,KT_LOAI,"Tổ",KT_TO,IF(J9="x",$D9,J9),KT_NGAY,5)))</f>
        <v>0</v>
      </c>
      <c r="AR9" s="31" t="n">
        <f aca="false">IF(OR($B9="",K9=""),0,IF(AND($E9="Trưởng tổ",K9="x"),SUMIFS(KT_TRUONG,KT_LOAI,"Tổ",KT_TO,$D9,KT_NGAY,6),SUMIFS(KT_PHAN,KT_LOAI,"Tổ",KT_TO,IF(K9="x",$D9,K9),KT_NGAY,6)))</f>
        <v>0</v>
      </c>
      <c r="AS9" s="31" t="n">
        <f aca="false">IF(OR($B9="",L9=""),0,IF(AND($E9="Trưởng tổ",L9="x"),SUMIFS(KT_TRUONG,KT_LOAI,"Tổ",KT_TO,$D9,KT_NGAY,7),SUMIFS(KT_PHAN,KT_LOAI,"Tổ",KT_TO,IF(L9="x",$D9,L9),KT_NGAY,7)))</f>
        <v>0</v>
      </c>
      <c r="AT9" s="31" t="n">
        <f aca="false">IF(OR($B9="",M9=""),0,IF(AND($E9="Trưởng tổ",M9="x"),SUMIFS(KT_TRUONG,KT_LOAI,"Tổ",KT_TO,$D9,KT_NGAY,8),SUMIFS(KT_PHAN,KT_LOAI,"Tổ",KT_TO,IF(M9="x",$D9,M9),KT_NGAY,8)))</f>
        <v>0</v>
      </c>
      <c r="AU9" s="31" t="n">
        <f aca="false">IF(OR($B9="",N9=""),0,IF(AND($E9="Trưởng tổ",N9="x"),SUMIFS(KT_TRUONG,KT_LOAI,"Tổ",KT_TO,$D9,KT_NGAY,9),SUMIFS(KT_PHAN,KT_LOAI,"Tổ",KT_TO,IF(N9="x",$D9,N9),KT_NGAY,9)))</f>
        <v>0</v>
      </c>
      <c r="AV9" s="31" t="n">
        <f aca="false">IF(OR($B9="",O9=""),0,IF(AND($E9="Trưởng tổ",O9="x"),SUMIFS(KT_TRUONG,KT_LOAI,"Tổ",KT_TO,$D9,KT_NGAY,10),SUMIFS(KT_PHAN,KT_LOAI,"Tổ",KT_TO,IF(O9="x",$D9,O9),KT_NGAY,10)))</f>
        <v>0</v>
      </c>
      <c r="AW9" s="31" t="n">
        <f aca="false">IF(OR($B9="",P9=""),0,IF(AND($E9="Trưởng tổ",P9="x"),SUMIFS(KT_TRUONG,KT_LOAI,"Tổ",KT_TO,$D9,KT_NGAY,11),SUMIFS(KT_PHAN,KT_LOAI,"Tổ",KT_TO,IF(P9="x",$D9,P9),KT_NGAY,11)))</f>
        <v>0</v>
      </c>
      <c r="AX9" s="31" t="n">
        <f aca="false">IF(OR($B9="",Q9=""),0,IF(AND($E9="Trưởng tổ",Q9="x"),SUMIFS(KT_TRUONG,KT_LOAI,"Tổ",KT_TO,$D9,KT_NGAY,12),SUMIFS(KT_PHAN,KT_LOAI,"Tổ",KT_TO,IF(Q9="x",$D9,Q9),KT_NGAY,12)))</f>
        <v>0</v>
      </c>
      <c r="AY9" s="31" t="n">
        <f aca="false">IF(OR($B9="",R9=""),0,IF(AND($E9="Trưởng tổ",R9="x"),SUMIFS(KT_TRUONG,KT_LOAI,"Tổ",KT_TO,$D9,KT_NGAY,13),SUMIFS(KT_PHAN,KT_LOAI,"Tổ",KT_TO,IF(R9="x",$D9,R9),KT_NGAY,13)))</f>
        <v>0</v>
      </c>
      <c r="AZ9" s="31" t="n">
        <f aca="false">IF(OR($B9="",S9=""),0,IF(AND($E9="Trưởng tổ",S9="x"),SUMIFS(KT_TRUONG,KT_LOAI,"Tổ",KT_TO,$D9,KT_NGAY,14),SUMIFS(KT_PHAN,KT_LOAI,"Tổ",KT_TO,IF(S9="x",$D9,S9),KT_NGAY,14)))</f>
        <v>0</v>
      </c>
      <c r="BA9" s="31" t="n">
        <f aca="false">IF(OR($B9="",T9=""),0,IF(AND($E9="Trưởng tổ",T9="x"),SUMIFS(KT_TRUONG,KT_LOAI,"Tổ",KT_TO,$D9,KT_NGAY,15),SUMIFS(KT_PHAN,KT_LOAI,"Tổ",KT_TO,IF(T9="x",$D9,T9),KT_NGAY,15)))</f>
        <v>0</v>
      </c>
      <c r="BB9" s="31" t="n">
        <f aca="false">IF(OR($B9="",U9=""),0,IF(AND($E9="Trưởng tổ",U9="x"),SUMIFS(KT_TRUONG,KT_LOAI,"Tổ",KT_TO,$D9,KT_NGAY,16),SUMIFS(KT_PHAN,KT_LOAI,"Tổ",KT_TO,IF(U9="x",$D9,U9),KT_NGAY,16)))</f>
        <v>0</v>
      </c>
      <c r="BC9" s="31" t="n">
        <f aca="false">IF(OR($B9="",V9=""),0,IF(AND($E9="Trưởng tổ",V9="x"),SUMIFS(KT_TRUONG,KT_LOAI,"Tổ",KT_TO,$D9,KT_NGAY,17),SUMIFS(KT_PHAN,KT_LOAI,"Tổ",KT_TO,IF(V9="x",$D9,V9),KT_NGAY,17)))</f>
        <v>0</v>
      </c>
      <c r="BD9" s="31" t="n">
        <f aca="false">IF(OR($B9="",W9=""),0,IF(AND($E9="Trưởng tổ",W9="x"),SUMIFS(KT_TRUONG,KT_LOAI,"Tổ",KT_TO,$D9,KT_NGAY,18),SUMIFS(KT_PHAN,KT_LOAI,"Tổ",KT_TO,IF(W9="x",$D9,W9),KT_NGAY,18)))</f>
        <v>0</v>
      </c>
      <c r="BE9" s="31" t="n">
        <f aca="false">IF(OR($B9="",X9=""),0,IF(AND($E9="Trưởng tổ",X9="x"),SUMIFS(KT_TRUONG,KT_LOAI,"Tổ",KT_TO,$D9,KT_NGAY,19),SUMIFS(KT_PHAN,KT_LOAI,"Tổ",KT_TO,IF(X9="x",$D9,X9),KT_NGAY,19)))</f>
        <v>0</v>
      </c>
      <c r="BF9" s="31" t="n">
        <f aca="false">IF(OR($B9="",Y9=""),0,IF(AND($E9="Trưởng tổ",Y9="x"),SUMIFS(KT_TRUONG,KT_LOAI,"Tổ",KT_TO,$D9,KT_NGAY,20),SUMIFS(KT_PHAN,KT_LOAI,"Tổ",KT_TO,IF(Y9="x",$D9,Y9),KT_NGAY,20)))</f>
        <v>0</v>
      </c>
      <c r="BG9" s="31" t="n">
        <f aca="false">IF(OR($B9="",Z9=""),0,IF(AND($E9="Trưởng tổ",Z9="x"),SUMIFS(KT_TRUONG,KT_LOAI,"Tổ",KT_TO,$D9,KT_NGAY,21),SUMIFS(KT_PHAN,KT_LOAI,"Tổ",KT_TO,IF(Z9="x",$D9,Z9),KT_NGAY,21)))</f>
        <v>0</v>
      </c>
      <c r="BH9" s="31" t="n">
        <f aca="false">IF(OR($B9="",AA9=""),0,IF(AND($E9="Trưởng tổ",AA9="x"),SUMIFS(KT_TRUONG,KT_LOAI,"Tổ",KT_TO,$D9,KT_NGAY,22),SUMIFS(KT_PHAN,KT_LOAI,"Tổ",KT_TO,IF(AA9="x",$D9,AA9),KT_NGAY,22)))</f>
        <v>0</v>
      </c>
      <c r="BI9" s="31" t="n">
        <f aca="false">IF(OR($B9="",AB9=""),0,IF(AND($E9="Trưởng tổ",AB9="x"),SUMIFS(KT_TRUONG,KT_LOAI,"Tổ",KT_TO,$D9,KT_NGAY,23),SUMIFS(KT_PHAN,KT_LOAI,"Tổ",KT_TO,IF(AB9="x",$D9,AB9),KT_NGAY,23)))</f>
        <v>0</v>
      </c>
      <c r="BJ9" s="31" t="n">
        <f aca="false">IF(OR($B9="",AC9=""),0,IF(AND($E9="Trưởng tổ",AC9="x"),SUMIFS(KT_TRUONG,KT_LOAI,"Tổ",KT_TO,$D9,KT_NGAY,24),SUMIFS(KT_PHAN,KT_LOAI,"Tổ",KT_TO,IF(AC9="x",$D9,AC9),KT_NGAY,24)))</f>
        <v>0</v>
      </c>
      <c r="BK9" s="31" t="n">
        <f aca="false">IF(OR($B9="",AD9=""),0,IF(AND($E9="Trưởng tổ",AD9="x"),SUMIFS(KT_TRUONG,KT_LOAI,"Tổ",KT_TO,$D9,KT_NGAY,25),SUMIFS(KT_PHAN,KT_LOAI,"Tổ",KT_TO,IF(AD9="x",$D9,AD9),KT_NGAY,25)))</f>
        <v>0</v>
      </c>
      <c r="BL9" s="31" t="n">
        <f aca="false">IF(OR($B9="",AE9=""),0,IF(AND($E9="Trưởng tổ",AE9="x"),SUMIFS(KT_TRUONG,KT_LOAI,"Tổ",KT_TO,$D9,KT_NGAY,26),SUMIFS(KT_PHAN,KT_LOAI,"Tổ",KT_TO,IF(AE9="x",$D9,AE9),KT_NGAY,26)))</f>
        <v>0</v>
      </c>
      <c r="BM9" s="31" t="n">
        <f aca="false">IF(OR($B9="",AF9=""),0,IF(AND($E9="Trưởng tổ",AF9="x"),SUMIFS(KT_TRUONG,KT_LOAI,"Tổ",KT_TO,$D9,KT_NGAY,27),SUMIFS(KT_PHAN,KT_LOAI,"Tổ",KT_TO,IF(AF9="x",$D9,AF9),KT_NGAY,27)))</f>
        <v>0</v>
      </c>
      <c r="BN9" s="31" t="n">
        <f aca="false">IF(OR($B9="",AG9=""),0,IF(AND($E9="Trưởng tổ",AG9="x"),SUMIFS(KT_TRUONG,KT_LOAI,"Tổ",KT_TO,$D9,KT_NGAY,28),SUMIFS(KT_PHAN,KT_LOAI,"Tổ",KT_TO,IF(AG9="x",$D9,AG9),KT_NGAY,28)))</f>
        <v>0</v>
      </c>
      <c r="BO9" s="31" t="n">
        <f aca="false">IF(OR($B9="",AH9=""),0,IF(AND($E9="Trưởng tổ",AH9="x"),SUMIFS(KT_TRUONG,KT_LOAI,"Tổ",KT_TO,$D9,KT_NGAY,29),SUMIFS(KT_PHAN,KT_LOAI,"Tổ",KT_TO,IF(AH9="x",$D9,AH9),KT_NGAY,29)))</f>
        <v>0</v>
      </c>
      <c r="BP9" s="31" t="n">
        <f aca="false">IF(OR($B9="",AI9=""),0,IF(AND($E9="Trưởng tổ",AI9="x"),SUMIFS(KT_TRUONG,KT_LOAI,"Tổ",KT_TO,$D9,KT_NGAY,30),SUMIFS(KT_PHAN,KT_LOAI,"Tổ",KT_TO,IF(AI9="x",$D9,AI9),KT_NGAY,30)))</f>
        <v>0</v>
      </c>
      <c r="BQ9" s="31" t="n">
        <f aca="false">IF(OR($B9="",AJ9=""),0,IF(AND($E9="Trưởng tổ",AJ9="x"),SUMIFS(KT_TRUONG,KT_LOAI,"Tổ",KT_TO,$D9,KT_NGAY,31),SUMIFS(KT_PHAN,KT_LOAI,"Tổ",KT_TO,IF(AJ9="x",$D9,AJ9),KT_NGAY,31)))</f>
        <v>0</v>
      </c>
    </row>
    <row r="10" customFormat="false" ht="15" hidden="false" customHeight="false" outlineLevel="0" collapsed="false">
      <c r="A10" s="17" t="str">
        <f aca="false">IF(B10="","",ROW()-5)</f>
        <v/>
      </c>
      <c r="B10" s="29" t="str">
        <f aca="false">IF(OR(BCC!B10="",BCC!D10&lt;&gt;"Thời vụ HAQT"),"",BCC!B10)</f>
        <v/>
      </c>
      <c r="C10" s="17" t="str">
        <f aca="false">IF(B10="","",BCC!C10)</f>
        <v/>
      </c>
      <c r="D10" s="17" t="str">
        <f aca="false">IF(B10="","",IFERROR(INDEX(NV_TO,MATCH(B10,NV_MA,0)),""))</f>
        <v/>
      </c>
      <c r="E10" s="17" t="str">
        <f aca="false">IF(B10="","",IFERROR(INDEX(NV_VT,MATCH(B10,NV_MA,0)),""))</f>
        <v/>
      </c>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17" t="str">
        <f aca="false">IF(B10="","",COUNTA(F10:AJ10))</f>
        <v/>
      </c>
      <c r="AL10" s="30" t="str">
        <f aca="false">IF(B10="","",SUM(AM10:BQ10))</f>
        <v/>
      </c>
      <c r="AM10" s="31" t="n">
        <f aca="false">IF(OR($B10="",F10=""),0,IF(AND($E10="Trưởng tổ",F10="x"),SUMIFS(KT_TRUONG,KT_LOAI,"Tổ",KT_TO,$D10,KT_NGAY,1),SUMIFS(KT_PHAN,KT_LOAI,"Tổ",KT_TO,IF(F10="x",$D10,F10),KT_NGAY,1)))</f>
        <v>0</v>
      </c>
      <c r="AN10" s="31" t="n">
        <f aca="false">IF(OR($B10="",G10=""),0,IF(AND($E10="Trưởng tổ",G10="x"),SUMIFS(KT_TRUONG,KT_LOAI,"Tổ",KT_TO,$D10,KT_NGAY,2),SUMIFS(KT_PHAN,KT_LOAI,"Tổ",KT_TO,IF(G10="x",$D10,G10),KT_NGAY,2)))</f>
        <v>0</v>
      </c>
      <c r="AO10" s="31" t="n">
        <f aca="false">IF(OR($B10="",H10=""),0,IF(AND($E10="Trưởng tổ",H10="x"),SUMIFS(KT_TRUONG,KT_LOAI,"Tổ",KT_TO,$D10,KT_NGAY,3),SUMIFS(KT_PHAN,KT_LOAI,"Tổ",KT_TO,IF(H10="x",$D10,H10),KT_NGAY,3)))</f>
        <v>0</v>
      </c>
      <c r="AP10" s="31" t="n">
        <f aca="false">IF(OR($B10="",I10=""),0,IF(AND($E10="Trưởng tổ",I10="x"),SUMIFS(KT_TRUONG,KT_LOAI,"Tổ",KT_TO,$D10,KT_NGAY,4),SUMIFS(KT_PHAN,KT_LOAI,"Tổ",KT_TO,IF(I10="x",$D10,I10),KT_NGAY,4)))</f>
        <v>0</v>
      </c>
      <c r="AQ10" s="31" t="n">
        <f aca="false">IF(OR($B10="",J10=""),0,IF(AND($E10="Trưởng tổ",J10="x"),SUMIFS(KT_TRUONG,KT_LOAI,"Tổ",KT_TO,$D10,KT_NGAY,5),SUMIFS(KT_PHAN,KT_LOAI,"Tổ",KT_TO,IF(J10="x",$D10,J10),KT_NGAY,5)))</f>
        <v>0</v>
      </c>
      <c r="AR10" s="31" t="n">
        <f aca="false">IF(OR($B10="",K10=""),0,IF(AND($E10="Trưởng tổ",K10="x"),SUMIFS(KT_TRUONG,KT_LOAI,"Tổ",KT_TO,$D10,KT_NGAY,6),SUMIFS(KT_PHAN,KT_LOAI,"Tổ",KT_TO,IF(K10="x",$D10,K10),KT_NGAY,6)))</f>
        <v>0</v>
      </c>
      <c r="AS10" s="31" t="n">
        <f aca="false">IF(OR($B10="",L10=""),0,IF(AND($E10="Trưởng tổ",L10="x"),SUMIFS(KT_TRUONG,KT_LOAI,"Tổ",KT_TO,$D10,KT_NGAY,7),SUMIFS(KT_PHAN,KT_LOAI,"Tổ",KT_TO,IF(L10="x",$D10,L10),KT_NGAY,7)))</f>
        <v>0</v>
      </c>
      <c r="AT10" s="31" t="n">
        <f aca="false">IF(OR($B10="",M10=""),0,IF(AND($E10="Trưởng tổ",M10="x"),SUMIFS(KT_TRUONG,KT_LOAI,"Tổ",KT_TO,$D10,KT_NGAY,8),SUMIFS(KT_PHAN,KT_LOAI,"Tổ",KT_TO,IF(M10="x",$D10,M10),KT_NGAY,8)))</f>
        <v>0</v>
      </c>
      <c r="AU10" s="31" t="n">
        <f aca="false">IF(OR($B10="",N10=""),0,IF(AND($E10="Trưởng tổ",N10="x"),SUMIFS(KT_TRUONG,KT_LOAI,"Tổ",KT_TO,$D10,KT_NGAY,9),SUMIFS(KT_PHAN,KT_LOAI,"Tổ",KT_TO,IF(N10="x",$D10,N10),KT_NGAY,9)))</f>
        <v>0</v>
      </c>
      <c r="AV10" s="31" t="n">
        <f aca="false">IF(OR($B10="",O10=""),0,IF(AND($E10="Trưởng tổ",O10="x"),SUMIFS(KT_TRUONG,KT_LOAI,"Tổ",KT_TO,$D10,KT_NGAY,10),SUMIFS(KT_PHAN,KT_LOAI,"Tổ",KT_TO,IF(O10="x",$D10,O10),KT_NGAY,10)))</f>
        <v>0</v>
      </c>
      <c r="AW10" s="31" t="n">
        <f aca="false">IF(OR($B10="",P10=""),0,IF(AND($E10="Trưởng tổ",P10="x"),SUMIFS(KT_TRUONG,KT_LOAI,"Tổ",KT_TO,$D10,KT_NGAY,11),SUMIFS(KT_PHAN,KT_LOAI,"Tổ",KT_TO,IF(P10="x",$D10,P10),KT_NGAY,11)))</f>
        <v>0</v>
      </c>
      <c r="AX10" s="31" t="n">
        <f aca="false">IF(OR($B10="",Q10=""),0,IF(AND($E10="Trưởng tổ",Q10="x"),SUMIFS(KT_TRUONG,KT_LOAI,"Tổ",KT_TO,$D10,KT_NGAY,12),SUMIFS(KT_PHAN,KT_LOAI,"Tổ",KT_TO,IF(Q10="x",$D10,Q10),KT_NGAY,12)))</f>
        <v>0</v>
      </c>
      <c r="AY10" s="31" t="n">
        <f aca="false">IF(OR($B10="",R10=""),0,IF(AND($E10="Trưởng tổ",R10="x"),SUMIFS(KT_TRUONG,KT_LOAI,"Tổ",KT_TO,$D10,KT_NGAY,13),SUMIFS(KT_PHAN,KT_LOAI,"Tổ",KT_TO,IF(R10="x",$D10,R10),KT_NGAY,13)))</f>
        <v>0</v>
      </c>
      <c r="AZ10" s="31" t="n">
        <f aca="false">IF(OR($B10="",S10=""),0,IF(AND($E10="Trưởng tổ",S10="x"),SUMIFS(KT_TRUONG,KT_LOAI,"Tổ",KT_TO,$D10,KT_NGAY,14),SUMIFS(KT_PHAN,KT_LOAI,"Tổ",KT_TO,IF(S10="x",$D10,S10),KT_NGAY,14)))</f>
        <v>0</v>
      </c>
      <c r="BA10" s="31" t="n">
        <f aca="false">IF(OR($B10="",T10=""),0,IF(AND($E10="Trưởng tổ",T10="x"),SUMIFS(KT_TRUONG,KT_LOAI,"Tổ",KT_TO,$D10,KT_NGAY,15),SUMIFS(KT_PHAN,KT_LOAI,"Tổ",KT_TO,IF(T10="x",$D10,T10),KT_NGAY,15)))</f>
        <v>0</v>
      </c>
      <c r="BB10" s="31" t="n">
        <f aca="false">IF(OR($B10="",U10=""),0,IF(AND($E10="Trưởng tổ",U10="x"),SUMIFS(KT_TRUONG,KT_LOAI,"Tổ",KT_TO,$D10,KT_NGAY,16),SUMIFS(KT_PHAN,KT_LOAI,"Tổ",KT_TO,IF(U10="x",$D10,U10),KT_NGAY,16)))</f>
        <v>0</v>
      </c>
      <c r="BC10" s="31" t="n">
        <f aca="false">IF(OR($B10="",V10=""),0,IF(AND($E10="Trưởng tổ",V10="x"),SUMIFS(KT_TRUONG,KT_LOAI,"Tổ",KT_TO,$D10,KT_NGAY,17),SUMIFS(KT_PHAN,KT_LOAI,"Tổ",KT_TO,IF(V10="x",$D10,V10),KT_NGAY,17)))</f>
        <v>0</v>
      </c>
      <c r="BD10" s="31" t="n">
        <f aca="false">IF(OR($B10="",W10=""),0,IF(AND($E10="Trưởng tổ",W10="x"),SUMIFS(KT_TRUONG,KT_LOAI,"Tổ",KT_TO,$D10,KT_NGAY,18),SUMIFS(KT_PHAN,KT_LOAI,"Tổ",KT_TO,IF(W10="x",$D10,W10),KT_NGAY,18)))</f>
        <v>0</v>
      </c>
      <c r="BE10" s="31" t="n">
        <f aca="false">IF(OR($B10="",X10=""),0,IF(AND($E10="Trưởng tổ",X10="x"),SUMIFS(KT_TRUONG,KT_LOAI,"Tổ",KT_TO,$D10,KT_NGAY,19),SUMIFS(KT_PHAN,KT_LOAI,"Tổ",KT_TO,IF(X10="x",$D10,X10),KT_NGAY,19)))</f>
        <v>0</v>
      </c>
      <c r="BF10" s="31" t="n">
        <f aca="false">IF(OR($B10="",Y10=""),0,IF(AND($E10="Trưởng tổ",Y10="x"),SUMIFS(KT_TRUONG,KT_LOAI,"Tổ",KT_TO,$D10,KT_NGAY,20),SUMIFS(KT_PHAN,KT_LOAI,"Tổ",KT_TO,IF(Y10="x",$D10,Y10),KT_NGAY,20)))</f>
        <v>0</v>
      </c>
      <c r="BG10" s="31" t="n">
        <f aca="false">IF(OR($B10="",Z10=""),0,IF(AND($E10="Trưởng tổ",Z10="x"),SUMIFS(KT_TRUONG,KT_LOAI,"Tổ",KT_TO,$D10,KT_NGAY,21),SUMIFS(KT_PHAN,KT_LOAI,"Tổ",KT_TO,IF(Z10="x",$D10,Z10),KT_NGAY,21)))</f>
        <v>0</v>
      </c>
      <c r="BH10" s="31" t="n">
        <f aca="false">IF(OR($B10="",AA10=""),0,IF(AND($E10="Trưởng tổ",AA10="x"),SUMIFS(KT_TRUONG,KT_LOAI,"Tổ",KT_TO,$D10,KT_NGAY,22),SUMIFS(KT_PHAN,KT_LOAI,"Tổ",KT_TO,IF(AA10="x",$D10,AA10),KT_NGAY,22)))</f>
        <v>0</v>
      </c>
      <c r="BI10" s="31" t="n">
        <f aca="false">IF(OR($B10="",AB10=""),0,IF(AND($E10="Trưởng tổ",AB10="x"),SUMIFS(KT_TRUONG,KT_LOAI,"Tổ",KT_TO,$D10,KT_NGAY,23),SUMIFS(KT_PHAN,KT_LOAI,"Tổ",KT_TO,IF(AB10="x",$D10,AB10),KT_NGAY,23)))</f>
        <v>0</v>
      </c>
      <c r="BJ10" s="31" t="n">
        <f aca="false">IF(OR($B10="",AC10=""),0,IF(AND($E10="Trưởng tổ",AC10="x"),SUMIFS(KT_TRUONG,KT_LOAI,"Tổ",KT_TO,$D10,KT_NGAY,24),SUMIFS(KT_PHAN,KT_LOAI,"Tổ",KT_TO,IF(AC10="x",$D10,AC10),KT_NGAY,24)))</f>
        <v>0</v>
      </c>
      <c r="BK10" s="31" t="n">
        <f aca="false">IF(OR($B10="",AD10=""),0,IF(AND($E10="Trưởng tổ",AD10="x"),SUMIFS(KT_TRUONG,KT_LOAI,"Tổ",KT_TO,$D10,KT_NGAY,25),SUMIFS(KT_PHAN,KT_LOAI,"Tổ",KT_TO,IF(AD10="x",$D10,AD10),KT_NGAY,25)))</f>
        <v>0</v>
      </c>
      <c r="BL10" s="31" t="n">
        <f aca="false">IF(OR($B10="",AE10=""),0,IF(AND($E10="Trưởng tổ",AE10="x"),SUMIFS(KT_TRUONG,KT_LOAI,"Tổ",KT_TO,$D10,KT_NGAY,26),SUMIFS(KT_PHAN,KT_LOAI,"Tổ",KT_TO,IF(AE10="x",$D10,AE10),KT_NGAY,26)))</f>
        <v>0</v>
      </c>
      <c r="BM10" s="31" t="n">
        <f aca="false">IF(OR($B10="",AF10=""),0,IF(AND($E10="Trưởng tổ",AF10="x"),SUMIFS(KT_TRUONG,KT_LOAI,"Tổ",KT_TO,$D10,KT_NGAY,27),SUMIFS(KT_PHAN,KT_LOAI,"Tổ",KT_TO,IF(AF10="x",$D10,AF10),KT_NGAY,27)))</f>
        <v>0</v>
      </c>
      <c r="BN10" s="31" t="n">
        <f aca="false">IF(OR($B10="",AG10=""),0,IF(AND($E10="Trưởng tổ",AG10="x"),SUMIFS(KT_TRUONG,KT_LOAI,"Tổ",KT_TO,$D10,KT_NGAY,28),SUMIFS(KT_PHAN,KT_LOAI,"Tổ",KT_TO,IF(AG10="x",$D10,AG10),KT_NGAY,28)))</f>
        <v>0</v>
      </c>
      <c r="BO10" s="31" t="n">
        <f aca="false">IF(OR($B10="",AH10=""),0,IF(AND($E10="Trưởng tổ",AH10="x"),SUMIFS(KT_TRUONG,KT_LOAI,"Tổ",KT_TO,$D10,KT_NGAY,29),SUMIFS(KT_PHAN,KT_LOAI,"Tổ",KT_TO,IF(AH10="x",$D10,AH10),KT_NGAY,29)))</f>
        <v>0</v>
      </c>
      <c r="BP10" s="31" t="n">
        <f aca="false">IF(OR($B10="",AI10=""),0,IF(AND($E10="Trưởng tổ",AI10="x"),SUMIFS(KT_TRUONG,KT_LOAI,"Tổ",KT_TO,$D10,KT_NGAY,30),SUMIFS(KT_PHAN,KT_LOAI,"Tổ",KT_TO,IF(AI10="x",$D10,AI10),KT_NGAY,30)))</f>
        <v>0</v>
      </c>
      <c r="BQ10" s="31" t="n">
        <f aca="false">IF(OR($B10="",AJ10=""),0,IF(AND($E10="Trưởng tổ",AJ10="x"),SUMIFS(KT_TRUONG,KT_LOAI,"Tổ",KT_TO,$D10,KT_NGAY,31),SUMIFS(KT_PHAN,KT_LOAI,"Tổ",KT_TO,IF(AJ10="x",$D10,AJ10),KT_NGAY,31)))</f>
        <v>0</v>
      </c>
    </row>
    <row r="11" customFormat="false" ht="15" hidden="false" customHeight="false" outlineLevel="0" collapsed="false">
      <c r="A11" s="17" t="str">
        <f aca="false">IF(B11="","",ROW()-5)</f>
        <v/>
      </c>
      <c r="B11" s="29" t="str">
        <f aca="false">IF(OR(BCC!B11="",BCC!D11&lt;&gt;"Thời vụ HAQT"),"",BCC!B11)</f>
        <v/>
      </c>
      <c r="C11" s="17" t="str">
        <f aca="false">IF(B11="","",BCC!C11)</f>
        <v/>
      </c>
      <c r="D11" s="17" t="str">
        <f aca="false">IF(B11="","",IFERROR(INDEX(NV_TO,MATCH(B11,NV_MA,0)),""))</f>
        <v/>
      </c>
      <c r="E11" s="17" t="str">
        <f aca="false">IF(B11="","",IFERROR(INDEX(NV_VT,MATCH(B11,NV_MA,0)),""))</f>
        <v/>
      </c>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17" t="str">
        <f aca="false">IF(B11="","",COUNTA(F11:AJ11))</f>
        <v/>
      </c>
      <c r="AL11" s="30" t="str">
        <f aca="false">IF(B11="","",SUM(AM11:BQ11))</f>
        <v/>
      </c>
      <c r="AM11" s="31" t="n">
        <f aca="false">IF(OR($B11="",F11=""),0,IF(AND($E11="Trưởng tổ",F11="x"),SUMIFS(KT_TRUONG,KT_LOAI,"Tổ",KT_TO,$D11,KT_NGAY,1),SUMIFS(KT_PHAN,KT_LOAI,"Tổ",KT_TO,IF(F11="x",$D11,F11),KT_NGAY,1)))</f>
        <v>0</v>
      </c>
      <c r="AN11" s="31" t="n">
        <f aca="false">IF(OR($B11="",G11=""),0,IF(AND($E11="Trưởng tổ",G11="x"),SUMIFS(KT_TRUONG,KT_LOAI,"Tổ",KT_TO,$D11,KT_NGAY,2),SUMIFS(KT_PHAN,KT_LOAI,"Tổ",KT_TO,IF(G11="x",$D11,G11),KT_NGAY,2)))</f>
        <v>0</v>
      </c>
      <c r="AO11" s="31" t="n">
        <f aca="false">IF(OR($B11="",H11=""),0,IF(AND($E11="Trưởng tổ",H11="x"),SUMIFS(KT_TRUONG,KT_LOAI,"Tổ",KT_TO,$D11,KT_NGAY,3),SUMIFS(KT_PHAN,KT_LOAI,"Tổ",KT_TO,IF(H11="x",$D11,H11),KT_NGAY,3)))</f>
        <v>0</v>
      </c>
      <c r="AP11" s="31" t="n">
        <f aca="false">IF(OR($B11="",I11=""),0,IF(AND($E11="Trưởng tổ",I11="x"),SUMIFS(KT_TRUONG,KT_LOAI,"Tổ",KT_TO,$D11,KT_NGAY,4),SUMIFS(KT_PHAN,KT_LOAI,"Tổ",KT_TO,IF(I11="x",$D11,I11),KT_NGAY,4)))</f>
        <v>0</v>
      </c>
      <c r="AQ11" s="31" t="n">
        <f aca="false">IF(OR($B11="",J11=""),0,IF(AND($E11="Trưởng tổ",J11="x"),SUMIFS(KT_TRUONG,KT_LOAI,"Tổ",KT_TO,$D11,KT_NGAY,5),SUMIFS(KT_PHAN,KT_LOAI,"Tổ",KT_TO,IF(J11="x",$D11,J11),KT_NGAY,5)))</f>
        <v>0</v>
      </c>
      <c r="AR11" s="31" t="n">
        <f aca="false">IF(OR($B11="",K11=""),0,IF(AND($E11="Trưởng tổ",K11="x"),SUMIFS(KT_TRUONG,KT_LOAI,"Tổ",KT_TO,$D11,KT_NGAY,6),SUMIFS(KT_PHAN,KT_LOAI,"Tổ",KT_TO,IF(K11="x",$D11,K11),KT_NGAY,6)))</f>
        <v>0</v>
      </c>
      <c r="AS11" s="31" t="n">
        <f aca="false">IF(OR($B11="",L11=""),0,IF(AND($E11="Trưởng tổ",L11="x"),SUMIFS(KT_TRUONG,KT_LOAI,"Tổ",KT_TO,$D11,KT_NGAY,7),SUMIFS(KT_PHAN,KT_LOAI,"Tổ",KT_TO,IF(L11="x",$D11,L11),KT_NGAY,7)))</f>
        <v>0</v>
      </c>
      <c r="AT11" s="31" t="n">
        <f aca="false">IF(OR($B11="",M11=""),0,IF(AND($E11="Trưởng tổ",M11="x"),SUMIFS(KT_TRUONG,KT_LOAI,"Tổ",KT_TO,$D11,KT_NGAY,8),SUMIFS(KT_PHAN,KT_LOAI,"Tổ",KT_TO,IF(M11="x",$D11,M11),KT_NGAY,8)))</f>
        <v>0</v>
      </c>
      <c r="AU11" s="31" t="n">
        <f aca="false">IF(OR($B11="",N11=""),0,IF(AND($E11="Trưởng tổ",N11="x"),SUMIFS(KT_TRUONG,KT_LOAI,"Tổ",KT_TO,$D11,KT_NGAY,9),SUMIFS(KT_PHAN,KT_LOAI,"Tổ",KT_TO,IF(N11="x",$D11,N11),KT_NGAY,9)))</f>
        <v>0</v>
      </c>
      <c r="AV11" s="31" t="n">
        <f aca="false">IF(OR($B11="",O11=""),0,IF(AND($E11="Trưởng tổ",O11="x"),SUMIFS(KT_TRUONG,KT_LOAI,"Tổ",KT_TO,$D11,KT_NGAY,10),SUMIFS(KT_PHAN,KT_LOAI,"Tổ",KT_TO,IF(O11="x",$D11,O11),KT_NGAY,10)))</f>
        <v>0</v>
      </c>
      <c r="AW11" s="31" t="n">
        <f aca="false">IF(OR($B11="",P11=""),0,IF(AND($E11="Trưởng tổ",P11="x"),SUMIFS(KT_TRUONG,KT_LOAI,"Tổ",KT_TO,$D11,KT_NGAY,11),SUMIFS(KT_PHAN,KT_LOAI,"Tổ",KT_TO,IF(P11="x",$D11,P11),KT_NGAY,11)))</f>
        <v>0</v>
      </c>
      <c r="AX11" s="31" t="n">
        <f aca="false">IF(OR($B11="",Q11=""),0,IF(AND($E11="Trưởng tổ",Q11="x"),SUMIFS(KT_TRUONG,KT_LOAI,"Tổ",KT_TO,$D11,KT_NGAY,12),SUMIFS(KT_PHAN,KT_LOAI,"Tổ",KT_TO,IF(Q11="x",$D11,Q11),KT_NGAY,12)))</f>
        <v>0</v>
      </c>
      <c r="AY11" s="31" t="n">
        <f aca="false">IF(OR($B11="",R11=""),0,IF(AND($E11="Trưởng tổ",R11="x"),SUMIFS(KT_TRUONG,KT_LOAI,"Tổ",KT_TO,$D11,KT_NGAY,13),SUMIFS(KT_PHAN,KT_LOAI,"Tổ",KT_TO,IF(R11="x",$D11,R11),KT_NGAY,13)))</f>
        <v>0</v>
      </c>
      <c r="AZ11" s="31" t="n">
        <f aca="false">IF(OR($B11="",S11=""),0,IF(AND($E11="Trưởng tổ",S11="x"),SUMIFS(KT_TRUONG,KT_LOAI,"Tổ",KT_TO,$D11,KT_NGAY,14),SUMIFS(KT_PHAN,KT_LOAI,"Tổ",KT_TO,IF(S11="x",$D11,S11),KT_NGAY,14)))</f>
        <v>0</v>
      </c>
      <c r="BA11" s="31" t="n">
        <f aca="false">IF(OR($B11="",T11=""),0,IF(AND($E11="Trưởng tổ",T11="x"),SUMIFS(KT_TRUONG,KT_LOAI,"Tổ",KT_TO,$D11,KT_NGAY,15),SUMIFS(KT_PHAN,KT_LOAI,"Tổ",KT_TO,IF(T11="x",$D11,T11),KT_NGAY,15)))</f>
        <v>0</v>
      </c>
      <c r="BB11" s="31" t="n">
        <f aca="false">IF(OR($B11="",U11=""),0,IF(AND($E11="Trưởng tổ",U11="x"),SUMIFS(KT_TRUONG,KT_LOAI,"Tổ",KT_TO,$D11,KT_NGAY,16),SUMIFS(KT_PHAN,KT_LOAI,"Tổ",KT_TO,IF(U11="x",$D11,U11),KT_NGAY,16)))</f>
        <v>0</v>
      </c>
      <c r="BC11" s="31" t="n">
        <f aca="false">IF(OR($B11="",V11=""),0,IF(AND($E11="Trưởng tổ",V11="x"),SUMIFS(KT_TRUONG,KT_LOAI,"Tổ",KT_TO,$D11,KT_NGAY,17),SUMIFS(KT_PHAN,KT_LOAI,"Tổ",KT_TO,IF(V11="x",$D11,V11),KT_NGAY,17)))</f>
        <v>0</v>
      </c>
      <c r="BD11" s="31" t="n">
        <f aca="false">IF(OR($B11="",W11=""),0,IF(AND($E11="Trưởng tổ",W11="x"),SUMIFS(KT_TRUONG,KT_LOAI,"Tổ",KT_TO,$D11,KT_NGAY,18),SUMIFS(KT_PHAN,KT_LOAI,"Tổ",KT_TO,IF(W11="x",$D11,W11),KT_NGAY,18)))</f>
        <v>0</v>
      </c>
      <c r="BE11" s="31" t="n">
        <f aca="false">IF(OR($B11="",X11=""),0,IF(AND($E11="Trưởng tổ",X11="x"),SUMIFS(KT_TRUONG,KT_LOAI,"Tổ",KT_TO,$D11,KT_NGAY,19),SUMIFS(KT_PHAN,KT_LOAI,"Tổ",KT_TO,IF(X11="x",$D11,X11),KT_NGAY,19)))</f>
        <v>0</v>
      </c>
      <c r="BF11" s="31" t="n">
        <f aca="false">IF(OR($B11="",Y11=""),0,IF(AND($E11="Trưởng tổ",Y11="x"),SUMIFS(KT_TRUONG,KT_LOAI,"Tổ",KT_TO,$D11,KT_NGAY,20),SUMIFS(KT_PHAN,KT_LOAI,"Tổ",KT_TO,IF(Y11="x",$D11,Y11),KT_NGAY,20)))</f>
        <v>0</v>
      </c>
      <c r="BG11" s="31" t="n">
        <f aca="false">IF(OR($B11="",Z11=""),0,IF(AND($E11="Trưởng tổ",Z11="x"),SUMIFS(KT_TRUONG,KT_LOAI,"Tổ",KT_TO,$D11,KT_NGAY,21),SUMIFS(KT_PHAN,KT_LOAI,"Tổ",KT_TO,IF(Z11="x",$D11,Z11),KT_NGAY,21)))</f>
        <v>0</v>
      </c>
      <c r="BH11" s="31" t="n">
        <f aca="false">IF(OR($B11="",AA11=""),0,IF(AND($E11="Trưởng tổ",AA11="x"),SUMIFS(KT_TRUONG,KT_LOAI,"Tổ",KT_TO,$D11,KT_NGAY,22),SUMIFS(KT_PHAN,KT_LOAI,"Tổ",KT_TO,IF(AA11="x",$D11,AA11),KT_NGAY,22)))</f>
        <v>0</v>
      </c>
      <c r="BI11" s="31" t="n">
        <f aca="false">IF(OR($B11="",AB11=""),0,IF(AND($E11="Trưởng tổ",AB11="x"),SUMIFS(KT_TRUONG,KT_LOAI,"Tổ",KT_TO,$D11,KT_NGAY,23),SUMIFS(KT_PHAN,KT_LOAI,"Tổ",KT_TO,IF(AB11="x",$D11,AB11),KT_NGAY,23)))</f>
        <v>0</v>
      </c>
      <c r="BJ11" s="31" t="n">
        <f aca="false">IF(OR($B11="",AC11=""),0,IF(AND($E11="Trưởng tổ",AC11="x"),SUMIFS(KT_TRUONG,KT_LOAI,"Tổ",KT_TO,$D11,KT_NGAY,24),SUMIFS(KT_PHAN,KT_LOAI,"Tổ",KT_TO,IF(AC11="x",$D11,AC11),KT_NGAY,24)))</f>
        <v>0</v>
      </c>
      <c r="BK11" s="31" t="n">
        <f aca="false">IF(OR($B11="",AD11=""),0,IF(AND($E11="Trưởng tổ",AD11="x"),SUMIFS(KT_TRUONG,KT_LOAI,"Tổ",KT_TO,$D11,KT_NGAY,25),SUMIFS(KT_PHAN,KT_LOAI,"Tổ",KT_TO,IF(AD11="x",$D11,AD11),KT_NGAY,25)))</f>
        <v>0</v>
      </c>
      <c r="BL11" s="31" t="n">
        <f aca="false">IF(OR($B11="",AE11=""),0,IF(AND($E11="Trưởng tổ",AE11="x"),SUMIFS(KT_TRUONG,KT_LOAI,"Tổ",KT_TO,$D11,KT_NGAY,26),SUMIFS(KT_PHAN,KT_LOAI,"Tổ",KT_TO,IF(AE11="x",$D11,AE11),KT_NGAY,26)))</f>
        <v>0</v>
      </c>
      <c r="BM11" s="31" t="n">
        <f aca="false">IF(OR($B11="",AF11=""),0,IF(AND($E11="Trưởng tổ",AF11="x"),SUMIFS(KT_TRUONG,KT_LOAI,"Tổ",KT_TO,$D11,KT_NGAY,27),SUMIFS(KT_PHAN,KT_LOAI,"Tổ",KT_TO,IF(AF11="x",$D11,AF11),KT_NGAY,27)))</f>
        <v>0</v>
      </c>
      <c r="BN11" s="31" t="n">
        <f aca="false">IF(OR($B11="",AG11=""),0,IF(AND($E11="Trưởng tổ",AG11="x"),SUMIFS(KT_TRUONG,KT_LOAI,"Tổ",KT_TO,$D11,KT_NGAY,28),SUMIFS(KT_PHAN,KT_LOAI,"Tổ",KT_TO,IF(AG11="x",$D11,AG11),KT_NGAY,28)))</f>
        <v>0</v>
      </c>
      <c r="BO11" s="31" t="n">
        <f aca="false">IF(OR($B11="",AH11=""),0,IF(AND($E11="Trưởng tổ",AH11="x"),SUMIFS(KT_TRUONG,KT_LOAI,"Tổ",KT_TO,$D11,KT_NGAY,29),SUMIFS(KT_PHAN,KT_LOAI,"Tổ",KT_TO,IF(AH11="x",$D11,AH11),KT_NGAY,29)))</f>
        <v>0</v>
      </c>
      <c r="BP11" s="31" t="n">
        <f aca="false">IF(OR($B11="",AI11=""),0,IF(AND($E11="Trưởng tổ",AI11="x"),SUMIFS(KT_TRUONG,KT_LOAI,"Tổ",KT_TO,$D11,KT_NGAY,30),SUMIFS(KT_PHAN,KT_LOAI,"Tổ",KT_TO,IF(AI11="x",$D11,AI11),KT_NGAY,30)))</f>
        <v>0</v>
      </c>
      <c r="BQ11" s="31" t="n">
        <f aca="false">IF(OR($B11="",AJ11=""),0,IF(AND($E11="Trưởng tổ",AJ11="x"),SUMIFS(KT_TRUONG,KT_LOAI,"Tổ",KT_TO,$D11,KT_NGAY,31),SUMIFS(KT_PHAN,KT_LOAI,"Tổ",KT_TO,IF(AJ11="x",$D11,AJ11),KT_NGAY,31)))</f>
        <v>0</v>
      </c>
    </row>
    <row r="12" customFormat="false" ht="15" hidden="false" customHeight="false" outlineLevel="0" collapsed="false">
      <c r="A12" s="17" t="str">
        <f aca="false">IF(B12="","",ROW()-5)</f>
        <v/>
      </c>
      <c r="B12" s="29" t="str">
        <f aca="false">IF(OR(BCC!B12="",BCC!D12&lt;&gt;"Thời vụ HAQT"),"",BCC!B12)</f>
        <v/>
      </c>
      <c r="C12" s="17" t="str">
        <f aca="false">IF(B12="","",BCC!C12)</f>
        <v/>
      </c>
      <c r="D12" s="17" t="str">
        <f aca="false">IF(B12="","",IFERROR(INDEX(NV_TO,MATCH(B12,NV_MA,0)),""))</f>
        <v/>
      </c>
      <c r="E12" s="17" t="str">
        <f aca="false">IF(B12="","",IFERROR(INDEX(NV_VT,MATCH(B12,NV_MA,0)),""))</f>
        <v/>
      </c>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17" t="str">
        <f aca="false">IF(B12="","",COUNTA(F12:AJ12))</f>
        <v/>
      </c>
      <c r="AL12" s="30" t="str">
        <f aca="false">IF(B12="","",SUM(AM12:BQ12))</f>
        <v/>
      </c>
      <c r="AM12" s="31" t="n">
        <f aca="false">IF(OR($B12="",F12=""),0,IF(AND($E12="Trưởng tổ",F12="x"),SUMIFS(KT_TRUONG,KT_LOAI,"Tổ",KT_TO,$D12,KT_NGAY,1),SUMIFS(KT_PHAN,KT_LOAI,"Tổ",KT_TO,IF(F12="x",$D12,F12),KT_NGAY,1)))</f>
        <v>0</v>
      </c>
      <c r="AN12" s="31" t="n">
        <f aca="false">IF(OR($B12="",G12=""),0,IF(AND($E12="Trưởng tổ",G12="x"),SUMIFS(KT_TRUONG,KT_LOAI,"Tổ",KT_TO,$D12,KT_NGAY,2),SUMIFS(KT_PHAN,KT_LOAI,"Tổ",KT_TO,IF(G12="x",$D12,G12),KT_NGAY,2)))</f>
        <v>0</v>
      </c>
      <c r="AO12" s="31" t="n">
        <f aca="false">IF(OR($B12="",H12=""),0,IF(AND($E12="Trưởng tổ",H12="x"),SUMIFS(KT_TRUONG,KT_LOAI,"Tổ",KT_TO,$D12,KT_NGAY,3),SUMIFS(KT_PHAN,KT_LOAI,"Tổ",KT_TO,IF(H12="x",$D12,H12),KT_NGAY,3)))</f>
        <v>0</v>
      </c>
      <c r="AP12" s="31" t="n">
        <f aca="false">IF(OR($B12="",I12=""),0,IF(AND($E12="Trưởng tổ",I12="x"),SUMIFS(KT_TRUONG,KT_LOAI,"Tổ",KT_TO,$D12,KT_NGAY,4),SUMIFS(KT_PHAN,KT_LOAI,"Tổ",KT_TO,IF(I12="x",$D12,I12),KT_NGAY,4)))</f>
        <v>0</v>
      </c>
      <c r="AQ12" s="31" t="n">
        <f aca="false">IF(OR($B12="",J12=""),0,IF(AND($E12="Trưởng tổ",J12="x"),SUMIFS(KT_TRUONG,KT_LOAI,"Tổ",KT_TO,$D12,KT_NGAY,5),SUMIFS(KT_PHAN,KT_LOAI,"Tổ",KT_TO,IF(J12="x",$D12,J12),KT_NGAY,5)))</f>
        <v>0</v>
      </c>
      <c r="AR12" s="31" t="n">
        <f aca="false">IF(OR($B12="",K12=""),0,IF(AND($E12="Trưởng tổ",K12="x"),SUMIFS(KT_TRUONG,KT_LOAI,"Tổ",KT_TO,$D12,KT_NGAY,6),SUMIFS(KT_PHAN,KT_LOAI,"Tổ",KT_TO,IF(K12="x",$D12,K12),KT_NGAY,6)))</f>
        <v>0</v>
      </c>
      <c r="AS12" s="31" t="n">
        <f aca="false">IF(OR($B12="",L12=""),0,IF(AND($E12="Trưởng tổ",L12="x"),SUMIFS(KT_TRUONG,KT_LOAI,"Tổ",KT_TO,$D12,KT_NGAY,7),SUMIFS(KT_PHAN,KT_LOAI,"Tổ",KT_TO,IF(L12="x",$D12,L12),KT_NGAY,7)))</f>
        <v>0</v>
      </c>
      <c r="AT12" s="31" t="n">
        <f aca="false">IF(OR($B12="",M12=""),0,IF(AND($E12="Trưởng tổ",M12="x"),SUMIFS(KT_TRUONG,KT_LOAI,"Tổ",KT_TO,$D12,KT_NGAY,8),SUMIFS(KT_PHAN,KT_LOAI,"Tổ",KT_TO,IF(M12="x",$D12,M12),KT_NGAY,8)))</f>
        <v>0</v>
      </c>
      <c r="AU12" s="31" t="n">
        <f aca="false">IF(OR($B12="",N12=""),0,IF(AND($E12="Trưởng tổ",N12="x"),SUMIFS(KT_TRUONG,KT_LOAI,"Tổ",KT_TO,$D12,KT_NGAY,9),SUMIFS(KT_PHAN,KT_LOAI,"Tổ",KT_TO,IF(N12="x",$D12,N12),KT_NGAY,9)))</f>
        <v>0</v>
      </c>
      <c r="AV12" s="31" t="n">
        <f aca="false">IF(OR($B12="",O12=""),0,IF(AND($E12="Trưởng tổ",O12="x"),SUMIFS(KT_TRUONG,KT_LOAI,"Tổ",KT_TO,$D12,KT_NGAY,10),SUMIFS(KT_PHAN,KT_LOAI,"Tổ",KT_TO,IF(O12="x",$D12,O12),KT_NGAY,10)))</f>
        <v>0</v>
      </c>
      <c r="AW12" s="31" t="n">
        <f aca="false">IF(OR($B12="",P12=""),0,IF(AND($E12="Trưởng tổ",P12="x"),SUMIFS(KT_TRUONG,KT_LOAI,"Tổ",KT_TO,$D12,KT_NGAY,11),SUMIFS(KT_PHAN,KT_LOAI,"Tổ",KT_TO,IF(P12="x",$D12,P12),KT_NGAY,11)))</f>
        <v>0</v>
      </c>
      <c r="AX12" s="31" t="n">
        <f aca="false">IF(OR($B12="",Q12=""),0,IF(AND($E12="Trưởng tổ",Q12="x"),SUMIFS(KT_TRUONG,KT_LOAI,"Tổ",KT_TO,$D12,KT_NGAY,12),SUMIFS(KT_PHAN,KT_LOAI,"Tổ",KT_TO,IF(Q12="x",$D12,Q12),KT_NGAY,12)))</f>
        <v>0</v>
      </c>
      <c r="AY12" s="31" t="n">
        <f aca="false">IF(OR($B12="",R12=""),0,IF(AND($E12="Trưởng tổ",R12="x"),SUMIFS(KT_TRUONG,KT_LOAI,"Tổ",KT_TO,$D12,KT_NGAY,13),SUMIFS(KT_PHAN,KT_LOAI,"Tổ",KT_TO,IF(R12="x",$D12,R12),KT_NGAY,13)))</f>
        <v>0</v>
      </c>
      <c r="AZ12" s="31" t="n">
        <f aca="false">IF(OR($B12="",S12=""),0,IF(AND($E12="Trưởng tổ",S12="x"),SUMIFS(KT_TRUONG,KT_LOAI,"Tổ",KT_TO,$D12,KT_NGAY,14),SUMIFS(KT_PHAN,KT_LOAI,"Tổ",KT_TO,IF(S12="x",$D12,S12),KT_NGAY,14)))</f>
        <v>0</v>
      </c>
      <c r="BA12" s="31" t="n">
        <f aca="false">IF(OR($B12="",T12=""),0,IF(AND($E12="Trưởng tổ",T12="x"),SUMIFS(KT_TRUONG,KT_LOAI,"Tổ",KT_TO,$D12,KT_NGAY,15),SUMIFS(KT_PHAN,KT_LOAI,"Tổ",KT_TO,IF(T12="x",$D12,T12),KT_NGAY,15)))</f>
        <v>0</v>
      </c>
      <c r="BB12" s="31" t="n">
        <f aca="false">IF(OR($B12="",U12=""),0,IF(AND($E12="Trưởng tổ",U12="x"),SUMIFS(KT_TRUONG,KT_LOAI,"Tổ",KT_TO,$D12,KT_NGAY,16),SUMIFS(KT_PHAN,KT_LOAI,"Tổ",KT_TO,IF(U12="x",$D12,U12),KT_NGAY,16)))</f>
        <v>0</v>
      </c>
      <c r="BC12" s="31" t="n">
        <f aca="false">IF(OR($B12="",V12=""),0,IF(AND($E12="Trưởng tổ",V12="x"),SUMIFS(KT_TRUONG,KT_LOAI,"Tổ",KT_TO,$D12,KT_NGAY,17),SUMIFS(KT_PHAN,KT_LOAI,"Tổ",KT_TO,IF(V12="x",$D12,V12),KT_NGAY,17)))</f>
        <v>0</v>
      </c>
      <c r="BD12" s="31" t="n">
        <f aca="false">IF(OR($B12="",W12=""),0,IF(AND($E12="Trưởng tổ",W12="x"),SUMIFS(KT_TRUONG,KT_LOAI,"Tổ",KT_TO,$D12,KT_NGAY,18),SUMIFS(KT_PHAN,KT_LOAI,"Tổ",KT_TO,IF(W12="x",$D12,W12),KT_NGAY,18)))</f>
        <v>0</v>
      </c>
      <c r="BE12" s="31" t="n">
        <f aca="false">IF(OR($B12="",X12=""),0,IF(AND($E12="Trưởng tổ",X12="x"),SUMIFS(KT_TRUONG,KT_LOAI,"Tổ",KT_TO,$D12,KT_NGAY,19),SUMIFS(KT_PHAN,KT_LOAI,"Tổ",KT_TO,IF(X12="x",$D12,X12),KT_NGAY,19)))</f>
        <v>0</v>
      </c>
      <c r="BF12" s="31" t="n">
        <f aca="false">IF(OR($B12="",Y12=""),0,IF(AND($E12="Trưởng tổ",Y12="x"),SUMIFS(KT_TRUONG,KT_LOAI,"Tổ",KT_TO,$D12,KT_NGAY,20),SUMIFS(KT_PHAN,KT_LOAI,"Tổ",KT_TO,IF(Y12="x",$D12,Y12),KT_NGAY,20)))</f>
        <v>0</v>
      </c>
      <c r="BG12" s="31" t="n">
        <f aca="false">IF(OR($B12="",Z12=""),0,IF(AND($E12="Trưởng tổ",Z12="x"),SUMIFS(KT_TRUONG,KT_LOAI,"Tổ",KT_TO,$D12,KT_NGAY,21),SUMIFS(KT_PHAN,KT_LOAI,"Tổ",KT_TO,IF(Z12="x",$D12,Z12),KT_NGAY,21)))</f>
        <v>0</v>
      </c>
      <c r="BH12" s="31" t="n">
        <f aca="false">IF(OR($B12="",AA12=""),0,IF(AND($E12="Trưởng tổ",AA12="x"),SUMIFS(KT_TRUONG,KT_LOAI,"Tổ",KT_TO,$D12,KT_NGAY,22),SUMIFS(KT_PHAN,KT_LOAI,"Tổ",KT_TO,IF(AA12="x",$D12,AA12),KT_NGAY,22)))</f>
        <v>0</v>
      </c>
      <c r="BI12" s="31" t="n">
        <f aca="false">IF(OR($B12="",AB12=""),0,IF(AND($E12="Trưởng tổ",AB12="x"),SUMIFS(KT_TRUONG,KT_LOAI,"Tổ",KT_TO,$D12,KT_NGAY,23),SUMIFS(KT_PHAN,KT_LOAI,"Tổ",KT_TO,IF(AB12="x",$D12,AB12),KT_NGAY,23)))</f>
        <v>0</v>
      </c>
      <c r="BJ12" s="31" t="n">
        <f aca="false">IF(OR($B12="",AC12=""),0,IF(AND($E12="Trưởng tổ",AC12="x"),SUMIFS(KT_TRUONG,KT_LOAI,"Tổ",KT_TO,$D12,KT_NGAY,24),SUMIFS(KT_PHAN,KT_LOAI,"Tổ",KT_TO,IF(AC12="x",$D12,AC12),KT_NGAY,24)))</f>
        <v>0</v>
      </c>
      <c r="BK12" s="31" t="n">
        <f aca="false">IF(OR($B12="",AD12=""),0,IF(AND($E12="Trưởng tổ",AD12="x"),SUMIFS(KT_TRUONG,KT_LOAI,"Tổ",KT_TO,$D12,KT_NGAY,25),SUMIFS(KT_PHAN,KT_LOAI,"Tổ",KT_TO,IF(AD12="x",$D12,AD12),KT_NGAY,25)))</f>
        <v>0</v>
      </c>
      <c r="BL12" s="31" t="n">
        <f aca="false">IF(OR($B12="",AE12=""),0,IF(AND($E12="Trưởng tổ",AE12="x"),SUMIFS(KT_TRUONG,KT_LOAI,"Tổ",KT_TO,$D12,KT_NGAY,26),SUMIFS(KT_PHAN,KT_LOAI,"Tổ",KT_TO,IF(AE12="x",$D12,AE12),KT_NGAY,26)))</f>
        <v>0</v>
      </c>
      <c r="BM12" s="31" t="n">
        <f aca="false">IF(OR($B12="",AF12=""),0,IF(AND($E12="Trưởng tổ",AF12="x"),SUMIFS(KT_TRUONG,KT_LOAI,"Tổ",KT_TO,$D12,KT_NGAY,27),SUMIFS(KT_PHAN,KT_LOAI,"Tổ",KT_TO,IF(AF12="x",$D12,AF12),KT_NGAY,27)))</f>
        <v>0</v>
      </c>
      <c r="BN12" s="31" t="n">
        <f aca="false">IF(OR($B12="",AG12=""),0,IF(AND($E12="Trưởng tổ",AG12="x"),SUMIFS(KT_TRUONG,KT_LOAI,"Tổ",KT_TO,$D12,KT_NGAY,28),SUMIFS(KT_PHAN,KT_LOAI,"Tổ",KT_TO,IF(AG12="x",$D12,AG12),KT_NGAY,28)))</f>
        <v>0</v>
      </c>
      <c r="BO12" s="31" t="n">
        <f aca="false">IF(OR($B12="",AH12=""),0,IF(AND($E12="Trưởng tổ",AH12="x"),SUMIFS(KT_TRUONG,KT_LOAI,"Tổ",KT_TO,$D12,KT_NGAY,29),SUMIFS(KT_PHAN,KT_LOAI,"Tổ",KT_TO,IF(AH12="x",$D12,AH12),KT_NGAY,29)))</f>
        <v>0</v>
      </c>
      <c r="BP12" s="31" t="n">
        <f aca="false">IF(OR($B12="",AI12=""),0,IF(AND($E12="Trưởng tổ",AI12="x"),SUMIFS(KT_TRUONG,KT_LOAI,"Tổ",KT_TO,$D12,KT_NGAY,30),SUMIFS(KT_PHAN,KT_LOAI,"Tổ",KT_TO,IF(AI12="x",$D12,AI12),KT_NGAY,30)))</f>
        <v>0</v>
      </c>
      <c r="BQ12" s="31" t="n">
        <f aca="false">IF(OR($B12="",AJ12=""),0,IF(AND($E12="Trưởng tổ",AJ12="x"),SUMIFS(KT_TRUONG,KT_LOAI,"Tổ",KT_TO,$D12,KT_NGAY,31),SUMIFS(KT_PHAN,KT_LOAI,"Tổ",KT_TO,IF(AJ12="x",$D12,AJ12),KT_NGAY,31)))</f>
        <v>0</v>
      </c>
    </row>
    <row r="13" customFormat="false" ht="15" hidden="false" customHeight="false" outlineLevel="0" collapsed="false">
      <c r="A13" s="17" t="str">
        <f aca="false">IF(B13="","",ROW()-5)</f>
        <v/>
      </c>
      <c r="B13" s="29" t="str">
        <f aca="false">IF(OR(BCC!B13="",BCC!D13&lt;&gt;"Thời vụ HAQT"),"",BCC!B13)</f>
        <v/>
      </c>
      <c r="C13" s="17" t="str">
        <f aca="false">IF(B13="","",BCC!C13)</f>
        <v/>
      </c>
      <c r="D13" s="17" t="str">
        <f aca="false">IF(B13="","",IFERROR(INDEX(NV_TO,MATCH(B13,NV_MA,0)),""))</f>
        <v/>
      </c>
      <c r="E13" s="17" t="str">
        <f aca="false">IF(B13="","",IFERROR(INDEX(NV_VT,MATCH(B13,NV_MA,0)),""))</f>
        <v/>
      </c>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17" t="str">
        <f aca="false">IF(B13="","",COUNTA(F13:AJ13))</f>
        <v/>
      </c>
      <c r="AL13" s="30" t="str">
        <f aca="false">IF(B13="","",SUM(AM13:BQ13))</f>
        <v/>
      </c>
      <c r="AM13" s="31" t="n">
        <f aca="false">IF(OR($B13="",F13=""),0,IF(AND($E13="Trưởng tổ",F13="x"),SUMIFS(KT_TRUONG,KT_LOAI,"Tổ",KT_TO,$D13,KT_NGAY,1),SUMIFS(KT_PHAN,KT_LOAI,"Tổ",KT_TO,IF(F13="x",$D13,F13),KT_NGAY,1)))</f>
        <v>0</v>
      </c>
      <c r="AN13" s="31" t="n">
        <f aca="false">IF(OR($B13="",G13=""),0,IF(AND($E13="Trưởng tổ",G13="x"),SUMIFS(KT_TRUONG,KT_LOAI,"Tổ",KT_TO,$D13,KT_NGAY,2),SUMIFS(KT_PHAN,KT_LOAI,"Tổ",KT_TO,IF(G13="x",$D13,G13),KT_NGAY,2)))</f>
        <v>0</v>
      </c>
      <c r="AO13" s="31" t="n">
        <f aca="false">IF(OR($B13="",H13=""),0,IF(AND($E13="Trưởng tổ",H13="x"),SUMIFS(KT_TRUONG,KT_LOAI,"Tổ",KT_TO,$D13,KT_NGAY,3),SUMIFS(KT_PHAN,KT_LOAI,"Tổ",KT_TO,IF(H13="x",$D13,H13),KT_NGAY,3)))</f>
        <v>0</v>
      </c>
      <c r="AP13" s="31" t="n">
        <f aca="false">IF(OR($B13="",I13=""),0,IF(AND($E13="Trưởng tổ",I13="x"),SUMIFS(KT_TRUONG,KT_LOAI,"Tổ",KT_TO,$D13,KT_NGAY,4),SUMIFS(KT_PHAN,KT_LOAI,"Tổ",KT_TO,IF(I13="x",$D13,I13),KT_NGAY,4)))</f>
        <v>0</v>
      </c>
      <c r="AQ13" s="31" t="n">
        <f aca="false">IF(OR($B13="",J13=""),0,IF(AND($E13="Trưởng tổ",J13="x"),SUMIFS(KT_TRUONG,KT_LOAI,"Tổ",KT_TO,$D13,KT_NGAY,5),SUMIFS(KT_PHAN,KT_LOAI,"Tổ",KT_TO,IF(J13="x",$D13,J13),KT_NGAY,5)))</f>
        <v>0</v>
      </c>
      <c r="AR13" s="31" t="n">
        <f aca="false">IF(OR($B13="",K13=""),0,IF(AND($E13="Trưởng tổ",K13="x"),SUMIFS(KT_TRUONG,KT_LOAI,"Tổ",KT_TO,$D13,KT_NGAY,6),SUMIFS(KT_PHAN,KT_LOAI,"Tổ",KT_TO,IF(K13="x",$D13,K13),KT_NGAY,6)))</f>
        <v>0</v>
      </c>
      <c r="AS13" s="31" t="n">
        <f aca="false">IF(OR($B13="",L13=""),0,IF(AND($E13="Trưởng tổ",L13="x"),SUMIFS(KT_TRUONG,KT_LOAI,"Tổ",KT_TO,$D13,KT_NGAY,7),SUMIFS(KT_PHAN,KT_LOAI,"Tổ",KT_TO,IF(L13="x",$D13,L13),KT_NGAY,7)))</f>
        <v>0</v>
      </c>
      <c r="AT13" s="31" t="n">
        <f aca="false">IF(OR($B13="",M13=""),0,IF(AND($E13="Trưởng tổ",M13="x"),SUMIFS(KT_TRUONG,KT_LOAI,"Tổ",KT_TO,$D13,KT_NGAY,8),SUMIFS(KT_PHAN,KT_LOAI,"Tổ",KT_TO,IF(M13="x",$D13,M13),KT_NGAY,8)))</f>
        <v>0</v>
      </c>
      <c r="AU13" s="31" t="n">
        <f aca="false">IF(OR($B13="",N13=""),0,IF(AND($E13="Trưởng tổ",N13="x"),SUMIFS(KT_TRUONG,KT_LOAI,"Tổ",KT_TO,$D13,KT_NGAY,9),SUMIFS(KT_PHAN,KT_LOAI,"Tổ",KT_TO,IF(N13="x",$D13,N13),KT_NGAY,9)))</f>
        <v>0</v>
      </c>
      <c r="AV13" s="31" t="n">
        <f aca="false">IF(OR($B13="",O13=""),0,IF(AND($E13="Trưởng tổ",O13="x"),SUMIFS(KT_TRUONG,KT_LOAI,"Tổ",KT_TO,$D13,KT_NGAY,10),SUMIFS(KT_PHAN,KT_LOAI,"Tổ",KT_TO,IF(O13="x",$D13,O13),KT_NGAY,10)))</f>
        <v>0</v>
      </c>
      <c r="AW13" s="31" t="n">
        <f aca="false">IF(OR($B13="",P13=""),0,IF(AND($E13="Trưởng tổ",P13="x"),SUMIFS(KT_TRUONG,KT_LOAI,"Tổ",KT_TO,$D13,KT_NGAY,11),SUMIFS(KT_PHAN,KT_LOAI,"Tổ",KT_TO,IF(P13="x",$D13,P13),KT_NGAY,11)))</f>
        <v>0</v>
      </c>
      <c r="AX13" s="31" t="n">
        <f aca="false">IF(OR($B13="",Q13=""),0,IF(AND($E13="Trưởng tổ",Q13="x"),SUMIFS(KT_TRUONG,KT_LOAI,"Tổ",KT_TO,$D13,KT_NGAY,12),SUMIFS(KT_PHAN,KT_LOAI,"Tổ",KT_TO,IF(Q13="x",$D13,Q13),KT_NGAY,12)))</f>
        <v>0</v>
      </c>
      <c r="AY13" s="31" t="n">
        <f aca="false">IF(OR($B13="",R13=""),0,IF(AND($E13="Trưởng tổ",R13="x"),SUMIFS(KT_TRUONG,KT_LOAI,"Tổ",KT_TO,$D13,KT_NGAY,13),SUMIFS(KT_PHAN,KT_LOAI,"Tổ",KT_TO,IF(R13="x",$D13,R13),KT_NGAY,13)))</f>
        <v>0</v>
      </c>
      <c r="AZ13" s="31" t="n">
        <f aca="false">IF(OR($B13="",S13=""),0,IF(AND($E13="Trưởng tổ",S13="x"),SUMIFS(KT_TRUONG,KT_LOAI,"Tổ",KT_TO,$D13,KT_NGAY,14),SUMIFS(KT_PHAN,KT_LOAI,"Tổ",KT_TO,IF(S13="x",$D13,S13),KT_NGAY,14)))</f>
        <v>0</v>
      </c>
      <c r="BA13" s="31" t="n">
        <f aca="false">IF(OR($B13="",T13=""),0,IF(AND($E13="Trưởng tổ",T13="x"),SUMIFS(KT_TRUONG,KT_LOAI,"Tổ",KT_TO,$D13,KT_NGAY,15),SUMIFS(KT_PHAN,KT_LOAI,"Tổ",KT_TO,IF(T13="x",$D13,T13),KT_NGAY,15)))</f>
        <v>0</v>
      </c>
      <c r="BB13" s="31" t="n">
        <f aca="false">IF(OR($B13="",U13=""),0,IF(AND($E13="Trưởng tổ",U13="x"),SUMIFS(KT_TRUONG,KT_LOAI,"Tổ",KT_TO,$D13,KT_NGAY,16),SUMIFS(KT_PHAN,KT_LOAI,"Tổ",KT_TO,IF(U13="x",$D13,U13),KT_NGAY,16)))</f>
        <v>0</v>
      </c>
      <c r="BC13" s="31" t="n">
        <f aca="false">IF(OR($B13="",V13=""),0,IF(AND($E13="Trưởng tổ",V13="x"),SUMIFS(KT_TRUONG,KT_LOAI,"Tổ",KT_TO,$D13,KT_NGAY,17),SUMIFS(KT_PHAN,KT_LOAI,"Tổ",KT_TO,IF(V13="x",$D13,V13),KT_NGAY,17)))</f>
        <v>0</v>
      </c>
      <c r="BD13" s="31" t="n">
        <f aca="false">IF(OR($B13="",W13=""),0,IF(AND($E13="Trưởng tổ",W13="x"),SUMIFS(KT_TRUONG,KT_LOAI,"Tổ",KT_TO,$D13,KT_NGAY,18),SUMIFS(KT_PHAN,KT_LOAI,"Tổ",KT_TO,IF(W13="x",$D13,W13),KT_NGAY,18)))</f>
        <v>0</v>
      </c>
      <c r="BE13" s="31" t="n">
        <f aca="false">IF(OR($B13="",X13=""),0,IF(AND($E13="Trưởng tổ",X13="x"),SUMIFS(KT_TRUONG,KT_LOAI,"Tổ",KT_TO,$D13,KT_NGAY,19),SUMIFS(KT_PHAN,KT_LOAI,"Tổ",KT_TO,IF(X13="x",$D13,X13),KT_NGAY,19)))</f>
        <v>0</v>
      </c>
      <c r="BF13" s="31" t="n">
        <f aca="false">IF(OR($B13="",Y13=""),0,IF(AND($E13="Trưởng tổ",Y13="x"),SUMIFS(KT_TRUONG,KT_LOAI,"Tổ",KT_TO,$D13,KT_NGAY,20),SUMIFS(KT_PHAN,KT_LOAI,"Tổ",KT_TO,IF(Y13="x",$D13,Y13),KT_NGAY,20)))</f>
        <v>0</v>
      </c>
      <c r="BG13" s="31" t="n">
        <f aca="false">IF(OR($B13="",Z13=""),0,IF(AND($E13="Trưởng tổ",Z13="x"),SUMIFS(KT_TRUONG,KT_LOAI,"Tổ",KT_TO,$D13,KT_NGAY,21),SUMIFS(KT_PHAN,KT_LOAI,"Tổ",KT_TO,IF(Z13="x",$D13,Z13),KT_NGAY,21)))</f>
        <v>0</v>
      </c>
      <c r="BH13" s="31" t="n">
        <f aca="false">IF(OR($B13="",AA13=""),0,IF(AND($E13="Trưởng tổ",AA13="x"),SUMIFS(KT_TRUONG,KT_LOAI,"Tổ",KT_TO,$D13,KT_NGAY,22),SUMIFS(KT_PHAN,KT_LOAI,"Tổ",KT_TO,IF(AA13="x",$D13,AA13),KT_NGAY,22)))</f>
        <v>0</v>
      </c>
      <c r="BI13" s="31" t="n">
        <f aca="false">IF(OR($B13="",AB13=""),0,IF(AND($E13="Trưởng tổ",AB13="x"),SUMIFS(KT_TRUONG,KT_LOAI,"Tổ",KT_TO,$D13,KT_NGAY,23),SUMIFS(KT_PHAN,KT_LOAI,"Tổ",KT_TO,IF(AB13="x",$D13,AB13),KT_NGAY,23)))</f>
        <v>0</v>
      </c>
      <c r="BJ13" s="31" t="n">
        <f aca="false">IF(OR($B13="",AC13=""),0,IF(AND($E13="Trưởng tổ",AC13="x"),SUMIFS(KT_TRUONG,KT_LOAI,"Tổ",KT_TO,$D13,KT_NGAY,24),SUMIFS(KT_PHAN,KT_LOAI,"Tổ",KT_TO,IF(AC13="x",$D13,AC13),KT_NGAY,24)))</f>
        <v>0</v>
      </c>
      <c r="BK13" s="31" t="n">
        <f aca="false">IF(OR($B13="",AD13=""),0,IF(AND($E13="Trưởng tổ",AD13="x"),SUMIFS(KT_TRUONG,KT_LOAI,"Tổ",KT_TO,$D13,KT_NGAY,25),SUMIFS(KT_PHAN,KT_LOAI,"Tổ",KT_TO,IF(AD13="x",$D13,AD13),KT_NGAY,25)))</f>
        <v>0</v>
      </c>
      <c r="BL13" s="31" t="n">
        <f aca="false">IF(OR($B13="",AE13=""),0,IF(AND($E13="Trưởng tổ",AE13="x"),SUMIFS(KT_TRUONG,KT_LOAI,"Tổ",KT_TO,$D13,KT_NGAY,26),SUMIFS(KT_PHAN,KT_LOAI,"Tổ",KT_TO,IF(AE13="x",$D13,AE13),KT_NGAY,26)))</f>
        <v>0</v>
      </c>
      <c r="BM13" s="31" t="n">
        <f aca="false">IF(OR($B13="",AF13=""),0,IF(AND($E13="Trưởng tổ",AF13="x"),SUMIFS(KT_TRUONG,KT_LOAI,"Tổ",KT_TO,$D13,KT_NGAY,27),SUMIFS(KT_PHAN,KT_LOAI,"Tổ",KT_TO,IF(AF13="x",$D13,AF13),KT_NGAY,27)))</f>
        <v>0</v>
      </c>
      <c r="BN13" s="31" t="n">
        <f aca="false">IF(OR($B13="",AG13=""),0,IF(AND($E13="Trưởng tổ",AG13="x"),SUMIFS(KT_TRUONG,KT_LOAI,"Tổ",KT_TO,$D13,KT_NGAY,28),SUMIFS(KT_PHAN,KT_LOAI,"Tổ",KT_TO,IF(AG13="x",$D13,AG13),KT_NGAY,28)))</f>
        <v>0</v>
      </c>
      <c r="BO13" s="31" t="n">
        <f aca="false">IF(OR($B13="",AH13=""),0,IF(AND($E13="Trưởng tổ",AH13="x"),SUMIFS(KT_TRUONG,KT_LOAI,"Tổ",KT_TO,$D13,KT_NGAY,29),SUMIFS(KT_PHAN,KT_LOAI,"Tổ",KT_TO,IF(AH13="x",$D13,AH13),KT_NGAY,29)))</f>
        <v>0</v>
      </c>
      <c r="BP13" s="31" t="n">
        <f aca="false">IF(OR($B13="",AI13=""),0,IF(AND($E13="Trưởng tổ",AI13="x"),SUMIFS(KT_TRUONG,KT_LOAI,"Tổ",KT_TO,$D13,KT_NGAY,30),SUMIFS(KT_PHAN,KT_LOAI,"Tổ",KT_TO,IF(AI13="x",$D13,AI13),KT_NGAY,30)))</f>
        <v>0</v>
      </c>
      <c r="BQ13" s="31" t="n">
        <f aca="false">IF(OR($B13="",AJ13=""),0,IF(AND($E13="Trưởng tổ",AJ13="x"),SUMIFS(KT_TRUONG,KT_LOAI,"Tổ",KT_TO,$D13,KT_NGAY,31),SUMIFS(KT_PHAN,KT_LOAI,"Tổ",KT_TO,IF(AJ13="x",$D13,AJ13),KT_NGAY,31)))</f>
        <v>0</v>
      </c>
    </row>
    <row r="14" customFormat="false" ht="15" hidden="false" customHeight="false" outlineLevel="0" collapsed="false">
      <c r="A14" s="17" t="str">
        <f aca="false">IF(B14="","",ROW()-5)</f>
        <v/>
      </c>
      <c r="B14" s="29" t="str">
        <f aca="false">IF(OR(BCC!B14="",BCC!D14&lt;&gt;"Thời vụ HAQT"),"",BCC!B14)</f>
        <v/>
      </c>
      <c r="C14" s="17" t="str">
        <f aca="false">IF(B14="","",BCC!C14)</f>
        <v/>
      </c>
      <c r="D14" s="17" t="str">
        <f aca="false">IF(B14="","",IFERROR(INDEX(NV_TO,MATCH(B14,NV_MA,0)),""))</f>
        <v/>
      </c>
      <c r="E14" s="17" t="str">
        <f aca="false">IF(B14="","",IFERROR(INDEX(NV_VT,MATCH(B14,NV_MA,0)),""))</f>
        <v/>
      </c>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17" t="str">
        <f aca="false">IF(B14="","",COUNTA(F14:AJ14))</f>
        <v/>
      </c>
      <c r="AL14" s="30" t="str">
        <f aca="false">IF(B14="","",SUM(AM14:BQ14))</f>
        <v/>
      </c>
      <c r="AM14" s="31" t="n">
        <f aca="false">IF(OR($B14="",F14=""),0,IF(AND($E14="Trưởng tổ",F14="x"),SUMIFS(KT_TRUONG,KT_LOAI,"Tổ",KT_TO,$D14,KT_NGAY,1),SUMIFS(KT_PHAN,KT_LOAI,"Tổ",KT_TO,IF(F14="x",$D14,F14),KT_NGAY,1)))</f>
        <v>0</v>
      </c>
      <c r="AN14" s="31" t="n">
        <f aca="false">IF(OR($B14="",G14=""),0,IF(AND($E14="Trưởng tổ",G14="x"),SUMIFS(KT_TRUONG,KT_LOAI,"Tổ",KT_TO,$D14,KT_NGAY,2),SUMIFS(KT_PHAN,KT_LOAI,"Tổ",KT_TO,IF(G14="x",$D14,G14),KT_NGAY,2)))</f>
        <v>0</v>
      </c>
      <c r="AO14" s="31" t="n">
        <f aca="false">IF(OR($B14="",H14=""),0,IF(AND($E14="Trưởng tổ",H14="x"),SUMIFS(KT_TRUONG,KT_LOAI,"Tổ",KT_TO,$D14,KT_NGAY,3),SUMIFS(KT_PHAN,KT_LOAI,"Tổ",KT_TO,IF(H14="x",$D14,H14),KT_NGAY,3)))</f>
        <v>0</v>
      </c>
      <c r="AP14" s="31" t="n">
        <f aca="false">IF(OR($B14="",I14=""),0,IF(AND($E14="Trưởng tổ",I14="x"),SUMIFS(KT_TRUONG,KT_LOAI,"Tổ",KT_TO,$D14,KT_NGAY,4),SUMIFS(KT_PHAN,KT_LOAI,"Tổ",KT_TO,IF(I14="x",$D14,I14),KT_NGAY,4)))</f>
        <v>0</v>
      </c>
      <c r="AQ14" s="31" t="n">
        <f aca="false">IF(OR($B14="",J14=""),0,IF(AND($E14="Trưởng tổ",J14="x"),SUMIFS(KT_TRUONG,KT_LOAI,"Tổ",KT_TO,$D14,KT_NGAY,5),SUMIFS(KT_PHAN,KT_LOAI,"Tổ",KT_TO,IF(J14="x",$D14,J14),KT_NGAY,5)))</f>
        <v>0</v>
      </c>
      <c r="AR14" s="31" t="n">
        <f aca="false">IF(OR($B14="",K14=""),0,IF(AND($E14="Trưởng tổ",K14="x"),SUMIFS(KT_TRUONG,KT_LOAI,"Tổ",KT_TO,$D14,KT_NGAY,6),SUMIFS(KT_PHAN,KT_LOAI,"Tổ",KT_TO,IF(K14="x",$D14,K14),KT_NGAY,6)))</f>
        <v>0</v>
      </c>
      <c r="AS14" s="31" t="n">
        <f aca="false">IF(OR($B14="",L14=""),0,IF(AND($E14="Trưởng tổ",L14="x"),SUMIFS(KT_TRUONG,KT_LOAI,"Tổ",KT_TO,$D14,KT_NGAY,7),SUMIFS(KT_PHAN,KT_LOAI,"Tổ",KT_TO,IF(L14="x",$D14,L14),KT_NGAY,7)))</f>
        <v>0</v>
      </c>
      <c r="AT14" s="31" t="n">
        <f aca="false">IF(OR($B14="",M14=""),0,IF(AND($E14="Trưởng tổ",M14="x"),SUMIFS(KT_TRUONG,KT_LOAI,"Tổ",KT_TO,$D14,KT_NGAY,8),SUMIFS(KT_PHAN,KT_LOAI,"Tổ",KT_TO,IF(M14="x",$D14,M14),KT_NGAY,8)))</f>
        <v>0</v>
      </c>
      <c r="AU14" s="31" t="n">
        <f aca="false">IF(OR($B14="",N14=""),0,IF(AND($E14="Trưởng tổ",N14="x"),SUMIFS(KT_TRUONG,KT_LOAI,"Tổ",KT_TO,$D14,KT_NGAY,9),SUMIFS(KT_PHAN,KT_LOAI,"Tổ",KT_TO,IF(N14="x",$D14,N14),KT_NGAY,9)))</f>
        <v>0</v>
      </c>
      <c r="AV14" s="31" t="n">
        <f aca="false">IF(OR($B14="",O14=""),0,IF(AND($E14="Trưởng tổ",O14="x"),SUMIFS(KT_TRUONG,KT_LOAI,"Tổ",KT_TO,$D14,KT_NGAY,10),SUMIFS(KT_PHAN,KT_LOAI,"Tổ",KT_TO,IF(O14="x",$D14,O14),KT_NGAY,10)))</f>
        <v>0</v>
      </c>
      <c r="AW14" s="31" t="n">
        <f aca="false">IF(OR($B14="",P14=""),0,IF(AND($E14="Trưởng tổ",P14="x"),SUMIFS(KT_TRUONG,KT_LOAI,"Tổ",KT_TO,$D14,KT_NGAY,11),SUMIFS(KT_PHAN,KT_LOAI,"Tổ",KT_TO,IF(P14="x",$D14,P14),KT_NGAY,11)))</f>
        <v>0</v>
      </c>
      <c r="AX14" s="31" t="n">
        <f aca="false">IF(OR($B14="",Q14=""),0,IF(AND($E14="Trưởng tổ",Q14="x"),SUMIFS(KT_TRUONG,KT_LOAI,"Tổ",KT_TO,$D14,KT_NGAY,12),SUMIFS(KT_PHAN,KT_LOAI,"Tổ",KT_TO,IF(Q14="x",$D14,Q14),KT_NGAY,12)))</f>
        <v>0</v>
      </c>
      <c r="AY14" s="31" t="n">
        <f aca="false">IF(OR($B14="",R14=""),0,IF(AND($E14="Trưởng tổ",R14="x"),SUMIFS(KT_TRUONG,KT_LOAI,"Tổ",KT_TO,$D14,KT_NGAY,13),SUMIFS(KT_PHAN,KT_LOAI,"Tổ",KT_TO,IF(R14="x",$D14,R14),KT_NGAY,13)))</f>
        <v>0</v>
      </c>
      <c r="AZ14" s="31" t="n">
        <f aca="false">IF(OR($B14="",S14=""),0,IF(AND($E14="Trưởng tổ",S14="x"),SUMIFS(KT_TRUONG,KT_LOAI,"Tổ",KT_TO,$D14,KT_NGAY,14),SUMIFS(KT_PHAN,KT_LOAI,"Tổ",KT_TO,IF(S14="x",$D14,S14),KT_NGAY,14)))</f>
        <v>0</v>
      </c>
      <c r="BA14" s="31" t="n">
        <f aca="false">IF(OR($B14="",T14=""),0,IF(AND($E14="Trưởng tổ",T14="x"),SUMIFS(KT_TRUONG,KT_LOAI,"Tổ",KT_TO,$D14,KT_NGAY,15),SUMIFS(KT_PHAN,KT_LOAI,"Tổ",KT_TO,IF(T14="x",$D14,T14),KT_NGAY,15)))</f>
        <v>0</v>
      </c>
      <c r="BB14" s="31" t="n">
        <f aca="false">IF(OR($B14="",U14=""),0,IF(AND($E14="Trưởng tổ",U14="x"),SUMIFS(KT_TRUONG,KT_LOAI,"Tổ",KT_TO,$D14,KT_NGAY,16),SUMIFS(KT_PHAN,KT_LOAI,"Tổ",KT_TO,IF(U14="x",$D14,U14),KT_NGAY,16)))</f>
        <v>0</v>
      </c>
      <c r="BC14" s="31" t="n">
        <f aca="false">IF(OR($B14="",V14=""),0,IF(AND($E14="Trưởng tổ",V14="x"),SUMIFS(KT_TRUONG,KT_LOAI,"Tổ",KT_TO,$D14,KT_NGAY,17),SUMIFS(KT_PHAN,KT_LOAI,"Tổ",KT_TO,IF(V14="x",$D14,V14),KT_NGAY,17)))</f>
        <v>0</v>
      </c>
      <c r="BD14" s="31" t="n">
        <f aca="false">IF(OR($B14="",W14=""),0,IF(AND($E14="Trưởng tổ",W14="x"),SUMIFS(KT_TRUONG,KT_LOAI,"Tổ",KT_TO,$D14,KT_NGAY,18),SUMIFS(KT_PHAN,KT_LOAI,"Tổ",KT_TO,IF(W14="x",$D14,W14),KT_NGAY,18)))</f>
        <v>0</v>
      </c>
      <c r="BE14" s="31" t="n">
        <f aca="false">IF(OR($B14="",X14=""),0,IF(AND($E14="Trưởng tổ",X14="x"),SUMIFS(KT_TRUONG,KT_LOAI,"Tổ",KT_TO,$D14,KT_NGAY,19),SUMIFS(KT_PHAN,KT_LOAI,"Tổ",KT_TO,IF(X14="x",$D14,X14),KT_NGAY,19)))</f>
        <v>0</v>
      </c>
      <c r="BF14" s="31" t="n">
        <f aca="false">IF(OR($B14="",Y14=""),0,IF(AND($E14="Trưởng tổ",Y14="x"),SUMIFS(KT_TRUONG,KT_LOAI,"Tổ",KT_TO,$D14,KT_NGAY,20),SUMIFS(KT_PHAN,KT_LOAI,"Tổ",KT_TO,IF(Y14="x",$D14,Y14),KT_NGAY,20)))</f>
        <v>0</v>
      </c>
      <c r="BG14" s="31" t="n">
        <f aca="false">IF(OR($B14="",Z14=""),0,IF(AND($E14="Trưởng tổ",Z14="x"),SUMIFS(KT_TRUONG,KT_LOAI,"Tổ",KT_TO,$D14,KT_NGAY,21),SUMIFS(KT_PHAN,KT_LOAI,"Tổ",KT_TO,IF(Z14="x",$D14,Z14),KT_NGAY,21)))</f>
        <v>0</v>
      </c>
      <c r="BH14" s="31" t="n">
        <f aca="false">IF(OR($B14="",AA14=""),0,IF(AND($E14="Trưởng tổ",AA14="x"),SUMIFS(KT_TRUONG,KT_LOAI,"Tổ",KT_TO,$D14,KT_NGAY,22),SUMIFS(KT_PHAN,KT_LOAI,"Tổ",KT_TO,IF(AA14="x",$D14,AA14),KT_NGAY,22)))</f>
        <v>0</v>
      </c>
      <c r="BI14" s="31" t="n">
        <f aca="false">IF(OR($B14="",AB14=""),0,IF(AND($E14="Trưởng tổ",AB14="x"),SUMIFS(KT_TRUONG,KT_LOAI,"Tổ",KT_TO,$D14,KT_NGAY,23),SUMIFS(KT_PHAN,KT_LOAI,"Tổ",KT_TO,IF(AB14="x",$D14,AB14),KT_NGAY,23)))</f>
        <v>0</v>
      </c>
      <c r="BJ14" s="31" t="n">
        <f aca="false">IF(OR($B14="",AC14=""),0,IF(AND($E14="Trưởng tổ",AC14="x"),SUMIFS(KT_TRUONG,KT_LOAI,"Tổ",KT_TO,$D14,KT_NGAY,24),SUMIFS(KT_PHAN,KT_LOAI,"Tổ",KT_TO,IF(AC14="x",$D14,AC14),KT_NGAY,24)))</f>
        <v>0</v>
      </c>
      <c r="BK14" s="31" t="n">
        <f aca="false">IF(OR($B14="",AD14=""),0,IF(AND($E14="Trưởng tổ",AD14="x"),SUMIFS(KT_TRUONG,KT_LOAI,"Tổ",KT_TO,$D14,KT_NGAY,25),SUMIFS(KT_PHAN,KT_LOAI,"Tổ",KT_TO,IF(AD14="x",$D14,AD14),KT_NGAY,25)))</f>
        <v>0</v>
      </c>
      <c r="BL14" s="31" t="n">
        <f aca="false">IF(OR($B14="",AE14=""),0,IF(AND($E14="Trưởng tổ",AE14="x"),SUMIFS(KT_TRUONG,KT_LOAI,"Tổ",KT_TO,$D14,KT_NGAY,26),SUMIFS(KT_PHAN,KT_LOAI,"Tổ",KT_TO,IF(AE14="x",$D14,AE14),KT_NGAY,26)))</f>
        <v>0</v>
      </c>
      <c r="BM14" s="31" t="n">
        <f aca="false">IF(OR($B14="",AF14=""),0,IF(AND($E14="Trưởng tổ",AF14="x"),SUMIFS(KT_TRUONG,KT_LOAI,"Tổ",KT_TO,$D14,KT_NGAY,27),SUMIFS(KT_PHAN,KT_LOAI,"Tổ",KT_TO,IF(AF14="x",$D14,AF14),KT_NGAY,27)))</f>
        <v>0</v>
      </c>
      <c r="BN14" s="31" t="n">
        <f aca="false">IF(OR($B14="",AG14=""),0,IF(AND($E14="Trưởng tổ",AG14="x"),SUMIFS(KT_TRUONG,KT_LOAI,"Tổ",KT_TO,$D14,KT_NGAY,28),SUMIFS(KT_PHAN,KT_LOAI,"Tổ",KT_TO,IF(AG14="x",$D14,AG14),KT_NGAY,28)))</f>
        <v>0</v>
      </c>
      <c r="BO14" s="31" t="n">
        <f aca="false">IF(OR($B14="",AH14=""),0,IF(AND($E14="Trưởng tổ",AH14="x"),SUMIFS(KT_TRUONG,KT_LOAI,"Tổ",KT_TO,$D14,KT_NGAY,29),SUMIFS(KT_PHAN,KT_LOAI,"Tổ",KT_TO,IF(AH14="x",$D14,AH14),KT_NGAY,29)))</f>
        <v>0</v>
      </c>
      <c r="BP14" s="31" t="n">
        <f aca="false">IF(OR($B14="",AI14=""),0,IF(AND($E14="Trưởng tổ",AI14="x"),SUMIFS(KT_TRUONG,KT_LOAI,"Tổ",KT_TO,$D14,KT_NGAY,30),SUMIFS(KT_PHAN,KT_LOAI,"Tổ",KT_TO,IF(AI14="x",$D14,AI14),KT_NGAY,30)))</f>
        <v>0</v>
      </c>
      <c r="BQ14" s="31" t="n">
        <f aca="false">IF(OR($B14="",AJ14=""),0,IF(AND($E14="Trưởng tổ",AJ14="x"),SUMIFS(KT_TRUONG,KT_LOAI,"Tổ",KT_TO,$D14,KT_NGAY,31),SUMIFS(KT_PHAN,KT_LOAI,"Tổ",KT_TO,IF(AJ14="x",$D14,AJ14),KT_NGAY,31)))</f>
        <v>0</v>
      </c>
    </row>
    <row r="15" customFormat="false" ht="15" hidden="false" customHeight="false" outlineLevel="0" collapsed="false">
      <c r="A15" s="17" t="str">
        <f aca="false">IF(B15="","",ROW()-5)</f>
        <v/>
      </c>
      <c r="B15" s="29" t="str">
        <f aca="false">IF(OR(BCC!B15="",BCC!D15&lt;&gt;"Thời vụ HAQT"),"",BCC!B15)</f>
        <v/>
      </c>
      <c r="C15" s="17" t="str">
        <f aca="false">IF(B15="","",BCC!C15)</f>
        <v/>
      </c>
      <c r="D15" s="17" t="str">
        <f aca="false">IF(B15="","",IFERROR(INDEX(NV_TO,MATCH(B15,NV_MA,0)),""))</f>
        <v/>
      </c>
      <c r="E15" s="17" t="str">
        <f aca="false">IF(B15="","",IFERROR(INDEX(NV_VT,MATCH(B15,NV_MA,0)),""))</f>
        <v/>
      </c>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17" t="str">
        <f aca="false">IF(B15="","",COUNTA(F15:AJ15))</f>
        <v/>
      </c>
      <c r="AL15" s="30" t="str">
        <f aca="false">IF(B15="","",SUM(AM15:BQ15))</f>
        <v/>
      </c>
      <c r="AM15" s="31" t="n">
        <f aca="false">IF(OR($B15="",F15=""),0,IF(AND($E15="Trưởng tổ",F15="x"),SUMIFS(KT_TRUONG,KT_LOAI,"Tổ",KT_TO,$D15,KT_NGAY,1),SUMIFS(KT_PHAN,KT_LOAI,"Tổ",KT_TO,IF(F15="x",$D15,F15),KT_NGAY,1)))</f>
        <v>0</v>
      </c>
      <c r="AN15" s="31" t="n">
        <f aca="false">IF(OR($B15="",G15=""),0,IF(AND($E15="Trưởng tổ",G15="x"),SUMIFS(KT_TRUONG,KT_LOAI,"Tổ",KT_TO,$D15,KT_NGAY,2),SUMIFS(KT_PHAN,KT_LOAI,"Tổ",KT_TO,IF(G15="x",$D15,G15),KT_NGAY,2)))</f>
        <v>0</v>
      </c>
      <c r="AO15" s="31" t="n">
        <f aca="false">IF(OR($B15="",H15=""),0,IF(AND($E15="Trưởng tổ",H15="x"),SUMIFS(KT_TRUONG,KT_LOAI,"Tổ",KT_TO,$D15,KT_NGAY,3),SUMIFS(KT_PHAN,KT_LOAI,"Tổ",KT_TO,IF(H15="x",$D15,H15),KT_NGAY,3)))</f>
        <v>0</v>
      </c>
      <c r="AP15" s="31" t="n">
        <f aca="false">IF(OR($B15="",I15=""),0,IF(AND($E15="Trưởng tổ",I15="x"),SUMIFS(KT_TRUONG,KT_LOAI,"Tổ",KT_TO,$D15,KT_NGAY,4),SUMIFS(KT_PHAN,KT_LOAI,"Tổ",KT_TO,IF(I15="x",$D15,I15),KT_NGAY,4)))</f>
        <v>0</v>
      </c>
      <c r="AQ15" s="31" t="n">
        <f aca="false">IF(OR($B15="",J15=""),0,IF(AND($E15="Trưởng tổ",J15="x"),SUMIFS(KT_TRUONG,KT_LOAI,"Tổ",KT_TO,$D15,KT_NGAY,5),SUMIFS(KT_PHAN,KT_LOAI,"Tổ",KT_TO,IF(J15="x",$D15,J15),KT_NGAY,5)))</f>
        <v>0</v>
      </c>
      <c r="AR15" s="31" t="n">
        <f aca="false">IF(OR($B15="",K15=""),0,IF(AND($E15="Trưởng tổ",K15="x"),SUMIFS(KT_TRUONG,KT_LOAI,"Tổ",KT_TO,$D15,KT_NGAY,6),SUMIFS(KT_PHAN,KT_LOAI,"Tổ",KT_TO,IF(K15="x",$D15,K15),KT_NGAY,6)))</f>
        <v>0</v>
      </c>
      <c r="AS15" s="31" t="n">
        <f aca="false">IF(OR($B15="",L15=""),0,IF(AND($E15="Trưởng tổ",L15="x"),SUMIFS(KT_TRUONG,KT_LOAI,"Tổ",KT_TO,$D15,KT_NGAY,7),SUMIFS(KT_PHAN,KT_LOAI,"Tổ",KT_TO,IF(L15="x",$D15,L15),KT_NGAY,7)))</f>
        <v>0</v>
      </c>
      <c r="AT15" s="31" t="n">
        <f aca="false">IF(OR($B15="",M15=""),0,IF(AND($E15="Trưởng tổ",M15="x"),SUMIFS(KT_TRUONG,KT_LOAI,"Tổ",KT_TO,$D15,KT_NGAY,8),SUMIFS(KT_PHAN,KT_LOAI,"Tổ",KT_TO,IF(M15="x",$D15,M15),KT_NGAY,8)))</f>
        <v>0</v>
      </c>
      <c r="AU15" s="31" t="n">
        <f aca="false">IF(OR($B15="",N15=""),0,IF(AND($E15="Trưởng tổ",N15="x"),SUMIFS(KT_TRUONG,KT_LOAI,"Tổ",KT_TO,$D15,KT_NGAY,9),SUMIFS(KT_PHAN,KT_LOAI,"Tổ",KT_TO,IF(N15="x",$D15,N15),KT_NGAY,9)))</f>
        <v>0</v>
      </c>
      <c r="AV15" s="31" t="n">
        <f aca="false">IF(OR($B15="",O15=""),0,IF(AND($E15="Trưởng tổ",O15="x"),SUMIFS(KT_TRUONG,KT_LOAI,"Tổ",KT_TO,$D15,KT_NGAY,10),SUMIFS(KT_PHAN,KT_LOAI,"Tổ",KT_TO,IF(O15="x",$D15,O15),KT_NGAY,10)))</f>
        <v>0</v>
      </c>
      <c r="AW15" s="31" t="n">
        <f aca="false">IF(OR($B15="",P15=""),0,IF(AND($E15="Trưởng tổ",P15="x"),SUMIFS(KT_TRUONG,KT_LOAI,"Tổ",KT_TO,$D15,KT_NGAY,11),SUMIFS(KT_PHAN,KT_LOAI,"Tổ",KT_TO,IF(P15="x",$D15,P15),KT_NGAY,11)))</f>
        <v>0</v>
      </c>
      <c r="AX15" s="31" t="n">
        <f aca="false">IF(OR($B15="",Q15=""),0,IF(AND($E15="Trưởng tổ",Q15="x"),SUMIFS(KT_TRUONG,KT_LOAI,"Tổ",KT_TO,$D15,KT_NGAY,12),SUMIFS(KT_PHAN,KT_LOAI,"Tổ",KT_TO,IF(Q15="x",$D15,Q15),KT_NGAY,12)))</f>
        <v>0</v>
      </c>
      <c r="AY15" s="31" t="n">
        <f aca="false">IF(OR($B15="",R15=""),0,IF(AND($E15="Trưởng tổ",R15="x"),SUMIFS(KT_TRUONG,KT_LOAI,"Tổ",KT_TO,$D15,KT_NGAY,13),SUMIFS(KT_PHAN,KT_LOAI,"Tổ",KT_TO,IF(R15="x",$D15,R15),KT_NGAY,13)))</f>
        <v>0</v>
      </c>
      <c r="AZ15" s="31" t="n">
        <f aca="false">IF(OR($B15="",S15=""),0,IF(AND($E15="Trưởng tổ",S15="x"),SUMIFS(KT_TRUONG,KT_LOAI,"Tổ",KT_TO,$D15,KT_NGAY,14),SUMIFS(KT_PHAN,KT_LOAI,"Tổ",KT_TO,IF(S15="x",$D15,S15),KT_NGAY,14)))</f>
        <v>0</v>
      </c>
      <c r="BA15" s="31" t="n">
        <f aca="false">IF(OR($B15="",T15=""),0,IF(AND($E15="Trưởng tổ",T15="x"),SUMIFS(KT_TRUONG,KT_LOAI,"Tổ",KT_TO,$D15,KT_NGAY,15),SUMIFS(KT_PHAN,KT_LOAI,"Tổ",KT_TO,IF(T15="x",$D15,T15),KT_NGAY,15)))</f>
        <v>0</v>
      </c>
      <c r="BB15" s="31" t="n">
        <f aca="false">IF(OR($B15="",U15=""),0,IF(AND($E15="Trưởng tổ",U15="x"),SUMIFS(KT_TRUONG,KT_LOAI,"Tổ",KT_TO,$D15,KT_NGAY,16),SUMIFS(KT_PHAN,KT_LOAI,"Tổ",KT_TO,IF(U15="x",$D15,U15),KT_NGAY,16)))</f>
        <v>0</v>
      </c>
      <c r="BC15" s="31" t="n">
        <f aca="false">IF(OR($B15="",V15=""),0,IF(AND($E15="Trưởng tổ",V15="x"),SUMIFS(KT_TRUONG,KT_LOAI,"Tổ",KT_TO,$D15,KT_NGAY,17),SUMIFS(KT_PHAN,KT_LOAI,"Tổ",KT_TO,IF(V15="x",$D15,V15),KT_NGAY,17)))</f>
        <v>0</v>
      </c>
      <c r="BD15" s="31" t="n">
        <f aca="false">IF(OR($B15="",W15=""),0,IF(AND($E15="Trưởng tổ",W15="x"),SUMIFS(KT_TRUONG,KT_LOAI,"Tổ",KT_TO,$D15,KT_NGAY,18),SUMIFS(KT_PHAN,KT_LOAI,"Tổ",KT_TO,IF(W15="x",$D15,W15),KT_NGAY,18)))</f>
        <v>0</v>
      </c>
      <c r="BE15" s="31" t="n">
        <f aca="false">IF(OR($B15="",X15=""),0,IF(AND($E15="Trưởng tổ",X15="x"),SUMIFS(KT_TRUONG,KT_LOAI,"Tổ",KT_TO,$D15,KT_NGAY,19),SUMIFS(KT_PHAN,KT_LOAI,"Tổ",KT_TO,IF(X15="x",$D15,X15),KT_NGAY,19)))</f>
        <v>0</v>
      </c>
      <c r="BF15" s="31" t="n">
        <f aca="false">IF(OR($B15="",Y15=""),0,IF(AND($E15="Trưởng tổ",Y15="x"),SUMIFS(KT_TRUONG,KT_LOAI,"Tổ",KT_TO,$D15,KT_NGAY,20),SUMIFS(KT_PHAN,KT_LOAI,"Tổ",KT_TO,IF(Y15="x",$D15,Y15),KT_NGAY,20)))</f>
        <v>0</v>
      </c>
      <c r="BG15" s="31" t="n">
        <f aca="false">IF(OR($B15="",Z15=""),0,IF(AND($E15="Trưởng tổ",Z15="x"),SUMIFS(KT_TRUONG,KT_LOAI,"Tổ",KT_TO,$D15,KT_NGAY,21),SUMIFS(KT_PHAN,KT_LOAI,"Tổ",KT_TO,IF(Z15="x",$D15,Z15),KT_NGAY,21)))</f>
        <v>0</v>
      </c>
      <c r="BH15" s="31" t="n">
        <f aca="false">IF(OR($B15="",AA15=""),0,IF(AND($E15="Trưởng tổ",AA15="x"),SUMIFS(KT_TRUONG,KT_LOAI,"Tổ",KT_TO,$D15,KT_NGAY,22),SUMIFS(KT_PHAN,KT_LOAI,"Tổ",KT_TO,IF(AA15="x",$D15,AA15),KT_NGAY,22)))</f>
        <v>0</v>
      </c>
      <c r="BI15" s="31" t="n">
        <f aca="false">IF(OR($B15="",AB15=""),0,IF(AND($E15="Trưởng tổ",AB15="x"),SUMIFS(KT_TRUONG,KT_LOAI,"Tổ",KT_TO,$D15,KT_NGAY,23),SUMIFS(KT_PHAN,KT_LOAI,"Tổ",KT_TO,IF(AB15="x",$D15,AB15),KT_NGAY,23)))</f>
        <v>0</v>
      </c>
      <c r="BJ15" s="31" t="n">
        <f aca="false">IF(OR($B15="",AC15=""),0,IF(AND($E15="Trưởng tổ",AC15="x"),SUMIFS(KT_TRUONG,KT_LOAI,"Tổ",KT_TO,$D15,KT_NGAY,24),SUMIFS(KT_PHAN,KT_LOAI,"Tổ",KT_TO,IF(AC15="x",$D15,AC15),KT_NGAY,24)))</f>
        <v>0</v>
      </c>
      <c r="BK15" s="31" t="n">
        <f aca="false">IF(OR($B15="",AD15=""),0,IF(AND($E15="Trưởng tổ",AD15="x"),SUMIFS(KT_TRUONG,KT_LOAI,"Tổ",KT_TO,$D15,KT_NGAY,25),SUMIFS(KT_PHAN,KT_LOAI,"Tổ",KT_TO,IF(AD15="x",$D15,AD15),KT_NGAY,25)))</f>
        <v>0</v>
      </c>
      <c r="BL15" s="31" t="n">
        <f aca="false">IF(OR($B15="",AE15=""),0,IF(AND($E15="Trưởng tổ",AE15="x"),SUMIFS(KT_TRUONG,KT_LOAI,"Tổ",KT_TO,$D15,KT_NGAY,26),SUMIFS(KT_PHAN,KT_LOAI,"Tổ",KT_TO,IF(AE15="x",$D15,AE15),KT_NGAY,26)))</f>
        <v>0</v>
      </c>
      <c r="BM15" s="31" t="n">
        <f aca="false">IF(OR($B15="",AF15=""),0,IF(AND($E15="Trưởng tổ",AF15="x"),SUMIFS(KT_TRUONG,KT_LOAI,"Tổ",KT_TO,$D15,KT_NGAY,27),SUMIFS(KT_PHAN,KT_LOAI,"Tổ",KT_TO,IF(AF15="x",$D15,AF15),KT_NGAY,27)))</f>
        <v>0</v>
      </c>
      <c r="BN15" s="31" t="n">
        <f aca="false">IF(OR($B15="",AG15=""),0,IF(AND($E15="Trưởng tổ",AG15="x"),SUMIFS(KT_TRUONG,KT_LOAI,"Tổ",KT_TO,$D15,KT_NGAY,28),SUMIFS(KT_PHAN,KT_LOAI,"Tổ",KT_TO,IF(AG15="x",$D15,AG15),KT_NGAY,28)))</f>
        <v>0</v>
      </c>
      <c r="BO15" s="31" t="n">
        <f aca="false">IF(OR($B15="",AH15=""),0,IF(AND($E15="Trưởng tổ",AH15="x"),SUMIFS(KT_TRUONG,KT_LOAI,"Tổ",KT_TO,$D15,KT_NGAY,29),SUMIFS(KT_PHAN,KT_LOAI,"Tổ",KT_TO,IF(AH15="x",$D15,AH15),KT_NGAY,29)))</f>
        <v>0</v>
      </c>
      <c r="BP15" s="31" t="n">
        <f aca="false">IF(OR($B15="",AI15=""),0,IF(AND($E15="Trưởng tổ",AI15="x"),SUMIFS(KT_TRUONG,KT_LOAI,"Tổ",KT_TO,$D15,KT_NGAY,30),SUMIFS(KT_PHAN,KT_LOAI,"Tổ",KT_TO,IF(AI15="x",$D15,AI15),KT_NGAY,30)))</f>
        <v>0</v>
      </c>
      <c r="BQ15" s="31" t="n">
        <f aca="false">IF(OR($B15="",AJ15=""),0,IF(AND($E15="Trưởng tổ",AJ15="x"),SUMIFS(KT_TRUONG,KT_LOAI,"Tổ",KT_TO,$D15,KT_NGAY,31),SUMIFS(KT_PHAN,KT_LOAI,"Tổ",KT_TO,IF(AJ15="x",$D15,AJ15),KT_NGAY,31)))</f>
        <v>0</v>
      </c>
    </row>
    <row r="16" customFormat="false" ht="15" hidden="false" customHeight="false" outlineLevel="0" collapsed="false">
      <c r="A16" s="17" t="str">
        <f aca="false">IF(B16="","",ROW()-5)</f>
        <v/>
      </c>
      <c r="B16" s="29" t="str">
        <f aca="false">IF(OR(BCC!B16="",BCC!D16&lt;&gt;"Thời vụ HAQT"),"",BCC!B16)</f>
        <v/>
      </c>
      <c r="C16" s="17" t="str">
        <f aca="false">IF(B16="","",BCC!C16)</f>
        <v/>
      </c>
      <c r="D16" s="17" t="str">
        <f aca="false">IF(B16="","",IFERROR(INDEX(NV_TO,MATCH(B16,NV_MA,0)),""))</f>
        <v/>
      </c>
      <c r="E16" s="17" t="str">
        <f aca="false">IF(B16="","",IFERROR(INDEX(NV_VT,MATCH(B16,NV_MA,0)),""))</f>
        <v/>
      </c>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17" t="str">
        <f aca="false">IF(B16="","",COUNTA(F16:AJ16))</f>
        <v/>
      </c>
      <c r="AL16" s="30" t="str">
        <f aca="false">IF(B16="","",SUM(AM16:BQ16))</f>
        <v/>
      </c>
      <c r="AM16" s="31" t="n">
        <f aca="false">IF(OR($B16="",F16=""),0,IF(AND($E16="Trưởng tổ",F16="x"),SUMIFS(KT_TRUONG,KT_LOAI,"Tổ",KT_TO,$D16,KT_NGAY,1),SUMIFS(KT_PHAN,KT_LOAI,"Tổ",KT_TO,IF(F16="x",$D16,F16),KT_NGAY,1)))</f>
        <v>0</v>
      </c>
      <c r="AN16" s="31" t="n">
        <f aca="false">IF(OR($B16="",G16=""),0,IF(AND($E16="Trưởng tổ",G16="x"),SUMIFS(KT_TRUONG,KT_LOAI,"Tổ",KT_TO,$D16,KT_NGAY,2),SUMIFS(KT_PHAN,KT_LOAI,"Tổ",KT_TO,IF(G16="x",$D16,G16),KT_NGAY,2)))</f>
        <v>0</v>
      </c>
      <c r="AO16" s="31" t="n">
        <f aca="false">IF(OR($B16="",H16=""),0,IF(AND($E16="Trưởng tổ",H16="x"),SUMIFS(KT_TRUONG,KT_LOAI,"Tổ",KT_TO,$D16,KT_NGAY,3),SUMIFS(KT_PHAN,KT_LOAI,"Tổ",KT_TO,IF(H16="x",$D16,H16),KT_NGAY,3)))</f>
        <v>0</v>
      </c>
      <c r="AP16" s="31" t="n">
        <f aca="false">IF(OR($B16="",I16=""),0,IF(AND($E16="Trưởng tổ",I16="x"),SUMIFS(KT_TRUONG,KT_LOAI,"Tổ",KT_TO,$D16,KT_NGAY,4),SUMIFS(KT_PHAN,KT_LOAI,"Tổ",KT_TO,IF(I16="x",$D16,I16),KT_NGAY,4)))</f>
        <v>0</v>
      </c>
      <c r="AQ16" s="31" t="n">
        <f aca="false">IF(OR($B16="",J16=""),0,IF(AND($E16="Trưởng tổ",J16="x"),SUMIFS(KT_TRUONG,KT_LOAI,"Tổ",KT_TO,$D16,KT_NGAY,5),SUMIFS(KT_PHAN,KT_LOAI,"Tổ",KT_TO,IF(J16="x",$D16,J16),KT_NGAY,5)))</f>
        <v>0</v>
      </c>
      <c r="AR16" s="31" t="n">
        <f aca="false">IF(OR($B16="",K16=""),0,IF(AND($E16="Trưởng tổ",K16="x"),SUMIFS(KT_TRUONG,KT_LOAI,"Tổ",KT_TO,$D16,KT_NGAY,6),SUMIFS(KT_PHAN,KT_LOAI,"Tổ",KT_TO,IF(K16="x",$D16,K16),KT_NGAY,6)))</f>
        <v>0</v>
      </c>
      <c r="AS16" s="31" t="n">
        <f aca="false">IF(OR($B16="",L16=""),0,IF(AND($E16="Trưởng tổ",L16="x"),SUMIFS(KT_TRUONG,KT_LOAI,"Tổ",KT_TO,$D16,KT_NGAY,7),SUMIFS(KT_PHAN,KT_LOAI,"Tổ",KT_TO,IF(L16="x",$D16,L16),KT_NGAY,7)))</f>
        <v>0</v>
      </c>
      <c r="AT16" s="31" t="n">
        <f aca="false">IF(OR($B16="",M16=""),0,IF(AND($E16="Trưởng tổ",M16="x"),SUMIFS(KT_TRUONG,KT_LOAI,"Tổ",KT_TO,$D16,KT_NGAY,8),SUMIFS(KT_PHAN,KT_LOAI,"Tổ",KT_TO,IF(M16="x",$D16,M16),KT_NGAY,8)))</f>
        <v>0</v>
      </c>
      <c r="AU16" s="31" t="n">
        <f aca="false">IF(OR($B16="",N16=""),0,IF(AND($E16="Trưởng tổ",N16="x"),SUMIFS(KT_TRUONG,KT_LOAI,"Tổ",KT_TO,$D16,KT_NGAY,9),SUMIFS(KT_PHAN,KT_LOAI,"Tổ",KT_TO,IF(N16="x",$D16,N16),KT_NGAY,9)))</f>
        <v>0</v>
      </c>
      <c r="AV16" s="31" t="n">
        <f aca="false">IF(OR($B16="",O16=""),0,IF(AND($E16="Trưởng tổ",O16="x"),SUMIFS(KT_TRUONG,KT_LOAI,"Tổ",KT_TO,$D16,KT_NGAY,10),SUMIFS(KT_PHAN,KT_LOAI,"Tổ",KT_TO,IF(O16="x",$D16,O16),KT_NGAY,10)))</f>
        <v>0</v>
      </c>
      <c r="AW16" s="31" t="n">
        <f aca="false">IF(OR($B16="",P16=""),0,IF(AND($E16="Trưởng tổ",P16="x"),SUMIFS(KT_TRUONG,KT_LOAI,"Tổ",KT_TO,$D16,KT_NGAY,11),SUMIFS(KT_PHAN,KT_LOAI,"Tổ",KT_TO,IF(P16="x",$D16,P16),KT_NGAY,11)))</f>
        <v>0</v>
      </c>
      <c r="AX16" s="31" t="n">
        <f aca="false">IF(OR($B16="",Q16=""),0,IF(AND($E16="Trưởng tổ",Q16="x"),SUMIFS(KT_TRUONG,KT_LOAI,"Tổ",KT_TO,$D16,KT_NGAY,12),SUMIFS(KT_PHAN,KT_LOAI,"Tổ",KT_TO,IF(Q16="x",$D16,Q16),KT_NGAY,12)))</f>
        <v>0</v>
      </c>
      <c r="AY16" s="31" t="n">
        <f aca="false">IF(OR($B16="",R16=""),0,IF(AND($E16="Trưởng tổ",R16="x"),SUMIFS(KT_TRUONG,KT_LOAI,"Tổ",KT_TO,$D16,KT_NGAY,13),SUMIFS(KT_PHAN,KT_LOAI,"Tổ",KT_TO,IF(R16="x",$D16,R16),KT_NGAY,13)))</f>
        <v>0</v>
      </c>
      <c r="AZ16" s="31" t="n">
        <f aca="false">IF(OR($B16="",S16=""),0,IF(AND($E16="Trưởng tổ",S16="x"),SUMIFS(KT_TRUONG,KT_LOAI,"Tổ",KT_TO,$D16,KT_NGAY,14),SUMIFS(KT_PHAN,KT_LOAI,"Tổ",KT_TO,IF(S16="x",$D16,S16),KT_NGAY,14)))</f>
        <v>0</v>
      </c>
      <c r="BA16" s="31" t="n">
        <f aca="false">IF(OR($B16="",T16=""),0,IF(AND($E16="Trưởng tổ",T16="x"),SUMIFS(KT_TRUONG,KT_LOAI,"Tổ",KT_TO,$D16,KT_NGAY,15),SUMIFS(KT_PHAN,KT_LOAI,"Tổ",KT_TO,IF(T16="x",$D16,T16),KT_NGAY,15)))</f>
        <v>0</v>
      </c>
      <c r="BB16" s="31" t="n">
        <f aca="false">IF(OR($B16="",U16=""),0,IF(AND($E16="Trưởng tổ",U16="x"),SUMIFS(KT_TRUONG,KT_LOAI,"Tổ",KT_TO,$D16,KT_NGAY,16),SUMIFS(KT_PHAN,KT_LOAI,"Tổ",KT_TO,IF(U16="x",$D16,U16),KT_NGAY,16)))</f>
        <v>0</v>
      </c>
      <c r="BC16" s="31" t="n">
        <f aca="false">IF(OR($B16="",V16=""),0,IF(AND($E16="Trưởng tổ",V16="x"),SUMIFS(KT_TRUONG,KT_LOAI,"Tổ",KT_TO,$D16,KT_NGAY,17),SUMIFS(KT_PHAN,KT_LOAI,"Tổ",KT_TO,IF(V16="x",$D16,V16),KT_NGAY,17)))</f>
        <v>0</v>
      </c>
      <c r="BD16" s="31" t="n">
        <f aca="false">IF(OR($B16="",W16=""),0,IF(AND($E16="Trưởng tổ",W16="x"),SUMIFS(KT_TRUONG,KT_LOAI,"Tổ",KT_TO,$D16,KT_NGAY,18),SUMIFS(KT_PHAN,KT_LOAI,"Tổ",KT_TO,IF(W16="x",$D16,W16),KT_NGAY,18)))</f>
        <v>0</v>
      </c>
      <c r="BE16" s="31" t="n">
        <f aca="false">IF(OR($B16="",X16=""),0,IF(AND($E16="Trưởng tổ",X16="x"),SUMIFS(KT_TRUONG,KT_LOAI,"Tổ",KT_TO,$D16,KT_NGAY,19),SUMIFS(KT_PHAN,KT_LOAI,"Tổ",KT_TO,IF(X16="x",$D16,X16),KT_NGAY,19)))</f>
        <v>0</v>
      </c>
      <c r="BF16" s="31" t="n">
        <f aca="false">IF(OR($B16="",Y16=""),0,IF(AND($E16="Trưởng tổ",Y16="x"),SUMIFS(KT_TRUONG,KT_LOAI,"Tổ",KT_TO,$D16,KT_NGAY,20),SUMIFS(KT_PHAN,KT_LOAI,"Tổ",KT_TO,IF(Y16="x",$D16,Y16),KT_NGAY,20)))</f>
        <v>0</v>
      </c>
      <c r="BG16" s="31" t="n">
        <f aca="false">IF(OR($B16="",Z16=""),0,IF(AND($E16="Trưởng tổ",Z16="x"),SUMIFS(KT_TRUONG,KT_LOAI,"Tổ",KT_TO,$D16,KT_NGAY,21),SUMIFS(KT_PHAN,KT_LOAI,"Tổ",KT_TO,IF(Z16="x",$D16,Z16),KT_NGAY,21)))</f>
        <v>0</v>
      </c>
      <c r="BH16" s="31" t="n">
        <f aca="false">IF(OR($B16="",AA16=""),0,IF(AND($E16="Trưởng tổ",AA16="x"),SUMIFS(KT_TRUONG,KT_LOAI,"Tổ",KT_TO,$D16,KT_NGAY,22),SUMIFS(KT_PHAN,KT_LOAI,"Tổ",KT_TO,IF(AA16="x",$D16,AA16),KT_NGAY,22)))</f>
        <v>0</v>
      </c>
      <c r="BI16" s="31" t="n">
        <f aca="false">IF(OR($B16="",AB16=""),0,IF(AND($E16="Trưởng tổ",AB16="x"),SUMIFS(KT_TRUONG,KT_LOAI,"Tổ",KT_TO,$D16,KT_NGAY,23),SUMIFS(KT_PHAN,KT_LOAI,"Tổ",KT_TO,IF(AB16="x",$D16,AB16),KT_NGAY,23)))</f>
        <v>0</v>
      </c>
      <c r="BJ16" s="31" t="n">
        <f aca="false">IF(OR($B16="",AC16=""),0,IF(AND($E16="Trưởng tổ",AC16="x"),SUMIFS(KT_TRUONG,KT_LOAI,"Tổ",KT_TO,$D16,KT_NGAY,24),SUMIFS(KT_PHAN,KT_LOAI,"Tổ",KT_TO,IF(AC16="x",$D16,AC16),KT_NGAY,24)))</f>
        <v>0</v>
      </c>
      <c r="BK16" s="31" t="n">
        <f aca="false">IF(OR($B16="",AD16=""),0,IF(AND($E16="Trưởng tổ",AD16="x"),SUMIFS(KT_TRUONG,KT_LOAI,"Tổ",KT_TO,$D16,KT_NGAY,25),SUMIFS(KT_PHAN,KT_LOAI,"Tổ",KT_TO,IF(AD16="x",$D16,AD16),KT_NGAY,25)))</f>
        <v>0</v>
      </c>
      <c r="BL16" s="31" t="n">
        <f aca="false">IF(OR($B16="",AE16=""),0,IF(AND($E16="Trưởng tổ",AE16="x"),SUMIFS(KT_TRUONG,KT_LOAI,"Tổ",KT_TO,$D16,KT_NGAY,26),SUMIFS(KT_PHAN,KT_LOAI,"Tổ",KT_TO,IF(AE16="x",$D16,AE16),KT_NGAY,26)))</f>
        <v>0</v>
      </c>
      <c r="BM16" s="31" t="n">
        <f aca="false">IF(OR($B16="",AF16=""),0,IF(AND($E16="Trưởng tổ",AF16="x"),SUMIFS(KT_TRUONG,KT_LOAI,"Tổ",KT_TO,$D16,KT_NGAY,27),SUMIFS(KT_PHAN,KT_LOAI,"Tổ",KT_TO,IF(AF16="x",$D16,AF16),KT_NGAY,27)))</f>
        <v>0</v>
      </c>
      <c r="BN16" s="31" t="n">
        <f aca="false">IF(OR($B16="",AG16=""),0,IF(AND($E16="Trưởng tổ",AG16="x"),SUMIFS(KT_TRUONG,KT_LOAI,"Tổ",KT_TO,$D16,KT_NGAY,28),SUMIFS(KT_PHAN,KT_LOAI,"Tổ",KT_TO,IF(AG16="x",$D16,AG16),KT_NGAY,28)))</f>
        <v>0</v>
      </c>
      <c r="BO16" s="31" t="n">
        <f aca="false">IF(OR($B16="",AH16=""),0,IF(AND($E16="Trưởng tổ",AH16="x"),SUMIFS(KT_TRUONG,KT_LOAI,"Tổ",KT_TO,$D16,KT_NGAY,29),SUMIFS(KT_PHAN,KT_LOAI,"Tổ",KT_TO,IF(AH16="x",$D16,AH16),KT_NGAY,29)))</f>
        <v>0</v>
      </c>
      <c r="BP16" s="31" t="n">
        <f aca="false">IF(OR($B16="",AI16=""),0,IF(AND($E16="Trưởng tổ",AI16="x"),SUMIFS(KT_TRUONG,KT_LOAI,"Tổ",KT_TO,$D16,KT_NGAY,30),SUMIFS(KT_PHAN,KT_LOAI,"Tổ",KT_TO,IF(AI16="x",$D16,AI16),KT_NGAY,30)))</f>
        <v>0</v>
      </c>
      <c r="BQ16" s="31" t="n">
        <f aca="false">IF(OR($B16="",AJ16=""),0,IF(AND($E16="Trưởng tổ",AJ16="x"),SUMIFS(KT_TRUONG,KT_LOAI,"Tổ",KT_TO,$D16,KT_NGAY,31),SUMIFS(KT_PHAN,KT_LOAI,"Tổ",KT_TO,IF(AJ16="x",$D16,AJ16),KT_NGAY,31)))</f>
        <v>0</v>
      </c>
    </row>
    <row r="17" customFormat="false" ht="15" hidden="false" customHeight="false" outlineLevel="0" collapsed="false">
      <c r="A17" s="17" t="str">
        <f aca="false">IF(B17="","",ROW()-5)</f>
        <v/>
      </c>
      <c r="B17" s="29" t="str">
        <f aca="false">IF(OR(BCC!B17="",BCC!D17&lt;&gt;"Thời vụ HAQT"),"",BCC!B17)</f>
        <v/>
      </c>
      <c r="C17" s="17" t="str">
        <f aca="false">IF(B17="","",BCC!C17)</f>
        <v/>
      </c>
      <c r="D17" s="17" t="str">
        <f aca="false">IF(B17="","",IFERROR(INDEX(NV_TO,MATCH(B17,NV_MA,0)),""))</f>
        <v/>
      </c>
      <c r="E17" s="17" t="str">
        <f aca="false">IF(B17="","",IFERROR(INDEX(NV_VT,MATCH(B17,NV_MA,0)),""))</f>
        <v/>
      </c>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17" t="str">
        <f aca="false">IF(B17="","",COUNTA(F17:AJ17))</f>
        <v/>
      </c>
      <c r="AL17" s="30" t="str">
        <f aca="false">IF(B17="","",SUM(AM17:BQ17))</f>
        <v/>
      </c>
      <c r="AM17" s="31" t="n">
        <f aca="false">IF(OR($B17="",F17=""),0,IF(AND($E17="Trưởng tổ",F17="x"),SUMIFS(KT_TRUONG,KT_LOAI,"Tổ",KT_TO,$D17,KT_NGAY,1),SUMIFS(KT_PHAN,KT_LOAI,"Tổ",KT_TO,IF(F17="x",$D17,F17),KT_NGAY,1)))</f>
        <v>0</v>
      </c>
      <c r="AN17" s="31" t="n">
        <f aca="false">IF(OR($B17="",G17=""),0,IF(AND($E17="Trưởng tổ",G17="x"),SUMIFS(KT_TRUONG,KT_LOAI,"Tổ",KT_TO,$D17,KT_NGAY,2),SUMIFS(KT_PHAN,KT_LOAI,"Tổ",KT_TO,IF(G17="x",$D17,G17),KT_NGAY,2)))</f>
        <v>0</v>
      </c>
      <c r="AO17" s="31" t="n">
        <f aca="false">IF(OR($B17="",H17=""),0,IF(AND($E17="Trưởng tổ",H17="x"),SUMIFS(KT_TRUONG,KT_LOAI,"Tổ",KT_TO,$D17,KT_NGAY,3),SUMIFS(KT_PHAN,KT_LOAI,"Tổ",KT_TO,IF(H17="x",$D17,H17),KT_NGAY,3)))</f>
        <v>0</v>
      </c>
      <c r="AP17" s="31" t="n">
        <f aca="false">IF(OR($B17="",I17=""),0,IF(AND($E17="Trưởng tổ",I17="x"),SUMIFS(KT_TRUONG,KT_LOAI,"Tổ",KT_TO,$D17,KT_NGAY,4),SUMIFS(KT_PHAN,KT_LOAI,"Tổ",KT_TO,IF(I17="x",$D17,I17),KT_NGAY,4)))</f>
        <v>0</v>
      </c>
      <c r="AQ17" s="31" t="n">
        <f aca="false">IF(OR($B17="",J17=""),0,IF(AND($E17="Trưởng tổ",J17="x"),SUMIFS(KT_TRUONG,KT_LOAI,"Tổ",KT_TO,$D17,KT_NGAY,5),SUMIFS(KT_PHAN,KT_LOAI,"Tổ",KT_TO,IF(J17="x",$D17,J17),KT_NGAY,5)))</f>
        <v>0</v>
      </c>
      <c r="AR17" s="31" t="n">
        <f aca="false">IF(OR($B17="",K17=""),0,IF(AND($E17="Trưởng tổ",K17="x"),SUMIFS(KT_TRUONG,KT_LOAI,"Tổ",KT_TO,$D17,KT_NGAY,6),SUMIFS(KT_PHAN,KT_LOAI,"Tổ",KT_TO,IF(K17="x",$D17,K17),KT_NGAY,6)))</f>
        <v>0</v>
      </c>
      <c r="AS17" s="31" t="n">
        <f aca="false">IF(OR($B17="",L17=""),0,IF(AND($E17="Trưởng tổ",L17="x"),SUMIFS(KT_TRUONG,KT_LOAI,"Tổ",KT_TO,$D17,KT_NGAY,7),SUMIFS(KT_PHAN,KT_LOAI,"Tổ",KT_TO,IF(L17="x",$D17,L17),KT_NGAY,7)))</f>
        <v>0</v>
      </c>
      <c r="AT17" s="31" t="n">
        <f aca="false">IF(OR($B17="",M17=""),0,IF(AND($E17="Trưởng tổ",M17="x"),SUMIFS(KT_TRUONG,KT_LOAI,"Tổ",KT_TO,$D17,KT_NGAY,8),SUMIFS(KT_PHAN,KT_LOAI,"Tổ",KT_TO,IF(M17="x",$D17,M17),KT_NGAY,8)))</f>
        <v>0</v>
      </c>
      <c r="AU17" s="31" t="n">
        <f aca="false">IF(OR($B17="",N17=""),0,IF(AND($E17="Trưởng tổ",N17="x"),SUMIFS(KT_TRUONG,KT_LOAI,"Tổ",KT_TO,$D17,KT_NGAY,9),SUMIFS(KT_PHAN,KT_LOAI,"Tổ",KT_TO,IF(N17="x",$D17,N17),KT_NGAY,9)))</f>
        <v>0</v>
      </c>
      <c r="AV17" s="31" t="n">
        <f aca="false">IF(OR($B17="",O17=""),0,IF(AND($E17="Trưởng tổ",O17="x"),SUMIFS(KT_TRUONG,KT_LOAI,"Tổ",KT_TO,$D17,KT_NGAY,10),SUMIFS(KT_PHAN,KT_LOAI,"Tổ",KT_TO,IF(O17="x",$D17,O17),KT_NGAY,10)))</f>
        <v>0</v>
      </c>
      <c r="AW17" s="31" t="n">
        <f aca="false">IF(OR($B17="",P17=""),0,IF(AND($E17="Trưởng tổ",P17="x"),SUMIFS(KT_TRUONG,KT_LOAI,"Tổ",KT_TO,$D17,KT_NGAY,11),SUMIFS(KT_PHAN,KT_LOAI,"Tổ",KT_TO,IF(P17="x",$D17,P17),KT_NGAY,11)))</f>
        <v>0</v>
      </c>
      <c r="AX17" s="31" t="n">
        <f aca="false">IF(OR($B17="",Q17=""),0,IF(AND($E17="Trưởng tổ",Q17="x"),SUMIFS(KT_TRUONG,KT_LOAI,"Tổ",KT_TO,$D17,KT_NGAY,12),SUMIFS(KT_PHAN,KT_LOAI,"Tổ",KT_TO,IF(Q17="x",$D17,Q17),KT_NGAY,12)))</f>
        <v>0</v>
      </c>
      <c r="AY17" s="31" t="n">
        <f aca="false">IF(OR($B17="",R17=""),0,IF(AND($E17="Trưởng tổ",R17="x"),SUMIFS(KT_TRUONG,KT_LOAI,"Tổ",KT_TO,$D17,KT_NGAY,13),SUMIFS(KT_PHAN,KT_LOAI,"Tổ",KT_TO,IF(R17="x",$D17,R17),KT_NGAY,13)))</f>
        <v>0</v>
      </c>
      <c r="AZ17" s="31" t="n">
        <f aca="false">IF(OR($B17="",S17=""),0,IF(AND($E17="Trưởng tổ",S17="x"),SUMIFS(KT_TRUONG,KT_LOAI,"Tổ",KT_TO,$D17,KT_NGAY,14),SUMIFS(KT_PHAN,KT_LOAI,"Tổ",KT_TO,IF(S17="x",$D17,S17),KT_NGAY,14)))</f>
        <v>0</v>
      </c>
      <c r="BA17" s="31" t="n">
        <f aca="false">IF(OR($B17="",T17=""),0,IF(AND($E17="Trưởng tổ",T17="x"),SUMIFS(KT_TRUONG,KT_LOAI,"Tổ",KT_TO,$D17,KT_NGAY,15),SUMIFS(KT_PHAN,KT_LOAI,"Tổ",KT_TO,IF(T17="x",$D17,T17),KT_NGAY,15)))</f>
        <v>0</v>
      </c>
      <c r="BB17" s="31" t="n">
        <f aca="false">IF(OR($B17="",U17=""),0,IF(AND($E17="Trưởng tổ",U17="x"),SUMIFS(KT_TRUONG,KT_LOAI,"Tổ",KT_TO,$D17,KT_NGAY,16),SUMIFS(KT_PHAN,KT_LOAI,"Tổ",KT_TO,IF(U17="x",$D17,U17),KT_NGAY,16)))</f>
        <v>0</v>
      </c>
      <c r="BC17" s="31" t="n">
        <f aca="false">IF(OR($B17="",V17=""),0,IF(AND($E17="Trưởng tổ",V17="x"),SUMIFS(KT_TRUONG,KT_LOAI,"Tổ",KT_TO,$D17,KT_NGAY,17),SUMIFS(KT_PHAN,KT_LOAI,"Tổ",KT_TO,IF(V17="x",$D17,V17),KT_NGAY,17)))</f>
        <v>0</v>
      </c>
      <c r="BD17" s="31" t="n">
        <f aca="false">IF(OR($B17="",W17=""),0,IF(AND($E17="Trưởng tổ",W17="x"),SUMIFS(KT_TRUONG,KT_LOAI,"Tổ",KT_TO,$D17,KT_NGAY,18),SUMIFS(KT_PHAN,KT_LOAI,"Tổ",KT_TO,IF(W17="x",$D17,W17),KT_NGAY,18)))</f>
        <v>0</v>
      </c>
      <c r="BE17" s="31" t="n">
        <f aca="false">IF(OR($B17="",X17=""),0,IF(AND($E17="Trưởng tổ",X17="x"),SUMIFS(KT_TRUONG,KT_LOAI,"Tổ",KT_TO,$D17,KT_NGAY,19),SUMIFS(KT_PHAN,KT_LOAI,"Tổ",KT_TO,IF(X17="x",$D17,X17),KT_NGAY,19)))</f>
        <v>0</v>
      </c>
      <c r="BF17" s="31" t="n">
        <f aca="false">IF(OR($B17="",Y17=""),0,IF(AND($E17="Trưởng tổ",Y17="x"),SUMIFS(KT_TRUONG,KT_LOAI,"Tổ",KT_TO,$D17,KT_NGAY,20),SUMIFS(KT_PHAN,KT_LOAI,"Tổ",KT_TO,IF(Y17="x",$D17,Y17),KT_NGAY,20)))</f>
        <v>0</v>
      </c>
      <c r="BG17" s="31" t="n">
        <f aca="false">IF(OR($B17="",Z17=""),0,IF(AND($E17="Trưởng tổ",Z17="x"),SUMIFS(KT_TRUONG,KT_LOAI,"Tổ",KT_TO,$D17,KT_NGAY,21),SUMIFS(KT_PHAN,KT_LOAI,"Tổ",KT_TO,IF(Z17="x",$D17,Z17),KT_NGAY,21)))</f>
        <v>0</v>
      </c>
      <c r="BH17" s="31" t="n">
        <f aca="false">IF(OR($B17="",AA17=""),0,IF(AND($E17="Trưởng tổ",AA17="x"),SUMIFS(KT_TRUONG,KT_LOAI,"Tổ",KT_TO,$D17,KT_NGAY,22),SUMIFS(KT_PHAN,KT_LOAI,"Tổ",KT_TO,IF(AA17="x",$D17,AA17),KT_NGAY,22)))</f>
        <v>0</v>
      </c>
      <c r="BI17" s="31" t="n">
        <f aca="false">IF(OR($B17="",AB17=""),0,IF(AND($E17="Trưởng tổ",AB17="x"),SUMIFS(KT_TRUONG,KT_LOAI,"Tổ",KT_TO,$D17,KT_NGAY,23),SUMIFS(KT_PHAN,KT_LOAI,"Tổ",KT_TO,IF(AB17="x",$D17,AB17),KT_NGAY,23)))</f>
        <v>0</v>
      </c>
      <c r="BJ17" s="31" t="n">
        <f aca="false">IF(OR($B17="",AC17=""),0,IF(AND($E17="Trưởng tổ",AC17="x"),SUMIFS(KT_TRUONG,KT_LOAI,"Tổ",KT_TO,$D17,KT_NGAY,24),SUMIFS(KT_PHAN,KT_LOAI,"Tổ",KT_TO,IF(AC17="x",$D17,AC17),KT_NGAY,24)))</f>
        <v>0</v>
      </c>
      <c r="BK17" s="31" t="n">
        <f aca="false">IF(OR($B17="",AD17=""),0,IF(AND($E17="Trưởng tổ",AD17="x"),SUMIFS(KT_TRUONG,KT_LOAI,"Tổ",KT_TO,$D17,KT_NGAY,25),SUMIFS(KT_PHAN,KT_LOAI,"Tổ",KT_TO,IF(AD17="x",$D17,AD17),KT_NGAY,25)))</f>
        <v>0</v>
      </c>
      <c r="BL17" s="31" t="n">
        <f aca="false">IF(OR($B17="",AE17=""),0,IF(AND($E17="Trưởng tổ",AE17="x"),SUMIFS(KT_TRUONG,KT_LOAI,"Tổ",KT_TO,$D17,KT_NGAY,26),SUMIFS(KT_PHAN,KT_LOAI,"Tổ",KT_TO,IF(AE17="x",$D17,AE17),KT_NGAY,26)))</f>
        <v>0</v>
      </c>
      <c r="BM17" s="31" t="n">
        <f aca="false">IF(OR($B17="",AF17=""),0,IF(AND($E17="Trưởng tổ",AF17="x"),SUMIFS(KT_TRUONG,KT_LOAI,"Tổ",KT_TO,$D17,KT_NGAY,27),SUMIFS(KT_PHAN,KT_LOAI,"Tổ",KT_TO,IF(AF17="x",$D17,AF17),KT_NGAY,27)))</f>
        <v>0</v>
      </c>
      <c r="BN17" s="31" t="n">
        <f aca="false">IF(OR($B17="",AG17=""),0,IF(AND($E17="Trưởng tổ",AG17="x"),SUMIFS(KT_TRUONG,KT_LOAI,"Tổ",KT_TO,$D17,KT_NGAY,28),SUMIFS(KT_PHAN,KT_LOAI,"Tổ",KT_TO,IF(AG17="x",$D17,AG17),KT_NGAY,28)))</f>
        <v>0</v>
      </c>
      <c r="BO17" s="31" t="n">
        <f aca="false">IF(OR($B17="",AH17=""),0,IF(AND($E17="Trưởng tổ",AH17="x"),SUMIFS(KT_TRUONG,KT_LOAI,"Tổ",KT_TO,$D17,KT_NGAY,29),SUMIFS(KT_PHAN,KT_LOAI,"Tổ",KT_TO,IF(AH17="x",$D17,AH17),KT_NGAY,29)))</f>
        <v>0</v>
      </c>
      <c r="BP17" s="31" t="n">
        <f aca="false">IF(OR($B17="",AI17=""),0,IF(AND($E17="Trưởng tổ",AI17="x"),SUMIFS(KT_TRUONG,KT_LOAI,"Tổ",KT_TO,$D17,KT_NGAY,30),SUMIFS(KT_PHAN,KT_LOAI,"Tổ",KT_TO,IF(AI17="x",$D17,AI17),KT_NGAY,30)))</f>
        <v>0</v>
      </c>
      <c r="BQ17" s="31" t="n">
        <f aca="false">IF(OR($B17="",AJ17=""),0,IF(AND($E17="Trưởng tổ",AJ17="x"),SUMIFS(KT_TRUONG,KT_LOAI,"Tổ",KT_TO,$D17,KT_NGAY,31),SUMIFS(KT_PHAN,KT_LOAI,"Tổ",KT_TO,IF(AJ17="x",$D17,AJ17),KT_NGAY,31)))</f>
        <v>0</v>
      </c>
    </row>
    <row r="18" customFormat="false" ht="15" hidden="false" customHeight="false" outlineLevel="0" collapsed="false">
      <c r="A18" s="17" t="str">
        <f aca="false">IF(B18="","",ROW()-5)</f>
        <v/>
      </c>
      <c r="B18" s="29" t="str">
        <f aca="false">IF(OR(BCC!B18="",BCC!D18&lt;&gt;"Thời vụ HAQT"),"",BCC!B18)</f>
        <v/>
      </c>
      <c r="C18" s="17" t="str">
        <f aca="false">IF(B18="","",BCC!C18)</f>
        <v/>
      </c>
      <c r="D18" s="17" t="str">
        <f aca="false">IF(B18="","",IFERROR(INDEX(NV_TO,MATCH(B18,NV_MA,0)),""))</f>
        <v/>
      </c>
      <c r="E18" s="17" t="str">
        <f aca="false">IF(B18="","",IFERROR(INDEX(NV_VT,MATCH(B18,NV_MA,0)),""))</f>
        <v/>
      </c>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17" t="str">
        <f aca="false">IF(B18="","",COUNTA(F18:AJ18))</f>
        <v/>
      </c>
      <c r="AL18" s="30" t="str">
        <f aca="false">IF(B18="","",SUM(AM18:BQ18))</f>
        <v/>
      </c>
      <c r="AM18" s="31" t="n">
        <f aca="false">IF(OR($B18="",F18=""),0,IF(AND($E18="Trưởng tổ",F18="x"),SUMIFS(KT_TRUONG,KT_LOAI,"Tổ",KT_TO,$D18,KT_NGAY,1),SUMIFS(KT_PHAN,KT_LOAI,"Tổ",KT_TO,IF(F18="x",$D18,F18),KT_NGAY,1)))</f>
        <v>0</v>
      </c>
      <c r="AN18" s="31" t="n">
        <f aca="false">IF(OR($B18="",G18=""),0,IF(AND($E18="Trưởng tổ",G18="x"),SUMIFS(KT_TRUONG,KT_LOAI,"Tổ",KT_TO,$D18,KT_NGAY,2),SUMIFS(KT_PHAN,KT_LOAI,"Tổ",KT_TO,IF(G18="x",$D18,G18),KT_NGAY,2)))</f>
        <v>0</v>
      </c>
      <c r="AO18" s="31" t="n">
        <f aca="false">IF(OR($B18="",H18=""),0,IF(AND($E18="Trưởng tổ",H18="x"),SUMIFS(KT_TRUONG,KT_LOAI,"Tổ",KT_TO,$D18,KT_NGAY,3),SUMIFS(KT_PHAN,KT_LOAI,"Tổ",KT_TO,IF(H18="x",$D18,H18),KT_NGAY,3)))</f>
        <v>0</v>
      </c>
      <c r="AP18" s="31" t="n">
        <f aca="false">IF(OR($B18="",I18=""),0,IF(AND($E18="Trưởng tổ",I18="x"),SUMIFS(KT_TRUONG,KT_LOAI,"Tổ",KT_TO,$D18,KT_NGAY,4),SUMIFS(KT_PHAN,KT_LOAI,"Tổ",KT_TO,IF(I18="x",$D18,I18),KT_NGAY,4)))</f>
        <v>0</v>
      </c>
      <c r="AQ18" s="31" t="n">
        <f aca="false">IF(OR($B18="",J18=""),0,IF(AND($E18="Trưởng tổ",J18="x"),SUMIFS(KT_TRUONG,KT_LOAI,"Tổ",KT_TO,$D18,KT_NGAY,5),SUMIFS(KT_PHAN,KT_LOAI,"Tổ",KT_TO,IF(J18="x",$D18,J18),KT_NGAY,5)))</f>
        <v>0</v>
      </c>
      <c r="AR18" s="31" t="n">
        <f aca="false">IF(OR($B18="",K18=""),0,IF(AND($E18="Trưởng tổ",K18="x"),SUMIFS(KT_TRUONG,KT_LOAI,"Tổ",KT_TO,$D18,KT_NGAY,6),SUMIFS(KT_PHAN,KT_LOAI,"Tổ",KT_TO,IF(K18="x",$D18,K18),KT_NGAY,6)))</f>
        <v>0</v>
      </c>
      <c r="AS18" s="31" t="n">
        <f aca="false">IF(OR($B18="",L18=""),0,IF(AND($E18="Trưởng tổ",L18="x"),SUMIFS(KT_TRUONG,KT_LOAI,"Tổ",KT_TO,$D18,KT_NGAY,7),SUMIFS(KT_PHAN,KT_LOAI,"Tổ",KT_TO,IF(L18="x",$D18,L18),KT_NGAY,7)))</f>
        <v>0</v>
      </c>
      <c r="AT18" s="31" t="n">
        <f aca="false">IF(OR($B18="",M18=""),0,IF(AND($E18="Trưởng tổ",M18="x"),SUMIFS(KT_TRUONG,KT_LOAI,"Tổ",KT_TO,$D18,KT_NGAY,8),SUMIFS(KT_PHAN,KT_LOAI,"Tổ",KT_TO,IF(M18="x",$D18,M18),KT_NGAY,8)))</f>
        <v>0</v>
      </c>
      <c r="AU18" s="31" t="n">
        <f aca="false">IF(OR($B18="",N18=""),0,IF(AND($E18="Trưởng tổ",N18="x"),SUMIFS(KT_TRUONG,KT_LOAI,"Tổ",KT_TO,$D18,KT_NGAY,9),SUMIFS(KT_PHAN,KT_LOAI,"Tổ",KT_TO,IF(N18="x",$D18,N18),KT_NGAY,9)))</f>
        <v>0</v>
      </c>
      <c r="AV18" s="31" t="n">
        <f aca="false">IF(OR($B18="",O18=""),0,IF(AND($E18="Trưởng tổ",O18="x"),SUMIFS(KT_TRUONG,KT_LOAI,"Tổ",KT_TO,$D18,KT_NGAY,10),SUMIFS(KT_PHAN,KT_LOAI,"Tổ",KT_TO,IF(O18="x",$D18,O18),KT_NGAY,10)))</f>
        <v>0</v>
      </c>
      <c r="AW18" s="31" t="n">
        <f aca="false">IF(OR($B18="",P18=""),0,IF(AND($E18="Trưởng tổ",P18="x"),SUMIFS(KT_TRUONG,KT_LOAI,"Tổ",KT_TO,$D18,KT_NGAY,11),SUMIFS(KT_PHAN,KT_LOAI,"Tổ",KT_TO,IF(P18="x",$D18,P18),KT_NGAY,11)))</f>
        <v>0</v>
      </c>
      <c r="AX18" s="31" t="n">
        <f aca="false">IF(OR($B18="",Q18=""),0,IF(AND($E18="Trưởng tổ",Q18="x"),SUMIFS(KT_TRUONG,KT_LOAI,"Tổ",KT_TO,$D18,KT_NGAY,12),SUMIFS(KT_PHAN,KT_LOAI,"Tổ",KT_TO,IF(Q18="x",$D18,Q18),KT_NGAY,12)))</f>
        <v>0</v>
      </c>
      <c r="AY18" s="31" t="n">
        <f aca="false">IF(OR($B18="",R18=""),0,IF(AND($E18="Trưởng tổ",R18="x"),SUMIFS(KT_TRUONG,KT_LOAI,"Tổ",KT_TO,$D18,KT_NGAY,13),SUMIFS(KT_PHAN,KT_LOAI,"Tổ",KT_TO,IF(R18="x",$D18,R18),KT_NGAY,13)))</f>
        <v>0</v>
      </c>
      <c r="AZ18" s="31" t="n">
        <f aca="false">IF(OR($B18="",S18=""),0,IF(AND($E18="Trưởng tổ",S18="x"),SUMIFS(KT_TRUONG,KT_LOAI,"Tổ",KT_TO,$D18,KT_NGAY,14),SUMIFS(KT_PHAN,KT_LOAI,"Tổ",KT_TO,IF(S18="x",$D18,S18),KT_NGAY,14)))</f>
        <v>0</v>
      </c>
      <c r="BA18" s="31" t="n">
        <f aca="false">IF(OR($B18="",T18=""),0,IF(AND($E18="Trưởng tổ",T18="x"),SUMIFS(KT_TRUONG,KT_LOAI,"Tổ",KT_TO,$D18,KT_NGAY,15),SUMIFS(KT_PHAN,KT_LOAI,"Tổ",KT_TO,IF(T18="x",$D18,T18),KT_NGAY,15)))</f>
        <v>0</v>
      </c>
      <c r="BB18" s="31" t="n">
        <f aca="false">IF(OR($B18="",U18=""),0,IF(AND($E18="Trưởng tổ",U18="x"),SUMIFS(KT_TRUONG,KT_LOAI,"Tổ",KT_TO,$D18,KT_NGAY,16),SUMIFS(KT_PHAN,KT_LOAI,"Tổ",KT_TO,IF(U18="x",$D18,U18),KT_NGAY,16)))</f>
        <v>0</v>
      </c>
      <c r="BC18" s="31" t="n">
        <f aca="false">IF(OR($B18="",V18=""),0,IF(AND($E18="Trưởng tổ",V18="x"),SUMIFS(KT_TRUONG,KT_LOAI,"Tổ",KT_TO,$D18,KT_NGAY,17),SUMIFS(KT_PHAN,KT_LOAI,"Tổ",KT_TO,IF(V18="x",$D18,V18),KT_NGAY,17)))</f>
        <v>0</v>
      </c>
      <c r="BD18" s="31" t="n">
        <f aca="false">IF(OR($B18="",W18=""),0,IF(AND($E18="Trưởng tổ",W18="x"),SUMIFS(KT_TRUONG,KT_LOAI,"Tổ",KT_TO,$D18,KT_NGAY,18),SUMIFS(KT_PHAN,KT_LOAI,"Tổ",KT_TO,IF(W18="x",$D18,W18),KT_NGAY,18)))</f>
        <v>0</v>
      </c>
      <c r="BE18" s="31" t="n">
        <f aca="false">IF(OR($B18="",X18=""),0,IF(AND($E18="Trưởng tổ",X18="x"),SUMIFS(KT_TRUONG,KT_LOAI,"Tổ",KT_TO,$D18,KT_NGAY,19),SUMIFS(KT_PHAN,KT_LOAI,"Tổ",KT_TO,IF(X18="x",$D18,X18),KT_NGAY,19)))</f>
        <v>0</v>
      </c>
      <c r="BF18" s="31" t="n">
        <f aca="false">IF(OR($B18="",Y18=""),0,IF(AND($E18="Trưởng tổ",Y18="x"),SUMIFS(KT_TRUONG,KT_LOAI,"Tổ",KT_TO,$D18,KT_NGAY,20),SUMIFS(KT_PHAN,KT_LOAI,"Tổ",KT_TO,IF(Y18="x",$D18,Y18),KT_NGAY,20)))</f>
        <v>0</v>
      </c>
      <c r="BG18" s="31" t="n">
        <f aca="false">IF(OR($B18="",Z18=""),0,IF(AND($E18="Trưởng tổ",Z18="x"),SUMIFS(KT_TRUONG,KT_LOAI,"Tổ",KT_TO,$D18,KT_NGAY,21),SUMIFS(KT_PHAN,KT_LOAI,"Tổ",KT_TO,IF(Z18="x",$D18,Z18),KT_NGAY,21)))</f>
        <v>0</v>
      </c>
      <c r="BH18" s="31" t="n">
        <f aca="false">IF(OR($B18="",AA18=""),0,IF(AND($E18="Trưởng tổ",AA18="x"),SUMIFS(KT_TRUONG,KT_LOAI,"Tổ",KT_TO,$D18,KT_NGAY,22),SUMIFS(KT_PHAN,KT_LOAI,"Tổ",KT_TO,IF(AA18="x",$D18,AA18),KT_NGAY,22)))</f>
        <v>0</v>
      </c>
      <c r="BI18" s="31" t="n">
        <f aca="false">IF(OR($B18="",AB18=""),0,IF(AND($E18="Trưởng tổ",AB18="x"),SUMIFS(KT_TRUONG,KT_LOAI,"Tổ",KT_TO,$D18,KT_NGAY,23),SUMIFS(KT_PHAN,KT_LOAI,"Tổ",KT_TO,IF(AB18="x",$D18,AB18),KT_NGAY,23)))</f>
        <v>0</v>
      </c>
      <c r="BJ18" s="31" t="n">
        <f aca="false">IF(OR($B18="",AC18=""),0,IF(AND($E18="Trưởng tổ",AC18="x"),SUMIFS(KT_TRUONG,KT_LOAI,"Tổ",KT_TO,$D18,KT_NGAY,24),SUMIFS(KT_PHAN,KT_LOAI,"Tổ",KT_TO,IF(AC18="x",$D18,AC18),KT_NGAY,24)))</f>
        <v>0</v>
      </c>
      <c r="BK18" s="31" t="n">
        <f aca="false">IF(OR($B18="",AD18=""),0,IF(AND($E18="Trưởng tổ",AD18="x"),SUMIFS(KT_TRUONG,KT_LOAI,"Tổ",KT_TO,$D18,KT_NGAY,25),SUMIFS(KT_PHAN,KT_LOAI,"Tổ",KT_TO,IF(AD18="x",$D18,AD18),KT_NGAY,25)))</f>
        <v>0</v>
      </c>
      <c r="BL18" s="31" t="n">
        <f aca="false">IF(OR($B18="",AE18=""),0,IF(AND($E18="Trưởng tổ",AE18="x"),SUMIFS(KT_TRUONG,KT_LOAI,"Tổ",KT_TO,$D18,KT_NGAY,26),SUMIFS(KT_PHAN,KT_LOAI,"Tổ",KT_TO,IF(AE18="x",$D18,AE18),KT_NGAY,26)))</f>
        <v>0</v>
      </c>
      <c r="BM18" s="31" t="n">
        <f aca="false">IF(OR($B18="",AF18=""),0,IF(AND($E18="Trưởng tổ",AF18="x"),SUMIFS(KT_TRUONG,KT_LOAI,"Tổ",KT_TO,$D18,KT_NGAY,27),SUMIFS(KT_PHAN,KT_LOAI,"Tổ",KT_TO,IF(AF18="x",$D18,AF18),KT_NGAY,27)))</f>
        <v>0</v>
      </c>
      <c r="BN18" s="31" t="n">
        <f aca="false">IF(OR($B18="",AG18=""),0,IF(AND($E18="Trưởng tổ",AG18="x"),SUMIFS(KT_TRUONG,KT_LOAI,"Tổ",KT_TO,$D18,KT_NGAY,28),SUMIFS(KT_PHAN,KT_LOAI,"Tổ",KT_TO,IF(AG18="x",$D18,AG18),KT_NGAY,28)))</f>
        <v>0</v>
      </c>
      <c r="BO18" s="31" t="n">
        <f aca="false">IF(OR($B18="",AH18=""),0,IF(AND($E18="Trưởng tổ",AH18="x"),SUMIFS(KT_TRUONG,KT_LOAI,"Tổ",KT_TO,$D18,KT_NGAY,29),SUMIFS(KT_PHAN,KT_LOAI,"Tổ",KT_TO,IF(AH18="x",$D18,AH18),KT_NGAY,29)))</f>
        <v>0</v>
      </c>
      <c r="BP18" s="31" t="n">
        <f aca="false">IF(OR($B18="",AI18=""),0,IF(AND($E18="Trưởng tổ",AI18="x"),SUMIFS(KT_TRUONG,KT_LOAI,"Tổ",KT_TO,$D18,KT_NGAY,30),SUMIFS(KT_PHAN,KT_LOAI,"Tổ",KT_TO,IF(AI18="x",$D18,AI18),KT_NGAY,30)))</f>
        <v>0</v>
      </c>
      <c r="BQ18" s="31" t="n">
        <f aca="false">IF(OR($B18="",AJ18=""),0,IF(AND($E18="Trưởng tổ",AJ18="x"),SUMIFS(KT_TRUONG,KT_LOAI,"Tổ",KT_TO,$D18,KT_NGAY,31),SUMIFS(KT_PHAN,KT_LOAI,"Tổ",KT_TO,IF(AJ18="x",$D18,AJ18),KT_NGAY,31)))</f>
        <v>0</v>
      </c>
    </row>
    <row r="19" customFormat="false" ht="15" hidden="false" customHeight="false" outlineLevel="0" collapsed="false">
      <c r="A19" s="17" t="str">
        <f aca="false">IF(B19="","",ROW()-5)</f>
        <v/>
      </c>
      <c r="B19" s="29" t="str">
        <f aca="false">IF(OR(BCC!B19="",BCC!D19&lt;&gt;"Thời vụ HAQT"),"",BCC!B19)</f>
        <v/>
      </c>
      <c r="C19" s="17" t="str">
        <f aca="false">IF(B19="","",BCC!C19)</f>
        <v/>
      </c>
      <c r="D19" s="17" t="str">
        <f aca="false">IF(B19="","",IFERROR(INDEX(NV_TO,MATCH(B19,NV_MA,0)),""))</f>
        <v/>
      </c>
      <c r="E19" s="17" t="str">
        <f aca="false">IF(B19="","",IFERROR(INDEX(NV_VT,MATCH(B19,NV_MA,0)),""))</f>
        <v/>
      </c>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17" t="str">
        <f aca="false">IF(B19="","",COUNTA(F19:AJ19))</f>
        <v/>
      </c>
      <c r="AL19" s="30" t="str">
        <f aca="false">IF(B19="","",SUM(AM19:BQ19))</f>
        <v/>
      </c>
      <c r="AM19" s="31" t="n">
        <f aca="false">IF(OR($B19="",F19=""),0,IF(AND($E19="Trưởng tổ",F19="x"),SUMIFS(KT_TRUONG,KT_LOAI,"Tổ",KT_TO,$D19,KT_NGAY,1),SUMIFS(KT_PHAN,KT_LOAI,"Tổ",KT_TO,IF(F19="x",$D19,F19),KT_NGAY,1)))</f>
        <v>0</v>
      </c>
      <c r="AN19" s="31" t="n">
        <f aca="false">IF(OR($B19="",G19=""),0,IF(AND($E19="Trưởng tổ",G19="x"),SUMIFS(KT_TRUONG,KT_LOAI,"Tổ",KT_TO,$D19,KT_NGAY,2),SUMIFS(KT_PHAN,KT_LOAI,"Tổ",KT_TO,IF(G19="x",$D19,G19),KT_NGAY,2)))</f>
        <v>0</v>
      </c>
      <c r="AO19" s="31" t="n">
        <f aca="false">IF(OR($B19="",H19=""),0,IF(AND($E19="Trưởng tổ",H19="x"),SUMIFS(KT_TRUONG,KT_LOAI,"Tổ",KT_TO,$D19,KT_NGAY,3),SUMIFS(KT_PHAN,KT_LOAI,"Tổ",KT_TO,IF(H19="x",$D19,H19),KT_NGAY,3)))</f>
        <v>0</v>
      </c>
      <c r="AP19" s="31" t="n">
        <f aca="false">IF(OR($B19="",I19=""),0,IF(AND($E19="Trưởng tổ",I19="x"),SUMIFS(KT_TRUONG,KT_LOAI,"Tổ",KT_TO,$D19,KT_NGAY,4),SUMIFS(KT_PHAN,KT_LOAI,"Tổ",KT_TO,IF(I19="x",$D19,I19),KT_NGAY,4)))</f>
        <v>0</v>
      </c>
      <c r="AQ19" s="31" t="n">
        <f aca="false">IF(OR($B19="",J19=""),0,IF(AND($E19="Trưởng tổ",J19="x"),SUMIFS(KT_TRUONG,KT_LOAI,"Tổ",KT_TO,$D19,KT_NGAY,5),SUMIFS(KT_PHAN,KT_LOAI,"Tổ",KT_TO,IF(J19="x",$D19,J19),KT_NGAY,5)))</f>
        <v>0</v>
      </c>
      <c r="AR19" s="31" t="n">
        <f aca="false">IF(OR($B19="",K19=""),0,IF(AND($E19="Trưởng tổ",K19="x"),SUMIFS(KT_TRUONG,KT_LOAI,"Tổ",KT_TO,$D19,KT_NGAY,6),SUMIFS(KT_PHAN,KT_LOAI,"Tổ",KT_TO,IF(K19="x",$D19,K19),KT_NGAY,6)))</f>
        <v>0</v>
      </c>
      <c r="AS19" s="31" t="n">
        <f aca="false">IF(OR($B19="",L19=""),0,IF(AND($E19="Trưởng tổ",L19="x"),SUMIFS(KT_TRUONG,KT_LOAI,"Tổ",KT_TO,$D19,KT_NGAY,7),SUMIFS(KT_PHAN,KT_LOAI,"Tổ",KT_TO,IF(L19="x",$D19,L19),KT_NGAY,7)))</f>
        <v>0</v>
      </c>
      <c r="AT19" s="31" t="n">
        <f aca="false">IF(OR($B19="",M19=""),0,IF(AND($E19="Trưởng tổ",M19="x"),SUMIFS(KT_TRUONG,KT_LOAI,"Tổ",KT_TO,$D19,KT_NGAY,8),SUMIFS(KT_PHAN,KT_LOAI,"Tổ",KT_TO,IF(M19="x",$D19,M19),KT_NGAY,8)))</f>
        <v>0</v>
      </c>
      <c r="AU19" s="31" t="n">
        <f aca="false">IF(OR($B19="",N19=""),0,IF(AND($E19="Trưởng tổ",N19="x"),SUMIFS(KT_TRUONG,KT_LOAI,"Tổ",KT_TO,$D19,KT_NGAY,9),SUMIFS(KT_PHAN,KT_LOAI,"Tổ",KT_TO,IF(N19="x",$D19,N19),KT_NGAY,9)))</f>
        <v>0</v>
      </c>
      <c r="AV19" s="31" t="n">
        <f aca="false">IF(OR($B19="",O19=""),0,IF(AND($E19="Trưởng tổ",O19="x"),SUMIFS(KT_TRUONG,KT_LOAI,"Tổ",KT_TO,$D19,KT_NGAY,10),SUMIFS(KT_PHAN,KT_LOAI,"Tổ",KT_TO,IF(O19="x",$D19,O19),KT_NGAY,10)))</f>
        <v>0</v>
      </c>
      <c r="AW19" s="31" t="n">
        <f aca="false">IF(OR($B19="",P19=""),0,IF(AND($E19="Trưởng tổ",P19="x"),SUMIFS(KT_TRUONG,KT_LOAI,"Tổ",KT_TO,$D19,KT_NGAY,11),SUMIFS(KT_PHAN,KT_LOAI,"Tổ",KT_TO,IF(P19="x",$D19,P19),KT_NGAY,11)))</f>
        <v>0</v>
      </c>
      <c r="AX19" s="31" t="n">
        <f aca="false">IF(OR($B19="",Q19=""),0,IF(AND($E19="Trưởng tổ",Q19="x"),SUMIFS(KT_TRUONG,KT_LOAI,"Tổ",KT_TO,$D19,KT_NGAY,12),SUMIFS(KT_PHAN,KT_LOAI,"Tổ",KT_TO,IF(Q19="x",$D19,Q19),KT_NGAY,12)))</f>
        <v>0</v>
      </c>
      <c r="AY19" s="31" t="n">
        <f aca="false">IF(OR($B19="",R19=""),0,IF(AND($E19="Trưởng tổ",R19="x"),SUMIFS(KT_TRUONG,KT_LOAI,"Tổ",KT_TO,$D19,KT_NGAY,13),SUMIFS(KT_PHAN,KT_LOAI,"Tổ",KT_TO,IF(R19="x",$D19,R19),KT_NGAY,13)))</f>
        <v>0</v>
      </c>
      <c r="AZ19" s="31" t="n">
        <f aca="false">IF(OR($B19="",S19=""),0,IF(AND($E19="Trưởng tổ",S19="x"),SUMIFS(KT_TRUONG,KT_LOAI,"Tổ",KT_TO,$D19,KT_NGAY,14),SUMIFS(KT_PHAN,KT_LOAI,"Tổ",KT_TO,IF(S19="x",$D19,S19),KT_NGAY,14)))</f>
        <v>0</v>
      </c>
      <c r="BA19" s="31" t="n">
        <f aca="false">IF(OR($B19="",T19=""),0,IF(AND($E19="Trưởng tổ",T19="x"),SUMIFS(KT_TRUONG,KT_LOAI,"Tổ",KT_TO,$D19,KT_NGAY,15),SUMIFS(KT_PHAN,KT_LOAI,"Tổ",KT_TO,IF(T19="x",$D19,T19),KT_NGAY,15)))</f>
        <v>0</v>
      </c>
      <c r="BB19" s="31" t="n">
        <f aca="false">IF(OR($B19="",U19=""),0,IF(AND($E19="Trưởng tổ",U19="x"),SUMIFS(KT_TRUONG,KT_LOAI,"Tổ",KT_TO,$D19,KT_NGAY,16),SUMIFS(KT_PHAN,KT_LOAI,"Tổ",KT_TO,IF(U19="x",$D19,U19),KT_NGAY,16)))</f>
        <v>0</v>
      </c>
      <c r="BC19" s="31" t="n">
        <f aca="false">IF(OR($B19="",V19=""),0,IF(AND($E19="Trưởng tổ",V19="x"),SUMIFS(KT_TRUONG,KT_LOAI,"Tổ",KT_TO,$D19,KT_NGAY,17),SUMIFS(KT_PHAN,KT_LOAI,"Tổ",KT_TO,IF(V19="x",$D19,V19),KT_NGAY,17)))</f>
        <v>0</v>
      </c>
      <c r="BD19" s="31" t="n">
        <f aca="false">IF(OR($B19="",W19=""),0,IF(AND($E19="Trưởng tổ",W19="x"),SUMIFS(KT_TRUONG,KT_LOAI,"Tổ",KT_TO,$D19,KT_NGAY,18),SUMIFS(KT_PHAN,KT_LOAI,"Tổ",KT_TO,IF(W19="x",$D19,W19),KT_NGAY,18)))</f>
        <v>0</v>
      </c>
      <c r="BE19" s="31" t="n">
        <f aca="false">IF(OR($B19="",X19=""),0,IF(AND($E19="Trưởng tổ",X19="x"),SUMIFS(KT_TRUONG,KT_LOAI,"Tổ",KT_TO,$D19,KT_NGAY,19),SUMIFS(KT_PHAN,KT_LOAI,"Tổ",KT_TO,IF(X19="x",$D19,X19),KT_NGAY,19)))</f>
        <v>0</v>
      </c>
      <c r="BF19" s="31" t="n">
        <f aca="false">IF(OR($B19="",Y19=""),0,IF(AND($E19="Trưởng tổ",Y19="x"),SUMIFS(KT_TRUONG,KT_LOAI,"Tổ",KT_TO,$D19,KT_NGAY,20),SUMIFS(KT_PHAN,KT_LOAI,"Tổ",KT_TO,IF(Y19="x",$D19,Y19),KT_NGAY,20)))</f>
        <v>0</v>
      </c>
      <c r="BG19" s="31" t="n">
        <f aca="false">IF(OR($B19="",Z19=""),0,IF(AND($E19="Trưởng tổ",Z19="x"),SUMIFS(KT_TRUONG,KT_LOAI,"Tổ",KT_TO,$D19,KT_NGAY,21),SUMIFS(KT_PHAN,KT_LOAI,"Tổ",KT_TO,IF(Z19="x",$D19,Z19),KT_NGAY,21)))</f>
        <v>0</v>
      </c>
      <c r="BH19" s="31" t="n">
        <f aca="false">IF(OR($B19="",AA19=""),0,IF(AND($E19="Trưởng tổ",AA19="x"),SUMIFS(KT_TRUONG,KT_LOAI,"Tổ",KT_TO,$D19,KT_NGAY,22),SUMIFS(KT_PHAN,KT_LOAI,"Tổ",KT_TO,IF(AA19="x",$D19,AA19),KT_NGAY,22)))</f>
        <v>0</v>
      </c>
      <c r="BI19" s="31" t="n">
        <f aca="false">IF(OR($B19="",AB19=""),0,IF(AND($E19="Trưởng tổ",AB19="x"),SUMIFS(KT_TRUONG,KT_LOAI,"Tổ",KT_TO,$D19,KT_NGAY,23),SUMIFS(KT_PHAN,KT_LOAI,"Tổ",KT_TO,IF(AB19="x",$D19,AB19),KT_NGAY,23)))</f>
        <v>0</v>
      </c>
      <c r="BJ19" s="31" t="n">
        <f aca="false">IF(OR($B19="",AC19=""),0,IF(AND($E19="Trưởng tổ",AC19="x"),SUMIFS(KT_TRUONG,KT_LOAI,"Tổ",KT_TO,$D19,KT_NGAY,24),SUMIFS(KT_PHAN,KT_LOAI,"Tổ",KT_TO,IF(AC19="x",$D19,AC19),KT_NGAY,24)))</f>
        <v>0</v>
      </c>
      <c r="BK19" s="31" t="n">
        <f aca="false">IF(OR($B19="",AD19=""),0,IF(AND($E19="Trưởng tổ",AD19="x"),SUMIFS(KT_TRUONG,KT_LOAI,"Tổ",KT_TO,$D19,KT_NGAY,25),SUMIFS(KT_PHAN,KT_LOAI,"Tổ",KT_TO,IF(AD19="x",$D19,AD19),KT_NGAY,25)))</f>
        <v>0</v>
      </c>
      <c r="BL19" s="31" t="n">
        <f aca="false">IF(OR($B19="",AE19=""),0,IF(AND($E19="Trưởng tổ",AE19="x"),SUMIFS(KT_TRUONG,KT_LOAI,"Tổ",KT_TO,$D19,KT_NGAY,26),SUMIFS(KT_PHAN,KT_LOAI,"Tổ",KT_TO,IF(AE19="x",$D19,AE19),KT_NGAY,26)))</f>
        <v>0</v>
      </c>
      <c r="BM19" s="31" t="n">
        <f aca="false">IF(OR($B19="",AF19=""),0,IF(AND($E19="Trưởng tổ",AF19="x"),SUMIFS(KT_TRUONG,KT_LOAI,"Tổ",KT_TO,$D19,KT_NGAY,27),SUMIFS(KT_PHAN,KT_LOAI,"Tổ",KT_TO,IF(AF19="x",$D19,AF19),KT_NGAY,27)))</f>
        <v>0</v>
      </c>
      <c r="BN19" s="31" t="n">
        <f aca="false">IF(OR($B19="",AG19=""),0,IF(AND($E19="Trưởng tổ",AG19="x"),SUMIFS(KT_TRUONG,KT_LOAI,"Tổ",KT_TO,$D19,KT_NGAY,28),SUMIFS(KT_PHAN,KT_LOAI,"Tổ",KT_TO,IF(AG19="x",$D19,AG19),KT_NGAY,28)))</f>
        <v>0</v>
      </c>
      <c r="BO19" s="31" t="n">
        <f aca="false">IF(OR($B19="",AH19=""),0,IF(AND($E19="Trưởng tổ",AH19="x"),SUMIFS(KT_TRUONG,KT_LOAI,"Tổ",KT_TO,$D19,KT_NGAY,29),SUMIFS(KT_PHAN,KT_LOAI,"Tổ",KT_TO,IF(AH19="x",$D19,AH19),KT_NGAY,29)))</f>
        <v>0</v>
      </c>
      <c r="BP19" s="31" t="n">
        <f aca="false">IF(OR($B19="",AI19=""),0,IF(AND($E19="Trưởng tổ",AI19="x"),SUMIFS(KT_TRUONG,KT_LOAI,"Tổ",KT_TO,$D19,KT_NGAY,30),SUMIFS(KT_PHAN,KT_LOAI,"Tổ",KT_TO,IF(AI19="x",$D19,AI19),KT_NGAY,30)))</f>
        <v>0</v>
      </c>
      <c r="BQ19" s="31" t="n">
        <f aca="false">IF(OR($B19="",AJ19=""),0,IF(AND($E19="Trưởng tổ",AJ19="x"),SUMIFS(KT_TRUONG,KT_LOAI,"Tổ",KT_TO,$D19,KT_NGAY,31),SUMIFS(KT_PHAN,KT_LOAI,"Tổ",KT_TO,IF(AJ19="x",$D19,AJ19),KT_NGAY,31)))</f>
        <v>0</v>
      </c>
    </row>
    <row r="20" customFormat="false" ht="15" hidden="false" customHeight="false" outlineLevel="0" collapsed="false">
      <c r="A20" s="17" t="str">
        <f aca="false">IF(B20="","",ROW()-5)</f>
        <v/>
      </c>
      <c r="B20" s="29" t="str">
        <f aca="false">IF(OR(BCC!B20="",BCC!D20&lt;&gt;"Thời vụ HAQT"),"",BCC!B20)</f>
        <v/>
      </c>
      <c r="C20" s="17" t="str">
        <f aca="false">IF(B20="","",BCC!C20)</f>
        <v/>
      </c>
      <c r="D20" s="17" t="str">
        <f aca="false">IF(B20="","",IFERROR(INDEX(NV_TO,MATCH(B20,NV_MA,0)),""))</f>
        <v/>
      </c>
      <c r="E20" s="17" t="str">
        <f aca="false">IF(B20="","",IFERROR(INDEX(NV_VT,MATCH(B20,NV_MA,0)),""))</f>
        <v/>
      </c>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17" t="str">
        <f aca="false">IF(B20="","",COUNTA(F20:AJ20))</f>
        <v/>
      </c>
      <c r="AL20" s="30" t="str">
        <f aca="false">IF(B20="","",SUM(AM20:BQ20))</f>
        <v/>
      </c>
      <c r="AM20" s="31" t="n">
        <f aca="false">IF(OR($B20="",F20=""),0,IF(AND($E20="Trưởng tổ",F20="x"),SUMIFS(KT_TRUONG,KT_LOAI,"Tổ",KT_TO,$D20,KT_NGAY,1),SUMIFS(KT_PHAN,KT_LOAI,"Tổ",KT_TO,IF(F20="x",$D20,F20),KT_NGAY,1)))</f>
        <v>0</v>
      </c>
      <c r="AN20" s="31" t="n">
        <f aca="false">IF(OR($B20="",G20=""),0,IF(AND($E20="Trưởng tổ",G20="x"),SUMIFS(KT_TRUONG,KT_LOAI,"Tổ",KT_TO,$D20,KT_NGAY,2),SUMIFS(KT_PHAN,KT_LOAI,"Tổ",KT_TO,IF(G20="x",$D20,G20),KT_NGAY,2)))</f>
        <v>0</v>
      </c>
      <c r="AO20" s="31" t="n">
        <f aca="false">IF(OR($B20="",H20=""),0,IF(AND($E20="Trưởng tổ",H20="x"),SUMIFS(KT_TRUONG,KT_LOAI,"Tổ",KT_TO,$D20,KT_NGAY,3),SUMIFS(KT_PHAN,KT_LOAI,"Tổ",KT_TO,IF(H20="x",$D20,H20),KT_NGAY,3)))</f>
        <v>0</v>
      </c>
      <c r="AP20" s="31" t="n">
        <f aca="false">IF(OR($B20="",I20=""),0,IF(AND($E20="Trưởng tổ",I20="x"),SUMIFS(KT_TRUONG,KT_LOAI,"Tổ",KT_TO,$D20,KT_NGAY,4),SUMIFS(KT_PHAN,KT_LOAI,"Tổ",KT_TO,IF(I20="x",$D20,I20),KT_NGAY,4)))</f>
        <v>0</v>
      </c>
      <c r="AQ20" s="31" t="n">
        <f aca="false">IF(OR($B20="",J20=""),0,IF(AND($E20="Trưởng tổ",J20="x"),SUMIFS(KT_TRUONG,KT_LOAI,"Tổ",KT_TO,$D20,KT_NGAY,5),SUMIFS(KT_PHAN,KT_LOAI,"Tổ",KT_TO,IF(J20="x",$D20,J20),KT_NGAY,5)))</f>
        <v>0</v>
      </c>
      <c r="AR20" s="31" t="n">
        <f aca="false">IF(OR($B20="",K20=""),0,IF(AND($E20="Trưởng tổ",K20="x"),SUMIFS(KT_TRUONG,KT_LOAI,"Tổ",KT_TO,$D20,KT_NGAY,6),SUMIFS(KT_PHAN,KT_LOAI,"Tổ",KT_TO,IF(K20="x",$D20,K20),KT_NGAY,6)))</f>
        <v>0</v>
      </c>
      <c r="AS20" s="31" t="n">
        <f aca="false">IF(OR($B20="",L20=""),0,IF(AND($E20="Trưởng tổ",L20="x"),SUMIFS(KT_TRUONG,KT_LOAI,"Tổ",KT_TO,$D20,KT_NGAY,7),SUMIFS(KT_PHAN,KT_LOAI,"Tổ",KT_TO,IF(L20="x",$D20,L20),KT_NGAY,7)))</f>
        <v>0</v>
      </c>
      <c r="AT20" s="31" t="n">
        <f aca="false">IF(OR($B20="",M20=""),0,IF(AND($E20="Trưởng tổ",M20="x"),SUMIFS(KT_TRUONG,KT_LOAI,"Tổ",KT_TO,$D20,KT_NGAY,8),SUMIFS(KT_PHAN,KT_LOAI,"Tổ",KT_TO,IF(M20="x",$D20,M20),KT_NGAY,8)))</f>
        <v>0</v>
      </c>
      <c r="AU20" s="31" t="n">
        <f aca="false">IF(OR($B20="",N20=""),0,IF(AND($E20="Trưởng tổ",N20="x"),SUMIFS(KT_TRUONG,KT_LOAI,"Tổ",KT_TO,$D20,KT_NGAY,9),SUMIFS(KT_PHAN,KT_LOAI,"Tổ",KT_TO,IF(N20="x",$D20,N20),KT_NGAY,9)))</f>
        <v>0</v>
      </c>
      <c r="AV20" s="31" t="n">
        <f aca="false">IF(OR($B20="",O20=""),0,IF(AND($E20="Trưởng tổ",O20="x"),SUMIFS(KT_TRUONG,KT_LOAI,"Tổ",KT_TO,$D20,KT_NGAY,10),SUMIFS(KT_PHAN,KT_LOAI,"Tổ",KT_TO,IF(O20="x",$D20,O20),KT_NGAY,10)))</f>
        <v>0</v>
      </c>
      <c r="AW20" s="31" t="n">
        <f aca="false">IF(OR($B20="",P20=""),0,IF(AND($E20="Trưởng tổ",P20="x"),SUMIFS(KT_TRUONG,KT_LOAI,"Tổ",KT_TO,$D20,KT_NGAY,11),SUMIFS(KT_PHAN,KT_LOAI,"Tổ",KT_TO,IF(P20="x",$D20,P20),KT_NGAY,11)))</f>
        <v>0</v>
      </c>
      <c r="AX20" s="31" t="n">
        <f aca="false">IF(OR($B20="",Q20=""),0,IF(AND($E20="Trưởng tổ",Q20="x"),SUMIFS(KT_TRUONG,KT_LOAI,"Tổ",KT_TO,$D20,KT_NGAY,12),SUMIFS(KT_PHAN,KT_LOAI,"Tổ",KT_TO,IF(Q20="x",$D20,Q20),KT_NGAY,12)))</f>
        <v>0</v>
      </c>
      <c r="AY20" s="31" t="n">
        <f aca="false">IF(OR($B20="",R20=""),0,IF(AND($E20="Trưởng tổ",R20="x"),SUMIFS(KT_TRUONG,KT_LOAI,"Tổ",KT_TO,$D20,KT_NGAY,13),SUMIFS(KT_PHAN,KT_LOAI,"Tổ",KT_TO,IF(R20="x",$D20,R20),KT_NGAY,13)))</f>
        <v>0</v>
      </c>
      <c r="AZ20" s="31" t="n">
        <f aca="false">IF(OR($B20="",S20=""),0,IF(AND($E20="Trưởng tổ",S20="x"),SUMIFS(KT_TRUONG,KT_LOAI,"Tổ",KT_TO,$D20,KT_NGAY,14),SUMIFS(KT_PHAN,KT_LOAI,"Tổ",KT_TO,IF(S20="x",$D20,S20),KT_NGAY,14)))</f>
        <v>0</v>
      </c>
      <c r="BA20" s="31" t="n">
        <f aca="false">IF(OR($B20="",T20=""),0,IF(AND($E20="Trưởng tổ",T20="x"),SUMIFS(KT_TRUONG,KT_LOAI,"Tổ",KT_TO,$D20,KT_NGAY,15),SUMIFS(KT_PHAN,KT_LOAI,"Tổ",KT_TO,IF(T20="x",$D20,T20),KT_NGAY,15)))</f>
        <v>0</v>
      </c>
      <c r="BB20" s="31" t="n">
        <f aca="false">IF(OR($B20="",U20=""),0,IF(AND($E20="Trưởng tổ",U20="x"),SUMIFS(KT_TRUONG,KT_LOAI,"Tổ",KT_TO,$D20,KT_NGAY,16),SUMIFS(KT_PHAN,KT_LOAI,"Tổ",KT_TO,IF(U20="x",$D20,U20),KT_NGAY,16)))</f>
        <v>0</v>
      </c>
      <c r="BC20" s="31" t="n">
        <f aca="false">IF(OR($B20="",V20=""),0,IF(AND($E20="Trưởng tổ",V20="x"),SUMIFS(KT_TRUONG,KT_LOAI,"Tổ",KT_TO,$D20,KT_NGAY,17),SUMIFS(KT_PHAN,KT_LOAI,"Tổ",KT_TO,IF(V20="x",$D20,V20),KT_NGAY,17)))</f>
        <v>0</v>
      </c>
      <c r="BD20" s="31" t="n">
        <f aca="false">IF(OR($B20="",W20=""),0,IF(AND($E20="Trưởng tổ",W20="x"),SUMIFS(KT_TRUONG,KT_LOAI,"Tổ",KT_TO,$D20,KT_NGAY,18),SUMIFS(KT_PHAN,KT_LOAI,"Tổ",KT_TO,IF(W20="x",$D20,W20),KT_NGAY,18)))</f>
        <v>0</v>
      </c>
      <c r="BE20" s="31" t="n">
        <f aca="false">IF(OR($B20="",X20=""),0,IF(AND($E20="Trưởng tổ",X20="x"),SUMIFS(KT_TRUONG,KT_LOAI,"Tổ",KT_TO,$D20,KT_NGAY,19),SUMIFS(KT_PHAN,KT_LOAI,"Tổ",KT_TO,IF(X20="x",$D20,X20),KT_NGAY,19)))</f>
        <v>0</v>
      </c>
      <c r="BF20" s="31" t="n">
        <f aca="false">IF(OR($B20="",Y20=""),0,IF(AND($E20="Trưởng tổ",Y20="x"),SUMIFS(KT_TRUONG,KT_LOAI,"Tổ",KT_TO,$D20,KT_NGAY,20),SUMIFS(KT_PHAN,KT_LOAI,"Tổ",KT_TO,IF(Y20="x",$D20,Y20),KT_NGAY,20)))</f>
        <v>0</v>
      </c>
      <c r="BG20" s="31" t="n">
        <f aca="false">IF(OR($B20="",Z20=""),0,IF(AND($E20="Trưởng tổ",Z20="x"),SUMIFS(KT_TRUONG,KT_LOAI,"Tổ",KT_TO,$D20,KT_NGAY,21),SUMIFS(KT_PHAN,KT_LOAI,"Tổ",KT_TO,IF(Z20="x",$D20,Z20),KT_NGAY,21)))</f>
        <v>0</v>
      </c>
      <c r="BH20" s="31" t="n">
        <f aca="false">IF(OR($B20="",AA20=""),0,IF(AND($E20="Trưởng tổ",AA20="x"),SUMIFS(KT_TRUONG,KT_LOAI,"Tổ",KT_TO,$D20,KT_NGAY,22),SUMIFS(KT_PHAN,KT_LOAI,"Tổ",KT_TO,IF(AA20="x",$D20,AA20),KT_NGAY,22)))</f>
        <v>0</v>
      </c>
      <c r="BI20" s="31" t="n">
        <f aca="false">IF(OR($B20="",AB20=""),0,IF(AND($E20="Trưởng tổ",AB20="x"),SUMIFS(KT_TRUONG,KT_LOAI,"Tổ",KT_TO,$D20,KT_NGAY,23),SUMIFS(KT_PHAN,KT_LOAI,"Tổ",KT_TO,IF(AB20="x",$D20,AB20),KT_NGAY,23)))</f>
        <v>0</v>
      </c>
      <c r="BJ20" s="31" t="n">
        <f aca="false">IF(OR($B20="",AC20=""),0,IF(AND($E20="Trưởng tổ",AC20="x"),SUMIFS(KT_TRUONG,KT_LOAI,"Tổ",KT_TO,$D20,KT_NGAY,24),SUMIFS(KT_PHAN,KT_LOAI,"Tổ",KT_TO,IF(AC20="x",$D20,AC20),KT_NGAY,24)))</f>
        <v>0</v>
      </c>
      <c r="BK20" s="31" t="n">
        <f aca="false">IF(OR($B20="",AD20=""),0,IF(AND($E20="Trưởng tổ",AD20="x"),SUMIFS(KT_TRUONG,KT_LOAI,"Tổ",KT_TO,$D20,KT_NGAY,25),SUMIFS(KT_PHAN,KT_LOAI,"Tổ",KT_TO,IF(AD20="x",$D20,AD20),KT_NGAY,25)))</f>
        <v>0</v>
      </c>
      <c r="BL20" s="31" t="n">
        <f aca="false">IF(OR($B20="",AE20=""),0,IF(AND($E20="Trưởng tổ",AE20="x"),SUMIFS(KT_TRUONG,KT_LOAI,"Tổ",KT_TO,$D20,KT_NGAY,26),SUMIFS(KT_PHAN,KT_LOAI,"Tổ",KT_TO,IF(AE20="x",$D20,AE20),KT_NGAY,26)))</f>
        <v>0</v>
      </c>
      <c r="BM20" s="31" t="n">
        <f aca="false">IF(OR($B20="",AF20=""),0,IF(AND($E20="Trưởng tổ",AF20="x"),SUMIFS(KT_TRUONG,KT_LOAI,"Tổ",KT_TO,$D20,KT_NGAY,27),SUMIFS(KT_PHAN,KT_LOAI,"Tổ",KT_TO,IF(AF20="x",$D20,AF20),KT_NGAY,27)))</f>
        <v>0</v>
      </c>
      <c r="BN20" s="31" t="n">
        <f aca="false">IF(OR($B20="",AG20=""),0,IF(AND($E20="Trưởng tổ",AG20="x"),SUMIFS(KT_TRUONG,KT_LOAI,"Tổ",KT_TO,$D20,KT_NGAY,28),SUMIFS(KT_PHAN,KT_LOAI,"Tổ",KT_TO,IF(AG20="x",$D20,AG20),KT_NGAY,28)))</f>
        <v>0</v>
      </c>
      <c r="BO20" s="31" t="n">
        <f aca="false">IF(OR($B20="",AH20=""),0,IF(AND($E20="Trưởng tổ",AH20="x"),SUMIFS(KT_TRUONG,KT_LOAI,"Tổ",KT_TO,$D20,KT_NGAY,29),SUMIFS(KT_PHAN,KT_LOAI,"Tổ",KT_TO,IF(AH20="x",$D20,AH20),KT_NGAY,29)))</f>
        <v>0</v>
      </c>
      <c r="BP20" s="31" t="n">
        <f aca="false">IF(OR($B20="",AI20=""),0,IF(AND($E20="Trưởng tổ",AI20="x"),SUMIFS(KT_TRUONG,KT_LOAI,"Tổ",KT_TO,$D20,KT_NGAY,30),SUMIFS(KT_PHAN,KT_LOAI,"Tổ",KT_TO,IF(AI20="x",$D20,AI20),KT_NGAY,30)))</f>
        <v>0</v>
      </c>
      <c r="BQ20" s="31" t="n">
        <f aca="false">IF(OR($B20="",AJ20=""),0,IF(AND($E20="Trưởng tổ",AJ20="x"),SUMIFS(KT_TRUONG,KT_LOAI,"Tổ",KT_TO,$D20,KT_NGAY,31),SUMIFS(KT_PHAN,KT_LOAI,"Tổ",KT_TO,IF(AJ20="x",$D20,AJ20),KT_NGAY,31)))</f>
        <v>0</v>
      </c>
    </row>
    <row r="21" customFormat="false" ht="15" hidden="false" customHeight="false" outlineLevel="0" collapsed="false">
      <c r="A21" s="17" t="str">
        <f aca="false">IF(B21="","",ROW()-5)</f>
        <v/>
      </c>
      <c r="B21" s="29" t="str">
        <f aca="false">IF(OR(BCC!B21="",BCC!D21&lt;&gt;"Thời vụ HAQT"),"",BCC!B21)</f>
        <v/>
      </c>
      <c r="C21" s="17" t="str">
        <f aca="false">IF(B21="","",BCC!C21)</f>
        <v/>
      </c>
      <c r="D21" s="17" t="str">
        <f aca="false">IF(B21="","",IFERROR(INDEX(NV_TO,MATCH(B21,NV_MA,0)),""))</f>
        <v/>
      </c>
      <c r="E21" s="17" t="str">
        <f aca="false">IF(B21="","",IFERROR(INDEX(NV_VT,MATCH(B21,NV_MA,0)),""))</f>
        <v/>
      </c>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17" t="str">
        <f aca="false">IF(B21="","",COUNTA(F21:AJ21))</f>
        <v/>
      </c>
      <c r="AL21" s="30" t="str">
        <f aca="false">IF(B21="","",SUM(AM21:BQ21))</f>
        <v/>
      </c>
      <c r="AM21" s="31" t="n">
        <f aca="false">IF(OR($B21="",F21=""),0,IF(AND($E21="Trưởng tổ",F21="x"),SUMIFS(KT_TRUONG,KT_LOAI,"Tổ",KT_TO,$D21,KT_NGAY,1),SUMIFS(KT_PHAN,KT_LOAI,"Tổ",KT_TO,IF(F21="x",$D21,F21),KT_NGAY,1)))</f>
        <v>0</v>
      </c>
      <c r="AN21" s="31" t="n">
        <f aca="false">IF(OR($B21="",G21=""),0,IF(AND($E21="Trưởng tổ",G21="x"),SUMIFS(KT_TRUONG,KT_LOAI,"Tổ",KT_TO,$D21,KT_NGAY,2),SUMIFS(KT_PHAN,KT_LOAI,"Tổ",KT_TO,IF(G21="x",$D21,G21),KT_NGAY,2)))</f>
        <v>0</v>
      </c>
      <c r="AO21" s="31" t="n">
        <f aca="false">IF(OR($B21="",H21=""),0,IF(AND($E21="Trưởng tổ",H21="x"),SUMIFS(KT_TRUONG,KT_LOAI,"Tổ",KT_TO,$D21,KT_NGAY,3),SUMIFS(KT_PHAN,KT_LOAI,"Tổ",KT_TO,IF(H21="x",$D21,H21),KT_NGAY,3)))</f>
        <v>0</v>
      </c>
      <c r="AP21" s="31" t="n">
        <f aca="false">IF(OR($B21="",I21=""),0,IF(AND($E21="Trưởng tổ",I21="x"),SUMIFS(KT_TRUONG,KT_LOAI,"Tổ",KT_TO,$D21,KT_NGAY,4),SUMIFS(KT_PHAN,KT_LOAI,"Tổ",KT_TO,IF(I21="x",$D21,I21),KT_NGAY,4)))</f>
        <v>0</v>
      </c>
      <c r="AQ21" s="31" t="n">
        <f aca="false">IF(OR($B21="",J21=""),0,IF(AND($E21="Trưởng tổ",J21="x"),SUMIFS(KT_TRUONG,KT_LOAI,"Tổ",KT_TO,$D21,KT_NGAY,5),SUMIFS(KT_PHAN,KT_LOAI,"Tổ",KT_TO,IF(J21="x",$D21,J21),KT_NGAY,5)))</f>
        <v>0</v>
      </c>
      <c r="AR21" s="31" t="n">
        <f aca="false">IF(OR($B21="",K21=""),0,IF(AND($E21="Trưởng tổ",K21="x"),SUMIFS(KT_TRUONG,KT_LOAI,"Tổ",KT_TO,$D21,KT_NGAY,6),SUMIFS(KT_PHAN,KT_LOAI,"Tổ",KT_TO,IF(K21="x",$D21,K21),KT_NGAY,6)))</f>
        <v>0</v>
      </c>
      <c r="AS21" s="31" t="n">
        <f aca="false">IF(OR($B21="",L21=""),0,IF(AND($E21="Trưởng tổ",L21="x"),SUMIFS(KT_TRUONG,KT_LOAI,"Tổ",KT_TO,$D21,KT_NGAY,7),SUMIFS(KT_PHAN,KT_LOAI,"Tổ",KT_TO,IF(L21="x",$D21,L21),KT_NGAY,7)))</f>
        <v>0</v>
      </c>
      <c r="AT21" s="31" t="n">
        <f aca="false">IF(OR($B21="",M21=""),0,IF(AND($E21="Trưởng tổ",M21="x"),SUMIFS(KT_TRUONG,KT_LOAI,"Tổ",KT_TO,$D21,KT_NGAY,8),SUMIFS(KT_PHAN,KT_LOAI,"Tổ",KT_TO,IF(M21="x",$D21,M21),KT_NGAY,8)))</f>
        <v>0</v>
      </c>
      <c r="AU21" s="31" t="n">
        <f aca="false">IF(OR($B21="",N21=""),0,IF(AND($E21="Trưởng tổ",N21="x"),SUMIFS(KT_TRUONG,KT_LOAI,"Tổ",KT_TO,$D21,KT_NGAY,9),SUMIFS(KT_PHAN,KT_LOAI,"Tổ",KT_TO,IF(N21="x",$D21,N21),KT_NGAY,9)))</f>
        <v>0</v>
      </c>
      <c r="AV21" s="31" t="n">
        <f aca="false">IF(OR($B21="",O21=""),0,IF(AND($E21="Trưởng tổ",O21="x"),SUMIFS(KT_TRUONG,KT_LOAI,"Tổ",KT_TO,$D21,KT_NGAY,10),SUMIFS(KT_PHAN,KT_LOAI,"Tổ",KT_TO,IF(O21="x",$D21,O21),KT_NGAY,10)))</f>
        <v>0</v>
      </c>
      <c r="AW21" s="31" t="n">
        <f aca="false">IF(OR($B21="",P21=""),0,IF(AND($E21="Trưởng tổ",P21="x"),SUMIFS(KT_TRUONG,KT_LOAI,"Tổ",KT_TO,$D21,KT_NGAY,11),SUMIFS(KT_PHAN,KT_LOAI,"Tổ",KT_TO,IF(P21="x",$D21,P21),KT_NGAY,11)))</f>
        <v>0</v>
      </c>
      <c r="AX21" s="31" t="n">
        <f aca="false">IF(OR($B21="",Q21=""),0,IF(AND($E21="Trưởng tổ",Q21="x"),SUMIFS(KT_TRUONG,KT_LOAI,"Tổ",KT_TO,$D21,KT_NGAY,12),SUMIFS(KT_PHAN,KT_LOAI,"Tổ",KT_TO,IF(Q21="x",$D21,Q21),KT_NGAY,12)))</f>
        <v>0</v>
      </c>
      <c r="AY21" s="31" t="n">
        <f aca="false">IF(OR($B21="",R21=""),0,IF(AND($E21="Trưởng tổ",R21="x"),SUMIFS(KT_TRUONG,KT_LOAI,"Tổ",KT_TO,$D21,KT_NGAY,13),SUMIFS(KT_PHAN,KT_LOAI,"Tổ",KT_TO,IF(R21="x",$D21,R21),KT_NGAY,13)))</f>
        <v>0</v>
      </c>
      <c r="AZ21" s="31" t="n">
        <f aca="false">IF(OR($B21="",S21=""),0,IF(AND($E21="Trưởng tổ",S21="x"),SUMIFS(KT_TRUONG,KT_LOAI,"Tổ",KT_TO,$D21,KT_NGAY,14),SUMIFS(KT_PHAN,KT_LOAI,"Tổ",KT_TO,IF(S21="x",$D21,S21),KT_NGAY,14)))</f>
        <v>0</v>
      </c>
      <c r="BA21" s="31" t="n">
        <f aca="false">IF(OR($B21="",T21=""),0,IF(AND($E21="Trưởng tổ",T21="x"),SUMIFS(KT_TRUONG,KT_LOAI,"Tổ",KT_TO,$D21,KT_NGAY,15),SUMIFS(KT_PHAN,KT_LOAI,"Tổ",KT_TO,IF(T21="x",$D21,T21),KT_NGAY,15)))</f>
        <v>0</v>
      </c>
      <c r="BB21" s="31" t="n">
        <f aca="false">IF(OR($B21="",U21=""),0,IF(AND($E21="Trưởng tổ",U21="x"),SUMIFS(KT_TRUONG,KT_LOAI,"Tổ",KT_TO,$D21,KT_NGAY,16),SUMIFS(KT_PHAN,KT_LOAI,"Tổ",KT_TO,IF(U21="x",$D21,U21),KT_NGAY,16)))</f>
        <v>0</v>
      </c>
      <c r="BC21" s="31" t="n">
        <f aca="false">IF(OR($B21="",V21=""),0,IF(AND($E21="Trưởng tổ",V21="x"),SUMIFS(KT_TRUONG,KT_LOAI,"Tổ",KT_TO,$D21,KT_NGAY,17),SUMIFS(KT_PHAN,KT_LOAI,"Tổ",KT_TO,IF(V21="x",$D21,V21),KT_NGAY,17)))</f>
        <v>0</v>
      </c>
      <c r="BD21" s="31" t="n">
        <f aca="false">IF(OR($B21="",W21=""),0,IF(AND($E21="Trưởng tổ",W21="x"),SUMIFS(KT_TRUONG,KT_LOAI,"Tổ",KT_TO,$D21,KT_NGAY,18),SUMIFS(KT_PHAN,KT_LOAI,"Tổ",KT_TO,IF(W21="x",$D21,W21),KT_NGAY,18)))</f>
        <v>0</v>
      </c>
      <c r="BE21" s="31" t="n">
        <f aca="false">IF(OR($B21="",X21=""),0,IF(AND($E21="Trưởng tổ",X21="x"),SUMIFS(KT_TRUONG,KT_LOAI,"Tổ",KT_TO,$D21,KT_NGAY,19),SUMIFS(KT_PHAN,KT_LOAI,"Tổ",KT_TO,IF(X21="x",$D21,X21),KT_NGAY,19)))</f>
        <v>0</v>
      </c>
      <c r="BF21" s="31" t="n">
        <f aca="false">IF(OR($B21="",Y21=""),0,IF(AND($E21="Trưởng tổ",Y21="x"),SUMIFS(KT_TRUONG,KT_LOAI,"Tổ",KT_TO,$D21,KT_NGAY,20),SUMIFS(KT_PHAN,KT_LOAI,"Tổ",KT_TO,IF(Y21="x",$D21,Y21),KT_NGAY,20)))</f>
        <v>0</v>
      </c>
      <c r="BG21" s="31" t="n">
        <f aca="false">IF(OR($B21="",Z21=""),0,IF(AND($E21="Trưởng tổ",Z21="x"),SUMIFS(KT_TRUONG,KT_LOAI,"Tổ",KT_TO,$D21,KT_NGAY,21),SUMIFS(KT_PHAN,KT_LOAI,"Tổ",KT_TO,IF(Z21="x",$D21,Z21),KT_NGAY,21)))</f>
        <v>0</v>
      </c>
      <c r="BH21" s="31" t="n">
        <f aca="false">IF(OR($B21="",AA21=""),0,IF(AND($E21="Trưởng tổ",AA21="x"),SUMIFS(KT_TRUONG,KT_LOAI,"Tổ",KT_TO,$D21,KT_NGAY,22),SUMIFS(KT_PHAN,KT_LOAI,"Tổ",KT_TO,IF(AA21="x",$D21,AA21),KT_NGAY,22)))</f>
        <v>0</v>
      </c>
      <c r="BI21" s="31" t="n">
        <f aca="false">IF(OR($B21="",AB21=""),0,IF(AND($E21="Trưởng tổ",AB21="x"),SUMIFS(KT_TRUONG,KT_LOAI,"Tổ",KT_TO,$D21,KT_NGAY,23),SUMIFS(KT_PHAN,KT_LOAI,"Tổ",KT_TO,IF(AB21="x",$D21,AB21),KT_NGAY,23)))</f>
        <v>0</v>
      </c>
      <c r="BJ21" s="31" t="n">
        <f aca="false">IF(OR($B21="",AC21=""),0,IF(AND($E21="Trưởng tổ",AC21="x"),SUMIFS(KT_TRUONG,KT_LOAI,"Tổ",KT_TO,$D21,KT_NGAY,24),SUMIFS(KT_PHAN,KT_LOAI,"Tổ",KT_TO,IF(AC21="x",$D21,AC21),KT_NGAY,24)))</f>
        <v>0</v>
      </c>
      <c r="BK21" s="31" t="n">
        <f aca="false">IF(OR($B21="",AD21=""),0,IF(AND($E21="Trưởng tổ",AD21="x"),SUMIFS(KT_TRUONG,KT_LOAI,"Tổ",KT_TO,$D21,KT_NGAY,25),SUMIFS(KT_PHAN,KT_LOAI,"Tổ",KT_TO,IF(AD21="x",$D21,AD21),KT_NGAY,25)))</f>
        <v>0</v>
      </c>
      <c r="BL21" s="31" t="n">
        <f aca="false">IF(OR($B21="",AE21=""),0,IF(AND($E21="Trưởng tổ",AE21="x"),SUMIFS(KT_TRUONG,KT_LOAI,"Tổ",KT_TO,$D21,KT_NGAY,26),SUMIFS(KT_PHAN,KT_LOAI,"Tổ",KT_TO,IF(AE21="x",$D21,AE21),KT_NGAY,26)))</f>
        <v>0</v>
      </c>
      <c r="BM21" s="31" t="n">
        <f aca="false">IF(OR($B21="",AF21=""),0,IF(AND($E21="Trưởng tổ",AF21="x"),SUMIFS(KT_TRUONG,KT_LOAI,"Tổ",KT_TO,$D21,KT_NGAY,27),SUMIFS(KT_PHAN,KT_LOAI,"Tổ",KT_TO,IF(AF21="x",$D21,AF21),KT_NGAY,27)))</f>
        <v>0</v>
      </c>
      <c r="BN21" s="31" t="n">
        <f aca="false">IF(OR($B21="",AG21=""),0,IF(AND($E21="Trưởng tổ",AG21="x"),SUMIFS(KT_TRUONG,KT_LOAI,"Tổ",KT_TO,$D21,KT_NGAY,28),SUMIFS(KT_PHAN,KT_LOAI,"Tổ",KT_TO,IF(AG21="x",$D21,AG21),KT_NGAY,28)))</f>
        <v>0</v>
      </c>
      <c r="BO21" s="31" t="n">
        <f aca="false">IF(OR($B21="",AH21=""),0,IF(AND($E21="Trưởng tổ",AH21="x"),SUMIFS(KT_TRUONG,KT_LOAI,"Tổ",KT_TO,$D21,KT_NGAY,29),SUMIFS(KT_PHAN,KT_LOAI,"Tổ",KT_TO,IF(AH21="x",$D21,AH21),KT_NGAY,29)))</f>
        <v>0</v>
      </c>
      <c r="BP21" s="31" t="n">
        <f aca="false">IF(OR($B21="",AI21=""),0,IF(AND($E21="Trưởng tổ",AI21="x"),SUMIFS(KT_TRUONG,KT_LOAI,"Tổ",KT_TO,$D21,KT_NGAY,30),SUMIFS(KT_PHAN,KT_LOAI,"Tổ",KT_TO,IF(AI21="x",$D21,AI21),KT_NGAY,30)))</f>
        <v>0</v>
      </c>
      <c r="BQ21" s="31" t="n">
        <f aca="false">IF(OR($B21="",AJ21=""),0,IF(AND($E21="Trưởng tổ",AJ21="x"),SUMIFS(KT_TRUONG,KT_LOAI,"Tổ",KT_TO,$D21,KT_NGAY,31),SUMIFS(KT_PHAN,KT_LOAI,"Tổ",KT_TO,IF(AJ21="x",$D21,AJ21),KT_NGAY,31)))</f>
        <v>0</v>
      </c>
    </row>
    <row r="22" customFormat="false" ht="15" hidden="false" customHeight="false" outlineLevel="0" collapsed="false">
      <c r="A22" s="17" t="str">
        <f aca="false">IF(B22="","",ROW()-5)</f>
        <v/>
      </c>
      <c r="B22" s="29" t="str">
        <f aca="false">IF(OR(BCC!B22="",BCC!D22&lt;&gt;"Thời vụ HAQT"),"",BCC!B22)</f>
        <v/>
      </c>
      <c r="C22" s="17" t="str">
        <f aca="false">IF(B22="","",BCC!C22)</f>
        <v/>
      </c>
      <c r="D22" s="17" t="str">
        <f aca="false">IF(B22="","",IFERROR(INDEX(NV_TO,MATCH(B22,NV_MA,0)),""))</f>
        <v/>
      </c>
      <c r="E22" s="17" t="str">
        <f aca="false">IF(B22="","",IFERROR(INDEX(NV_VT,MATCH(B22,NV_MA,0)),""))</f>
        <v/>
      </c>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17" t="str">
        <f aca="false">IF(B22="","",COUNTA(F22:AJ22))</f>
        <v/>
      </c>
      <c r="AL22" s="30" t="str">
        <f aca="false">IF(B22="","",SUM(AM22:BQ22))</f>
        <v/>
      </c>
      <c r="AM22" s="31" t="n">
        <f aca="false">IF(OR($B22="",F22=""),0,IF(AND($E22="Trưởng tổ",F22="x"),SUMIFS(KT_TRUONG,KT_LOAI,"Tổ",KT_TO,$D22,KT_NGAY,1),SUMIFS(KT_PHAN,KT_LOAI,"Tổ",KT_TO,IF(F22="x",$D22,F22),KT_NGAY,1)))</f>
        <v>0</v>
      </c>
      <c r="AN22" s="31" t="n">
        <f aca="false">IF(OR($B22="",G22=""),0,IF(AND($E22="Trưởng tổ",G22="x"),SUMIFS(KT_TRUONG,KT_LOAI,"Tổ",KT_TO,$D22,KT_NGAY,2),SUMIFS(KT_PHAN,KT_LOAI,"Tổ",KT_TO,IF(G22="x",$D22,G22),KT_NGAY,2)))</f>
        <v>0</v>
      </c>
      <c r="AO22" s="31" t="n">
        <f aca="false">IF(OR($B22="",H22=""),0,IF(AND($E22="Trưởng tổ",H22="x"),SUMIFS(KT_TRUONG,KT_LOAI,"Tổ",KT_TO,$D22,KT_NGAY,3),SUMIFS(KT_PHAN,KT_LOAI,"Tổ",KT_TO,IF(H22="x",$D22,H22),KT_NGAY,3)))</f>
        <v>0</v>
      </c>
      <c r="AP22" s="31" t="n">
        <f aca="false">IF(OR($B22="",I22=""),0,IF(AND($E22="Trưởng tổ",I22="x"),SUMIFS(KT_TRUONG,KT_LOAI,"Tổ",KT_TO,$D22,KT_NGAY,4),SUMIFS(KT_PHAN,KT_LOAI,"Tổ",KT_TO,IF(I22="x",$D22,I22),KT_NGAY,4)))</f>
        <v>0</v>
      </c>
      <c r="AQ22" s="31" t="n">
        <f aca="false">IF(OR($B22="",J22=""),0,IF(AND($E22="Trưởng tổ",J22="x"),SUMIFS(KT_TRUONG,KT_LOAI,"Tổ",KT_TO,$D22,KT_NGAY,5),SUMIFS(KT_PHAN,KT_LOAI,"Tổ",KT_TO,IF(J22="x",$D22,J22),KT_NGAY,5)))</f>
        <v>0</v>
      </c>
      <c r="AR22" s="31" t="n">
        <f aca="false">IF(OR($B22="",K22=""),0,IF(AND($E22="Trưởng tổ",K22="x"),SUMIFS(KT_TRUONG,KT_LOAI,"Tổ",KT_TO,$D22,KT_NGAY,6),SUMIFS(KT_PHAN,KT_LOAI,"Tổ",KT_TO,IF(K22="x",$D22,K22),KT_NGAY,6)))</f>
        <v>0</v>
      </c>
      <c r="AS22" s="31" t="n">
        <f aca="false">IF(OR($B22="",L22=""),0,IF(AND($E22="Trưởng tổ",L22="x"),SUMIFS(KT_TRUONG,KT_LOAI,"Tổ",KT_TO,$D22,KT_NGAY,7),SUMIFS(KT_PHAN,KT_LOAI,"Tổ",KT_TO,IF(L22="x",$D22,L22),KT_NGAY,7)))</f>
        <v>0</v>
      </c>
      <c r="AT22" s="31" t="n">
        <f aca="false">IF(OR($B22="",M22=""),0,IF(AND($E22="Trưởng tổ",M22="x"),SUMIFS(KT_TRUONG,KT_LOAI,"Tổ",KT_TO,$D22,KT_NGAY,8),SUMIFS(KT_PHAN,KT_LOAI,"Tổ",KT_TO,IF(M22="x",$D22,M22),KT_NGAY,8)))</f>
        <v>0</v>
      </c>
      <c r="AU22" s="31" t="n">
        <f aca="false">IF(OR($B22="",N22=""),0,IF(AND($E22="Trưởng tổ",N22="x"),SUMIFS(KT_TRUONG,KT_LOAI,"Tổ",KT_TO,$D22,KT_NGAY,9),SUMIFS(KT_PHAN,KT_LOAI,"Tổ",KT_TO,IF(N22="x",$D22,N22),KT_NGAY,9)))</f>
        <v>0</v>
      </c>
      <c r="AV22" s="31" t="n">
        <f aca="false">IF(OR($B22="",O22=""),0,IF(AND($E22="Trưởng tổ",O22="x"),SUMIFS(KT_TRUONG,KT_LOAI,"Tổ",KT_TO,$D22,KT_NGAY,10),SUMIFS(KT_PHAN,KT_LOAI,"Tổ",KT_TO,IF(O22="x",$D22,O22),KT_NGAY,10)))</f>
        <v>0</v>
      </c>
      <c r="AW22" s="31" t="n">
        <f aca="false">IF(OR($B22="",P22=""),0,IF(AND($E22="Trưởng tổ",P22="x"),SUMIFS(KT_TRUONG,KT_LOAI,"Tổ",KT_TO,$D22,KT_NGAY,11),SUMIFS(KT_PHAN,KT_LOAI,"Tổ",KT_TO,IF(P22="x",$D22,P22),KT_NGAY,11)))</f>
        <v>0</v>
      </c>
      <c r="AX22" s="31" t="n">
        <f aca="false">IF(OR($B22="",Q22=""),0,IF(AND($E22="Trưởng tổ",Q22="x"),SUMIFS(KT_TRUONG,KT_LOAI,"Tổ",KT_TO,$D22,KT_NGAY,12),SUMIFS(KT_PHAN,KT_LOAI,"Tổ",KT_TO,IF(Q22="x",$D22,Q22),KT_NGAY,12)))</f>
        <v>0</v>
      </c>
      <c r="AY22" s="31" t="n">
        <f aca="false">IF(OR($B22="",R22=""),0,IF(AND($E22="Trưởng tổ",R22="x"),SUMIFS(KT_TRUONG,KT_LOAI,"Tổ",KT_TO,$D22,KT_NGAY,13),SUMIFS(KT_PHAN,KT_LOAI,"Tổ",KT_TO,IF(R22="x",$D22,R22),KT_NGAY,13)))</f>
        <v>0</v>
      </c>
      <c r="AZ22" s="31" t="n">
        <f aca="false">IF(OR($B22="",S22=""),0,IF(AND($E22="Trưởng tổ",S22="x"),SUMIFS(KT_TRUONG,KT_LOAI,"Tổ",KT_TO,$D22,KT_NGAY,14),SUMIFS(KT_PHAN,KT_LOAI,"Tổ",KT_TO,IF(S22="x",$D22,S22),KT_NGAY,14)))</f>
        <v>0</v>
      </c>
      <c r="BA22" s="31" t="n">
        <f aca="false">IF(OR($B22="",T22=""),0,IF(AND($E22="Trưởng tổ",T22="x"),SUMIFS(KT_TRUONG,KT_LOAI,"Tổ",KT_TO,$D22,KT_NGAY,15),SUMIFS(KT_PHAN,KT_LOAI,"Tổ",KT_TO,IF(T22="x",$D22,T22),KT_NGAY,15)))</f>
        <v>0</v>
      </c>
      <c r="BB22" s="31" t="n">
        <f aca="false">IF(OR($B22="",U22=""),0,IF(AND($E22="Trưởng tổ",U22="x"),SUMIFS(KT_TRUONG,KT_LOAI,"Tổ",KT_TO,$D22,KT_NGAY,16),SUMIFS(KT_PHAN,KT_LOAI,"Tổ",KT_TO,IF(U22="x",$D22,U22),KT_NGAY,16)))</f>
        <v>0</v>
      </c>
      <c r="BC22" s="31" t="n">
        <f aca="false">IF(OR($B22="",V22=""),0,IF(AND($E22="Trưởng tổ",V22="x"),SUMIFS(KT_TRUONG,KT_LOAI,"Tổ",KT_TO,$D22,KT_NGAY,17),SUMIFS(KT_PHAN,KT_LOAI,"Tổ",KT_TO,IF(V22="x",$D22,V22),KT_NGAY,17)))</f>
        <v>0</v>
      </c>
      <c r="BD22" s="31" t="n">
        <f aca="false">IF(OR($B22="",W22=""),0,IF(AND($E22="Trưởng tổ",W22="x"),SUMIFS(KT_TRUONG,KT_LOAI,"Tổ",KT_TO,$D22,KT_NGAY,18),SUMIFS(KT_PHAN,KT_LOAI,"Tổ",KT_TO,IF(W22="x",$D22,W22),KT_NGAY,18)))</f>
        <v>0</v>
      </c>
      <c r="BE22" s="31" t="n">
        <f aca="false">IF(OR($B22="",X22=""),0,IF(AND($E22="Trưởng tổ",X22="x"),SUMIFS(KT_TRUONG,KT_LOAI,"Tổ",KT_TO,$D22,KT_NGAY,19),SUMIFS(KT_PHAN,KT_LOAI,"Tổ",KT_TO,IF(X22="x",$D22,X22),KT_NGAY,19)))</f>
        <v>0</v>
      </c>
      <c r="BF22" s="31" t="n">
        <f aca="false">IF(OR($B22="",Y22=""),0,IF(AND($E22="Trưởng tổ",Y22="x"),SUMIFS(KT_TRUONG,KT_LOAI,"Tổ",KT_TO,$D22,KT_NGAY,20),SUMIFS(KT_PHAN,KT_LOAI,"Tổ",KT_TO,IF(Y22="x",$D22,Y22),KT_NGAY,20)))</f>
        <v>0</v>
      </c>
      <c r="BG22" s="31" t="n">
        <f aca="false">IF(OR($B22="",Z22=""),0,IF(AND($E22="Trưởng tổ",Z22="x"),SUMIFS(KT_TRUONG,KT_LOAI,"Tổ",KT_TO,$D22,KT_NGAY,21),SUMIFS(KT_PHAN,KT_LOAI,"Tổ",KT_TO,IF(Z22="x",$D22,Z22),KT_NGAY,21)))</f>
        <v>0</v>
      </c>
      <c r="BH22" s="31" t="n">
        <f aca="false">IF(OR($B22="",AA22=""),0,IF(AND($E22="Trưởng tổ",AA22="x"),SUMIFS(KT_TRUONG,KT_LOAI,"Tổ",KT_TO,$D22,KT_NGAY,22),SUMIFS(KT_PHAN,KT_LOAI,"Tổ",KT_TO,IF(AA22="x",$D22,AA22),KT_NGAY,22)))</f>
        <v>0</v>
      </c>
      <c r="BI22" s="31" t="n">
        <f aca="false">IF(OR($B22="",AB22=""),0,IF(AND($E22="Trưởng tổ",AB22="x"),SUMIFS(KT_TRUONG,KT_LOAI,"Tổ",KT_TO,$D22,KT_NGAY,23),SUMIFS(KT_PHAN,KT_LOAI,"Tổ",KT_TO,IF(AB22="x",$D22,AB22),KT_NGAY,23)))</f>
        <v>0</v>
      </c>
      <c r="BJ22" s="31" t="n">
        <f aca="false">IF(OR($B22="",AC22=""),0,IF(AND($E22="Trưởng tổ",AC22="x"),SUMIFS(KT_TRUONG,KT_LOAI,"Tổ",KT_TO,$D22,KT_NGAY,24),SUMIFS(KT_PHAN,KT_LOAI,"Tổ",KT_TO,IF(AC22="x",$D22,AC22),KT_NGAY,24)))</f>
        <v>0</v>
      </c>
      <c r="BK22" s="31" t="n">
        <f aca="false">IF(OR($B22="",AD22=""),0,IF(AND($E22="Trưởng tổ",AD22="x"),SUMIFS(KT_TRUONG,KT_LOAI,"Tổ",KT_TO,$D22,KT_NGAY,25),SUMIFS(KT_PHAN,KT_LOAI,"Tổ",KT_TO,IF(AD22="x",$D22,AD22),KT_NGAY,25)))</f>
        <v>0</v>
      </c>
      <c r="BL22" s="31" t="n">
        <f aca="false">IF(OR($B22="",AE22=""),0,IF(AND($E22="Trưởng tổ",AE22="x"),SUMIFS(KT_TRUONG,KT_LOAI,"Tổ",KT_TO,$D22,KT_NGAY,26),SUMIFS(KT_PHAN,KT_LOAI,"Tổ",KT_TO,IF(AE22="x",$D22,AE22),KT_NGAY,26)))</f>
        <v>0</v>
      </c>
      <c r="BM22" s="31" t="n">
        <f aca="false">IF(OR($B22="",AF22=""),0,IF(AND($E22="Trưởng tổ",AF22="x"),SUMIFS(KT_TRUONG,KT_LOAI,"Tổ",KT_TO,$D22,KT_NGAY,27),SUMIFS(KT_PHAN,KT_LOAI,"Tổ",KT_TO,IF(AF22="x",$D22,AF22),KT_NGAY,27)))</f>
        <v>0</v>
      </c>
      <c r="BN22" s="31" t="n">
        <f aca="false">IF(OR($B22="",AG22=""),0,IF(AND($E22="Trưởng tổ",AG22="x"),SUMIFS(KT_TRUONG,KT_LOAI,"Tổ",KT_TO,$D22,KT_NGAY,28),SUMIFS(KT_PHAN,KT_LOAI,"Tổ",KT_TO,IF(AG22="x",$D22,AG22),KT_NGAY,28)))</f>
        <v>0</v>
      </c>
      <c r="BO22" s="31" t="n">
        <f aca="false">IF(OR($B22="",AH22=""),0,IF(AND($E22="Trưởng tổ",AH22="x"),SUMIFS(KT_TRUONG,KT_LOAI,"Tổ",KT_TO,$D22,KT_NGAY,29),SUMIFS(KT_PHAN,KT_LOAI,"Tổ",KT_TO,IF(AH22="x",$D22,AH22),KT_NGAY,29)))</f>
        <v>0</v>
      </c>
      <c r="BP22" s="31" t="n">
        <f aca="false">IF(OR($B22="",AI22=""),0,IF(AND($E22="Trưởng tổ",AI22="x"),SUMIFS(KT_TRUONG,KT_LOAI,"Tổ",KT_TO,$D22,KT_NGAY,30),SUMIFS(KT_PHAN,KT_LOAI,"Tổ",KT_TO,IF(AI22="x",$D22,AI22),KT_NGAY,30)))</f>
        <v>0</v>
      </c>
      <c r="BQ22" s="31" t="n">
        <f aca="false">IF(OR($B22="",AJ22=""),0,IF(AND($E22="Trưởng tổ",AJ22="x"),SUMIFS(KT_TRUONG,KT_LOAI,"Tổ",KT_TO,$D22,KT_NGAY,31),SUMIFS(KT_PHAN,KT_LOAI,"Tổ",KT_TO,IF(AJ22="x",$D22,AJ22),KT_NGAY,31)))</f>
        <v>0</v>
      </c>
    </row>
    <row r="23" customFormat="false" ht="15" hidden="false" customHeight="false" outlineLevel="0" collapsed="false">
      <c r="A23" s="17" t="str">
        <f aca="false">IF(B23="","",ROW()-5)</f>
        <v/>
      </c>
      <c r="B23" s="29" t="str">
        <f aca="false">IF(OR(BCC!B23="",BCC!D23&lt;&gt;"Thời vụ HAQT"),"",BCC!B23)</f>
        <v/>
      </c>
      <c r="C23" s="17" t="str">
        <f aca="false">IF(B23="","",BCC!C23)</f>
        <v/>
      </c>
      <c r="D23" s="17" t="str">
        <f aca="false">IF(B23="","",IFERROR(INDEX(NV_TO,MATCH(B23,NV_MA,0)),""))</f>
        <v/>
      </c>
      <c r="E23" s="17" t="str">
        <f aca="false">IF(B23="","",IFERROR(INDEX(NV_VT,MATCH(B23,NV_MA,0)),""))</f>
        <v/>
      </c>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17" t="str">
        <f aca="false">IF(B23="","",COUNTA(F23:AJ23))</f>
        <v/>
      </c>
      <c r="AL23" s="30" t="str">
        <f aca="false">IF(B23="","",SUM(AM23:BQ23))</f>
        <v/>
      </c>
      <c r="AM23" s="31" t="n">
        <f aca="false">IF(OR($B23="",F23=""),0,IF(AND($E23="Trưởng tổ",F23="x"),SUMIFS(KT_TRUONG,KT_LOAI,"Tổ",KT_TO,$D23,KT_NGAY,1),SUMIFS(KT_PHAN,KT_LOAI,"Tổ",KT_TO,IF(F23="x",$D23,F23),KT_NGAY,1)))</f>
        <v>0</v>
      </c>
      <c r="AN23" s="31" t="n">
        <f aca="false">IF(OR($B23="",G23=""),0,IF(AND($E23="Trưởng tổ",G23="x"),SUMIFS(KT_TRUONG,KT_LOAI,"Tổ",KT_TO,$D23,KT_NGAY,2),SUMIFS(KT_PHAN,KT_LOAI,"Tổ",KT_TO,IF(G23="x",$D23,G23),KT_NGAY,2)))</f>
        <v>0</v>
      </c>
      <c r="AO23" s="31" t="n">
        <f aca="false">IF(OR($B23="",H23=""),0,IF(AND($E23="Trưởng tổ",H23="x"),SUMIFS(KT_TRUONG,KT_LOAI,"Tổ",KT_TO,$D23,KT_NGAY,3),SUMIFS(KT_PHAN,KT_LOAI,"Tổ",KT_TO,IF(H23="x",$D23,H23),KT_NGAY,3)))</f>
        <v>0</v>
      </c>
      <c r="AP23" s="31" t="n">
        <f aca="false">IF(OR($B23="",I23=""),0,IF(AND($E23="Trưởng tổ",I23="x"),SUMIFS(KT_TRUONG,KT_LOAI,"Tổ",KT_TO,$D23,KT_NGAY,4),SUMIFS(KT_PHAN,KT_LOAI,"Tổ",KT_TO,IF(I23="x",$D23,I23),KT_NGAY,4)))</f>
        <v>0</v>
      </c>
      <c r="AQ23" s="31" t="n">
        <f aca="false">IF(OR($B23="",J23=""),0,IF(AND($E23="Trưởng tổ",J23="x"),SUMIFS(KT_TRUONG,KT_LOAI,"Tổ",KT_TO,$D23,KT_NGAY,5),SUMIFS(KT_PHAN,KT_LOAI,"Tổ",KT_TO,IF(J23="x",$D23,J23),KT_NGAY,5)))</f>
        <v>0</v>
      </c>
      <c r="AR23" s="31" t="n">
        <f aca="false">IF(OR($B23="",K23=""),0,IF(AND($E23="Trưởng tổ",K23="x"),SUMIFS(KT_TRUONG,KT_LOAI,"Tổ",KT_TO,$D23,KT_NGAY,6),SUMIFS(KT_PHAN,KT_LOAI,"Tổ",KT_TO,IF(K23="x",$D23,K23),KT_NGAY,6)))</f>
        <v>0</v>
      </c>
      <c r="AS23" s="31" t="n">
        <f aca="false">IF(OR($B23="",L23=""),0,IF(AND($E23="Trưởng tổ",L23="x"),SUMIFS(KT_TRUONG,KT_LOAI,"Tổ",KT_TO,$D23,KT_NGAY,7),SUMIFS(KT_PHAN,KT_LOAI,"Tổ",KT_TO,IF(L23="x",$D23,L23),KT_NGAY,7)))</f>
        <v>0</v>
      </c>
      <c r="AT23" s="31" t="n">
        <f aca="false">IF(OR($B23="",M23=""),0,IF(AND($E23="Trưởng tổ",M23="x"),SUMIFS(KT_TRUONG,KT_LOAI,"Tổ",KT_TO,$D23,KT_NGAY,8),SUMIFS(KT_PHAN,KT_LOAI,"Tổ",KT_TO,IF(M23="x",$D23,M23),KT_NGAY,8)))</f>
        <v>0</v>
      </c>
      <c r="AU23" s="31" t="n">
        <f aca="false">IF(OR($B23="",N23=""),0,IF(AND($E23="Trưởng tổ",N23="x"),SUMIFS(KT_TRUONG,KT_LOAI,"Tổ",KT_TO,$D23,KT_NGAY,9),SUMIFS(KT_PHAN,KT_LOAI,"Tổ",KT_TO,IF(N23="x",$D23,N23),KT_NGAY,9)))</f>
        <v>0</v>
      </c>
      <c r="AV23" s="31" t="n">
        <f aca="false">IF(OR($B23="",O23=""),0,IF(AND($E23="Trưởng tổ",O23="x"),SUMIFS(KT_TRUONG,KT_LOAI,"Tổ",KT_TO,$D23,KT_NGAY,10),SUMIFS(KT_PHAN,KT_LOAI,"Tổ",KT_TO,IF(O23="x",$D23,O23),KT_NGAY,10)))</f>
        <v>0</v>
      </c>
      <c r="AW23" s="31" t="n">
        <f aca="false">IF(OR($B23="",P23=""),0,IF(AND($E23="Trưởng tổ",P23="x"),SUMIFS(KT_TRUONG,KT_LOAI,"Tổ",KT_TO,$D23,KT_NGAY,11),SUMIFS(KT_PHAN,KT_LOAI,"Tổ",KT_TO,IF(P23="x",$D23,P23),KT_NGAY,11)))</f>
        <v>0</v>
      </c>
      <c r="AX23" s="31" t="n">
        <f aca="false">IF(OR($B23="",Q23=""),0,IF(AND($E23="Trưởng tổ",Q23="x"),SUMIFS(KT_TRUONG,KT_LOAI,"Tổ",KT_TO,$D23,KT_NGAY,12),SUMIFS(KT_PHAN,KT_LOAI,"Tổ",KT_TO,IF(Q23="x",$D23,Q23),KT_NGAY,12)))</f>
        <v>0</v>
      </c>
      <c r="AY23" s="31" t="n">
        <f aca="false">IF(OR($B23="",R23=""),0,IF(AND($E23="Trưởng tổ",R23="x"),SUMIFS(KT_TRUONG,KT_LOAI,"Tổ",KT_TO,$D23,KT_NGAY,13),SUMIFS(KT_PHAN,KT_LOAI,"Tổ",KT_TO,IF(R23="x",$D23,R23),KT_NGAY,13)))</f>
        <v>0</v>
      </c>
      <c r="AZ23" s="31" t="n">
        <f aca="false">IF(OR($B23="",S23=""),0,IF(AND($E23="Trưởng tổ",S23="x"),SUMIFS(KT_TRUONG,KT_LOAI,"Tổ",KT_TO,$D23,KT_NGAY,14),SUMIFS(KT_PHAN,KT_LOAI,"Tổ",KT_TO,IF(S23="x",$D23,S23),KT_NGAY,14)))</f>
        <v>0</v>
      </c>
      <c r="BA23" s="31" t="n">
        <f aca="false">IF(OR($B23="",T23=""),0,IF(AND($E23="Trưởng tổ",T23="x"),SUMIFS(KT_TRUONG,KT_LOAI,"Tổ",KT_TO,$D23,KT_NGAY,15),SUMIFS(KT_PHAN,KT_LOAI,"Tổ",KT_TO,IF(T23="x",$D23,T23),KT_NGAY,15)))</f>
        <v>0</v>
      </c>
      <c r="BB23" s="31" t="n">
        <f aca="false">IF(OR($B23="",U23=""),0,IF(AND($E23="Trưởng tổ",U23="x"),SUMIFS(KT_TRUONG,KT_LOAI,"Tổ",KT_TO,$D23,KT_NGAY,16),SUMIFS(KT_PHAN,KT_LOAI,"Tổ",KT_TO,IF(U23="x",$D23,U23),KT_NGAY,16)))</f>
        <v>0</v>
      </c>
      <c r="BC23" s="31" t="n">
        <f aca="false">IF(OR($B23="",V23=""),0,IF(AND($E23="Trưởng tổ",V23="x"),SUMIFS(KT_TRUONG,KT_LOAI,"Tổ",KT_TO,$D23,KT_NGAY,17),SUMIFS(KT_PHAN,KT_LOAI,"Tổ",KT_TO,IF(V23="x",$D23,V23),KT_NGAY,17)))</f>
        <v>0</v>
      </c>
      <c r="BD23" s="31" t="n">
        <f aca="false">IF(OR($B23="",W23=""),0,IF(AND($E23="Trưởng tổ",W23="x"),SUMIFS(KT_TRUONG,KT_LOAI,"Tổ",KT_TO,$D23,KT_NGAY,18),SUMIFS(KT_PHAN,KT_LOAI,"Tổ",KT_TO,IF(W23="x",$D23,W23),KT_NGAY,18)))</f>
        <v>0</v>
      </c>
      <c r="BE23" s="31" t="n">
        <f aca="false">IF(OR($B23="",X23=""),0,IF(AND($E23="Trưởng tổ",X23="x"),SUMIFS(KT_TRUONG,KT_LOAI,"Tổ",KT_TO,$D23,KT_NGAY,19),SUMIFS(KT_PHAN,KT_LOAI,"Tổ",KT_TO,IF(X23="x",$D23,X23),KT_NGAY,19)))</f>
        <v>0</v>
      </c>
      <c r="BF23" s="31" t="n">
        <f aca="false">IF(OR($B23="",Y23=""),0,IF(AND($E23="Trưởng tổ",Y23="x"),SUMIFS(KT_TRUONG,KT_LOAI,"Tổ",KT_TO,$D23,KT_NGAY,20),SUMIFS(KT_PHAN,KT_LOAI,"Tổ",KT_TO,IF(Y23="x",$D23,Y23),KT_NGAY,20)))</f>
        <v>0</v>
      </c>
      <c r="BG23" s="31" t="n">
        <f aca="false">IF(OR($B23="",Z23=""),0,IF(AND($E23="Trưởng tổ",Z23="x"),SUMIFS(KT_TRUONG,KT_LOAI,"Tổ",KT_TO,$D23,KT_NGAY,21),SUMIFS(KT_PHAN,KT_LOAI,"Tổ",KT_TO,IF(Z23="x",$D23,Z23),KT_NGAY,21)))</f>
        <v>0</v>
      </c>
      <c r="BH23" s="31" t="n">
        <f aca="false">IF(OR($B23="",AA23=""),0,IF(AND($E23="Trưởng tổ",AA23="x"),SUMIFS(KT_TRUONG,KT_LOAI,"Tổ",KT_TO,$D23,KT_NGAY,22),SUMIFS(KT_PHAN,KT_LOAI,"Tổ",KT_TO,IF(AA23="x",$D23,AA23),KT_NGAY,22)))</f>
        <v>0</v>
      </c>
      <c r="BI23" s="31" t="n">
        <f aca="false">IF(OR($B23="",AB23=""),0,IF(AND($E23="Trưởng tổ",AB23="x"),SUMIFS(KT_TRUONG,KT_LOAI,"Tổ",KT_TO,$D23,KT_NGAY,23),SUMIFS(KT_PHAN,KT_LOAI,"Tổ",KT_TO,IF(AB23="x",$D23,AB23),KT_NGAY,23)))</f>
        <v>0</v>
      </c>
      <c r="BJ23" s="31" t="n">
        <f aca="false">IF(OR($B23="",AC23=""),0,IF(AND($E23="Trưởng tổ",AC23="x"),SUMIFS(KT_TRUONG,KT_LOAI,"Tổ",KT_TO,$D23,KT_NGAY,24),SUMIFS(KT_PHAN,KT_LOAI,"Tổ",KT_TO,IF(AC23="x",$D23,AC23),KT_NGAY,24)))</f>
        <v>0</v>
      </c>
      <c r="BK23" s="31" t="n">
        <f aca="false">IF(OR($B23="",AD23=""),0,IF(AND($E23="Trưởng tổ",AD23="x"),SUMIFS(KT_TRUONG,KT_LOAI,"Tổ",KT_TO,$D23,KT_NGAY,25),SUMIFS(KT_PHAN,KT_LOAI,"Tổ",KT_TO,IF(AD23="x",$D23,AD23),KT_NGAY,25)))</f>
        <v>0</v>
      </c>
      <c r="BL23" s="31" t="n">
        <f aca="false">IF(OR($B23="",AE23=""),0,IF(AND($E23="Trưởng tổ",AE23="x"),SUMIFS(KT_TRUONG,KT_LOAI,"Tổ",KT_TO,$D23,KT_NGAY,26),SUMIFS(KT_PHAN,KT_LOAI,"Tổ",KT_TO,IF(AE23="x",$D23,AE23),KT_NGAY,26)))</f>
        <v>0</v>
      </c>
      <c r="BM23" s="31" t="n">
        <f aca="false">IF(OR($B23="",AF23=""),0,IF(AND($E23="Trưởng tổ",AF23="x"),SUMIFS(KT_TRUONG,KT_LOAI,"Tổ",KT_TO,$D23,KT_NGAY,27),SUMIFS(KT_PHAN,KT_LOAI,"Tổ",KT_TO,IF(AF23="x",$D23,AF23),KT_NGAY,27)))</f>
        <v>0</v>
      </c>
      <c r="BN23" s="31" t="n">
        <f aca="false">IF(OR($B23="",AG23=""),0,IF(AND($E23="Trưởng tổ",AG23="x"),SUMIFS(KT_TRUONG,KT_LOAI,"Tổ",KT_TO,$D23,KT_NGAY,28),SUMIFS(KT_PHAN,KT_LOAI,"Tổ",KT_TO,IF(AG23="x",$D23,AG23),KT_NGAY,28)))</f>
        <v>0</v>
      </c>
      <c r="BO23" s="31" t="n">
        <f aca="false">IF(OR($B23="",AH23=""),0,IF(AND($E23="Trưởng tổ",AH23="x"),SUMIFS(KT_TRUONG,KT_LOAI,"Tổ",KT_TO,$D23,KT_NGAY,29),SUMIFS(KT_PHAN,KT_LOAI,"Tổ",KT_TO,IF(AH23="x",$D23,AH23),KT_NGAY,29)))</f>
        <v>0</v>
      </c>
      <c r="BP23" s="31" t="n">
        <f aca="false">IF(OR($B23="",AI23=""),0,IF(AND($E23="Trưởng tổ",AI23="x"),SUMIFS(KT_TRUONG,KT_LOAI,"Tổ",KT_TO,$D23,KT_NGAY,30),SUMIFS(KT_PHAN,KT_LOAI,"Tổ",KT_TO,IF(AI23="x",$D23,AI23),KT_NGAY,30)))</f>
        <v>0</v>
      </c>
      <c r="BQ23" s="31" t="n">
        <f aca="false">IF(OR($B23="",AJ23=""),0,IF(AND($E23="Trưởng tổ",AJ23="x"),SUMIFS(KT_TRUONG,KT_LOAI,"Tổ",KT_TO,$D23,KT_NGAY,31),SUMIFS(KT_PHAN,KT_LOAI,"Tổ",KT_TO,IF(AJ23="x",$D23,AJ23),KT_NGAY,31)))</f>
        <v>0</v>
      </c>
    </row>
    <row r="24" customFormat="false" ht="15" hidden="false" customHeight="false" outlineLevel="0" collapsed="false">
      <c r="A24" s="17" t="str">
        <f aca="false">IF(B24="","",ROW()-5)</f>
        <v/>
      </c>
      <c r="B24" s="29" t="str">
        <f aca="false">IF(OR(BCC!B24="",BCC!D24&lt;&gt;"Thời vụ HAQT"),"",BCC!B24)</f>
        <v/>
      </c>
      <c r="C24" s="17" t="str">
        <f aca="false">IF(B24="","",BCC!C24)</f>
        <v/>
      </c>
      <c r="D24" s="17" t="str">
        <f aca="false">IF(B24="","",IFERROR(INDEX(NV_TO,MATCH(B24,NV_MA,0)),""))</f>
        <v/>
      </c>
      <c r="E24" s="17" t="str">
        <f aca="false">IF(B24="","",IFERROR(INDEX(NV_VT,MATCH(B24,NV_MA,0)),""))</f>
        <v/>
      </c>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17" t="str">
        <f aca="false">IF(B24="","",COUNTA(F24:AJ24))</f>
        <v/>
      </c>
      <c r="AL24" s="30" t="str">
        <f aca="false">IF(B24="","",SUM(AM24:BQ24))</f>
        <v/>
      </c>
      <c r="AM24" s="31" t="n">
        <f aca="false">IF(OR($B24="",F24=""),0,IF(AND($E24="Trưởng tổ",F24="x"),SUMIFS(KT_TRUONG,KT_LOAI,"Tổ",KT_TO,$D24,KT_NGAY,1),SUMIFS(KT_PHAN,KT_LOAI,"Tổ",KT_TO,IF(F24="x",$D24,F24),KT_NGAY,1)))</f>
        <v>0</v>
      </c>
      <c r="AN24" s="31" t="n">
        <f aca="false">IF(OR($B24="",G24=""),0,IF(AND($E24="Trưởng tổ",G24="x"),SUMIFS(KT_TRUONG,KT_LOAI,"Tổ",KT_TO,$D24,KT_NGAY,2),SUMIFS(KT_PHAN,KT_LOAI,"Tổ",KT_TO,IF(G24="x",$D24,G24),KT_NGAY,2)))</f>
        <v>0</v>
      </c>
      <c r="AO24" s="31" t="n">
        <f aca="false">IF(OR($B24="",H24=""),0,IF(AND($E24="Trưởng tổ",H24="x"),SUMIFS(KT_TRUONG,KT_LOAI,"Tổ",KT_TO,$D24,KT_NGAY,3),SUMIFS(KT_PHAN,KT_LOAI,"Tổ",KT_TO,IF(H24="x",$D24,H24),KT_NGAY,3)))</f>
        <v>0</v>
      </c>
      <c r="AP24" s="31" t="n">
        <f aca="false">IF(OR($B24="",I24=""),0,IF(AND($E24="Trưởng tổ",I24="x"),SUMIFS(KT_TRUONG,KT_LOAI,"Tổ",KT_TO,$D24,KT_NGAY,4),SUMIFS(KT_PHAN,KT_LOAI,"Tổ",KT_TO,IF(I24="x",$D24,I24),KT_NGAY,4)))</f>
        <v>0</v>
      </c>
      <c r="AQ24" s="31" t="n">
        <f aca="false">IF(OR($B24="",J24=""),0,IF(AND($E24="Trưởng tổ",J24="x"),SUMIFS(KT_TRUONG,KT_LOAI,"Tổ",KT_TO,$D24,KT_NGAY,5),SUMIFS(KT_PHAN,KT_LOAI,"Tổ",KT_TO,IF(J24="x",$D24,J24),KT_NGAY,5)))</f>
        <v>0</v>
      </c>
      <c r="AR24" s="31" t="n">
        <f aca="false">IF(OR($B24="",K24=""),0,IF(AND($E24="Trưởng tổ",K24="x"),SUMIFS(KT_TRUONG,KT_LOAI,"Tổ",KT_TO,$D24,KT_NGAY,6),SUMIFS(KT_PHAN,KT_LOAI,"Tổ",KT_TO,IF(K24="x",$D24,K24),KT_NGAY,6)))</f>
        <v>0</v>
      </c>
      <c r="AS24" s="31" t="n">
        <f aca="false">IF(OR($B24="",L24=""),0,IF(AND($E24="Trưởng tổ",L24="x"),SUMIFS(KT_TRUONG,KT_LOAI,"Tổ",KT_TO,$D24,KT_NGAY,7),SUMIFS(KT_PHAN,KT_LOAI,"Tổ",KT_TO,IF(L24="x",$D24,L24),KT_NGAY,7)))</f>
        <v>0</v>
      </c>
      <c r="AT24" s="31" t="n">
        <f aca="false">IF(OR($B24="",M24=""),0,IF(AND($E24="Trưởng tổ",M24="x"),SUMIFS(KT_TRUONG,KT_LOAI,"Tổ",KT_TO,$D24,KT_NGAY,8),SUMIFS(KT_PHAN,KT_LOAI,"Tổ",KT_TO,IF(M24="x",$D24,M24),KT_NGAY,8)))</f>
        <v>0</v>
      </c>
      <c r="AU24" s="31" t="n">
        <f aca="false">IF(OR($B24="",N24=""),0,IF(AND($E24="Trưởng tổ",N24="x"),SUMIFS(KT_TRUONG,KT_LOAI,"Tổ",KT_TO,$D24,KT_NGAY,9),SUMIFS(KT_PHAN,KT_LOAI,"Tổ",KT_TO,IF(N24="x",$D24,N24),KT_NGAY,9)))</f>
        <v>0</v>
      </c>
      <c r="AV24" s="31" t="n">
        <f aca="false">IF(OR($B24="",O24=""),0,IF(AND($E24="Trưởng tổ",O24="x"),SUMIFS(KT_TRUONG,KT_LOAI,"Tổ",KT_TO,$D24,KT_NGAY,10),SUMIFS(KT_PHAN,KT_LOAI,"Tổ",KT_TO,IF(O24="x",$D24,O24),KT_NGAY,10)))</f>
        <v>0</v>
      </c>
      <c r="AW24" s="31" t="n">
        <f aca="false">IF(OR($B24="",P24=""),0,IF(AND($E24="Trưởng tổ",P24="x"),SUMIFS(KT_TRUONG,KT_LOAI,"Tổ",KT_TO,$D24,KT_NGAY,11),SUMIFS(KT_PHAN,KT_LOAI,"Tổ",KT_TO,IF(P24="x",$D24,P24),KT_NGAY,11)))</f>
        <v>0</v>
      </c>
      <c r="AX24" s="31" t="n">
        <f aca="false">IF(OR($B24="",Q24=""),0,IF(AND($E24="Trưởng tổ",Q24="x"),SUMIFS(KT_TRUONG,KT_LOAI,"Tổ",KT_TO,$D24,KT_NGAY,12),SUMIFS(KT_PHAN,KT_LOAI,"Tổ",KT_TO,IF(Q24="x",$D24,Q24),KT_NGAY,12)))</f>
        <v>0</v>
      </c>
      <c r="AY24" s="31" t="n">
        <f aca="false">IF(OR($B24="",R24=""),0,IF(AND($E24="Trưởng tổ",R24="x"),SUMIFS(KT_TRUONG,KT_LOAI,"Tổ",KT_TO,$D24,KT_NGAY,13),SUMIFS(KT_PHAN,KT_LOAI,"Tổ",KT_TO,IF(R24="x",$D24,R24),KT_NGAY,13)))</f>
        <v>0</v>
      </c>
      <c r="AZ24" s="31" t="n">
        <f aca="false">IF(OR($B24="",S24=""),0,IF(AND($E24="Trưởng tổ",S24="x"),SUMIFS(KT_TRUONG,KT_LOAI,"Tổ",KT_TO,$D24,KT_NGAY,14),SUMIFS(KT_PHAN,KT_LOAI,"Tổ",KT_TO,IF(S24="x",$D24,S24),KT_NGAY,14)))</f>
        <v>0</v>
      </c>
      <c r="BA24" s="31" t="n">
        <f aca="false">IF(OR($B24="",T24=""),0,IF(AND($E24="Trưởng tổ",T24="x"),SUMIFS(KT_TRUONG,KT_LOAI,"Tổ",KT_TO,$D24,KT_NGAY,15),SUMIFS(KT_PHAN,KT_LOAI,"Tổ",KT_TO,IF(T24="x",$D24,T24),KT_NGAY,15)))</f>
        <v>0</v>
      </c>
      <c r="BB24" s="31" t="n">
        <f aca="false">IF(OR($B24="",U24=""),0,IF(AND($E24="Trưởng tổ",U24="x"),SUMIFS(KT_TRUONG,KT_LOAI,"Tổ",KT_TO,$D24,KT_NGAY,16),SUMIFS(KT_PHAN,KT_LOAI,"Tổ",KT_TO,IF(U24="x",$D24,U24),KT_NGAY,16)))</f>
        <v>0</v>
      </c>
      <c r="BC24" s="31" t="n">
        <f aca="false">IF(OR($B24="",V24=""),0,IF(AND($E24="Trưởng tổ",V24="x"),SUMIFS(KT_TRUONG,KT_LOAI,"Tổ",KT_TO,$D24,KT_NGAY,17),SUMIFS(KT_PHAN,KT_LOAI,"Tổ",KT_TO,IF(V24="x",$D24,V24),KT_NGAY,17)))</f>
        <v>0</v>
      </c>
      <c r="BD24" s="31" t="n">
        <f aca="false">IF(OR($B24="",W24=""),0,IF(AND($E24="Trưởng tổ",W24="x"),SUMIFS(KT_TRUONG,KT_LOAI,"Tổ",KT_TO,$D24,KT_NGAY,18),SUMIFS(KT_PHAN,KT_LOAI,"Tổ",KT_TO,IF(W24="x",$D24,W24),KT_NGAY,18)))</f>
        <v>0</v>
      </c>
      <c r="BE24" s="31" t="n">
        <f aca="false">IF(OR($B24="",X24=""),0,IF(AND($E24="Trưởng tổ",X24="x"),SUMIFS(KT_TRUONG,KT_LOAI,"Tổ",KT_TO,$D24,KT_NGAY,19),SUMIFS(KT_PHAN,KT_LOAI,"Tổ",KT_TO,IF(X24="x",$D24,X24),KT_NGAY,19)))</f>
        <v>0</v>
      </c>
      <c r="BF24" s="31" t="n">
        <f aca="false">IF(OR($B24="",Y24=""),0,IF(AND($E24="Trưởng tổ",Y24="x"),SUMIFS(KT_TRUONG,KT_LOAI,"Tổ",KT_TO,$D24,KT_NGAY,20),SUMIFS(KT_PHAN,KT_LOAI,"Tổ",KT_TO,IF(Y24="x",$D24,Y24),KT_NGAY,20)))</f>
        <v>0</v>
      </c>
      <c r="BG24" s="31" t="n">
        <f aca="false">IF(OR($B24="",Z24=""),0,IF(AND($E24="Trưởng tổ",Z24="x"),SUMIFS(KT_TRUONG,KT_LOAI,"Tổ",KT_TO,$D24,KT_NGAY,21),SUMIFS(KT_PHAN,KT_LOAI,"Tổ",KT_TO,IF(Z24="x",$D24,Z24),KT_NGAY,21)))</f>
        <v>0</v>
      </c>
      <c r="BH24" s="31" t="n">
        <f aca="false">IF(OR($B24="",AA24=""),0,IF(AND($E24="Trưởng tổ",AA24="x"),SUMIFS(KT_TRUONG,KT_LOAI,"Tổ",KT_TO,$D24,KT_NGAY,22),SUMIFS(KT_PHAN,KT_LOAI,"Tổ",KT_TO,IF(AA24="x",$D24,AA24),KT_NGAY,22)))</f>
        <v>0</v>
      </c>
      <c r="BI24" s="31" t="n">
        <f aca="false">IF(OR($B24="",AB24=""),0,IF(AND($E24="Trưởng tổ",AB24="x"),SUMIFS(KT_TRUONG,KT_LOAI,"Tổ",KT_TO,$D24,KT_NGAY,23),SUMIFS(KT_PHAN,KT_LOAI,"Tổ",KT_TO,IF(AB24="x",$D24,AB24),KT_NGAY,23)))</f>
        <v>0</v>
      </c>
      <c r="BJ24" s="31" t="n">
        <f aca="false">IF(OR($B24="",AC24=""),0,IF(AND($E24="Trưởng tổ",AC24="x"),SUMIFS(KT_TRUONG,KT_LOAI,"Tổ",KT_TO,$D24,KT_NGAY,24),SUMIFS(KT_PHAN,KT_LOAI,"Tổ",KT_TO,IF(AC24="x",$D24,AC24),KT_NGAY,24)))</f>
        <v>0</v>
      </c>
      <c r="BK24" s="31" t="n">
        <f aca="false">IF(OR($B24="",AD24=""),0,IF(AND($E24="Trưởng tổ",AD24="x"),SUMIFS(KT_TRUONG,KT_LOAI,"Tổ",KT_TO,$D24,KT_NGAY,25),SUMIFS(KT_PHAN,KT_LOAI,"Tổ",KT_TO,IF(AD24="x",$D24,AD24),KT_NGAY,25)))</f>
        <v>0</v>
      </c>
      <c r="BL24" s="31" t="n">
        <f aca="false">IF(OR($B24="",AE24=""),0,IF(AND($E24="Trưởng tổ",AE24="x"),SUMIFS(KT_TRUONG,KT_LOAI,"Tổ",KT_TO,$D24,KT_NGAY,26),SUMIFS(KT_PHAN,KT_LOAI,"Tổ",KT_TO,IF(AE24="x",$D24,AE24),KT_NGAY,26)))</f>
        <v>0</v>
      </c>
      <c r="BM24" s="31" t="n">
        <f aca="false">IF(OR($B24="",AF24=""),0,IF(AND($E24="Trưởng tổ",AF24="x"),SUMIFS(KT_TRUONG,KT_LOAI,"Tổ",KT_TO,$D24,KT_NGAY,27),SUMIFS(KT_PHAN,KT_LOAI,"Tổ",KT_TO,IF(AF24="x",$D24,AF24),KT_NGAY,27)))</f>
        <v>0</v>
      </c>
      <c r="BN24" s="31" t="n">
        <f aca="false">IF(OR($B24="",AG24=""),0,IF(AND($E24="Trưởng tổ",AG24="x"),SUMIFS(KT_TRUONG,KT_LOAI,"Tổ",KT_TO,$D24,KT_NGAY,28),SUMIFS(KT_PHAN,KT_LOAI,"Tổ",KT_TO,IF(AG24="x",$D24,AG24),KT_NGAY,28)))</f>
        <v>0</v>
      </c>
      <c r="BO24" s="31" t="n">
        <f aca="false">IF(OR($B24="",AH24=""),0,IF(AND($E24="Trưởng tổ",AH24="x"),SUMIFS(KT_TRUONG,KT_LOAI,"Tổ",KT_TO,$D24,KT_NGAY,29),SUMIFS(KT_PHAN,KT_LOAI,"Tổ",KT_TO,IF(AH24="x",$D24,AH24),KT_NGAY,29)))</f>
        <v>0</v>
      </c>
      <c r="BP24" s="31" t="n">
        <f aca="false">IF(OR($B24="",AI24=""),0,IF(AND($E24="Trưởng tổ",AI24="x"),SUMIFS(KT_TRUONG,KT_LOAI,"Tổ",KT_TO,$D24,KT_NGAY,30),SUMIFS(KT_PHAN,KT_LOAI,"Tổ",KT_TO,IF(AI24="x",$D24,AI24),KT_NGAY,30)))</f>
        <v>0</v>
      </c>
      <c r="BQ24" s="31" t="n">
        <f aca="false">IF(OR($B24="",AJ24=""),0,IF(AND($E24="Trưởng tổ",AJ24="x"),SUMIFS(KT_TRUONG,KT_LOAI,"Tổ",KT_TO,$D24,KT_NGAY,31),SUMIFS(KT_PHAN,KT_LOAI,"Tổ",KT_TO,IF(AJ24="x",$D24,AJ24),KT_NGAY,31)))</f>
        <v>0</v>
      </c>
    </row>
    <row r="25" customFormat="false" ht="15" hidden="false" customHeight="false" outlineLevel="0" collapsed="false">
      <c r="A25" s="17" t="str">
        <f aca="false">IF(B25="","",ROW()-5)</f>
        <v/>
      </c>
      <c r="B25" s="29" t="str">
        <f aca="false">IF(OR(BCC!B25="",BCC!D25&lt;&gt;"Thời vụ HAQT"),"",BCC!B25)</f>
        <v/>
      </c>
      <c r="C25" s="17" t="str">
        <f aca="false">IF(B25="","",BCC!C25)</f>
        <v/>
      </c>
      <c r="D25" s="17" t="str">
        <f aca="false">IF(B25="","",IFERROR(INDEX(NV_TO,MATCH(B25,NV_MA,0)),""))</f>
        <v/>
      </c>
      <c r="E25" s="17" t="str">
        <f aca="false">IF(B25="","",IFERROR(INDEX(NV_VT,MATCH(B25,NV_MA,0)),""))</f>
        <v/>
      </c>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17" t="str">
        <f aca="false">IF(B25="","",COUNTA(F25:AJ25))</f>
        <v/>
      </c>
      <c r="AL25" s="30" t="str">
        <f aca="false">IF(B25="","",SUM(AM25:BQ25))</f>
        <v/>
      </c>
      <c r="AM25" s="31" t="n">
        <f aca="false">IF(OR($B25="",F25=""),0,IF(AND($E25="Trưởng tổ",F25="x"),SUMIFS(KT_TRUONG,KT_LOAI,"Tổ",KT_TO,$D25,KT_NGAY,1),SUMIFS(KT_PHAN,KT_LOAI,"Tổ",KT_TO,IF(F25="x",$D25,F25),KT_NGAY,1)))</f>
        <v>0</v>
      </c>
      <c r="AN25" s="31" t="n">
        <f aca="false">IF(OR($B25="",G25=""),0,IF(AND($E25="Trưởng tổ",G25="x"),SUMIFS(KT_TRUONG,KT_LOAI,"Tổ",KT_TO,$D25,KT_NGAY,2),SUMIFS(KT_PHAN,KT_LOAI,"Tổ",KT_TO,IF(G25="x",$D25,G25),KT_NGAY,2)))</f>
        <v>0</v>
      </c>
      <c r="AO25" s="31" t="n">
        <f aca="false">IF(OR($B25="",H25=""),0,IF(AND($E25="Trưởng tổ",H25="x"),SUMIFS(KT_TRUONG,KT_LOAI,"Tổ",KT_TO,$D25,KT_NGAY,3),SUMIFS(KT_PHAN,KT_LOAI,"Tổ",KT_TO,IF(H25="x",$D25,H25),KT_NGAY,3)))</f>
        <v>0</v>
      </c>
      <c r="AP25" s="31" t="n">
        <f aca="false">IF(OR($B25="",I25=""),0,IF(AND($E25="Trưởng tổ",I25="x"),SUMIFS(KT_TRUONG,KT_LOAI,"Tổ",KT_TO,$D25,KT_NGAY,4),SUMIFS(KT_PHAN,KT_LOAI,"Tổ",KT_TO,IF(I25="x",$D25,I25),KT_NGAY,4)))</f>
        <v>0</v>
      </c>
      <c r="AQ25" s="31" t="n">
        <f aca="false">IF(OR($B25="",J25=""),0,IF(AND($E25="Trưởng tổ",J25="x"),SUMIFS(KT_TRUONG,KT_LOAI,"Tổ",KT_TO,$D25,KT_NGAY,5),SUMIFS(KT_PHAN,KT_LOAI,"Tổ",KT_TO,IF(J25="x",$D25,J25),KT_NGAY,5)))</f>
        <v>0</v>
      </c>
      <c r="AR25" s="31" t="n">
        <f aca="false">IF(OR($B25="",K25=""),0,IF(AND($E25="Trưởng tổ",K25="x"),SUMIFS(KT_TRUONG,KT_LOAI,"Tổ",KT_TO,$D25,KT_NGAY,6),SUMIFS(KT_PHAN,KT_LOAI,"Tổ",KT_TO,IF(K25="x",$D25,K25),KT_NGAY,6)))</f>
        <v>0</v>
      </c>
      <c r="AS25" s="31" t="n">
        <f aca="false">IF(OR($B25="",L25=""),0,IF(AND($E25="Trưởng tổ",L25="x"),SUMIFS(KT_TRUONG,KT_LOAI,"Tổ",KT_TO,$D25,KT_NGAY,7),SUMIFS(KT_PHAN,KT_LOAI,"Tổ",KT_TO,IF(L25="x",$D25,L25),KT_NGAY,7)))</f>
        <v>0</v>
      </c>
      <c r="AT25" s="31" t="n">
        <f aca="false">IF(OR($B25="",M25=""),0,IF(AND($E25="Trưởng tổ",M25="x"),SUMIFS(KT_TRUONG,KT_LOAI,"Tổ",KT_TO,$D25,KT_NGAY,8),SUMIFS(KT_PHAN,KT_LOAI,"Tổ",KT_TO,IF(M25="x",$D25,M25),KT_NGAY,8)))</f>
        <v>0</v>
      </c>
      <c r="AU25" s="31" t="n">
        <f aca="false">IF(OR($B25="",N25=""),0,IF(AND($E25="Trưởng tổ",N25="x"),SUMIFS(KT_TRUONG,KT_LOAI,"Tổ",KT_TO,$D25,KT_NGAY,9),SUMIFS(KT_PHAN,KT_LOAI,"Tổ",KT_TO,IF(N25="x",$D25,N25),KT_NGAY,9)))</f>
        <v>0</v>
      </c>
      <c r="AV25" s="31" t="n">
        <f aca="false">IF(OR($B25="",O25=""),0,IF(AND($E25="Trưởng tổ",O25="x"),SUMIFS(KT_TRUONG,KT_LOAI,"Tổ",KT_TO,$D25,KT_NGAY,10),SUMIFS(KT_PHAN,KT_LOAI,"Tổ",KT_TO,IF(O25="x",$D25,O25),KT_NGAY,10)))</f>
        <v>0</v>
      </c>
      <c r="AW25" s="31" t="n">
        <f aca="false">IF(OR($B25="",P25=""),0,IF(AND($E25="Trưởng tổ",P25="x"),SUMIFS(KT_TRUONG,KT_LOAI,"Tổ",KT_TO,$D25,KT_NGAY,11),SUMIFS(KT_PHAN,KT_LOAI,"Tổ",KT_TO,IF(P25="x",$D25,P25),KT_NGAY,11)))</f>
        <v>0</v>
      </c>
      <c r="AX25" s="31" t="n">
        <f aca="false">IF(OR($B25="",Q25=""),0,IF(AND($E25="Trưởng tổ",Q25="x"),SUMIFS(KT_TRUONG,KT_LOAI,"Tổ",KT_TO,$D25,KT_NGAY,12),SUMIFS(KT_PHAN,KT_LOAI,"Tổ",KT_TO,IF(Q25="x",$D25,Q25),KT_NGAY,12)))</f>
        <v>0</v>
      </c>
      <c r="AY25" s="31" t="n">
        <f aca="false">IF(OR($B25="",R25=""),0,IF(AND($E25="Trưởng tổ",R25="x"),SUMIFS(KT_TRUONG,KT_LOAI,"Tổ",KT_TO,$D25,KT_NGAY,13),SUMIFS(KT_PHAN,KT_LOAI,"Tổ",KT_TO,IF(R25="x",$D25,R25),KT_NGAY,13)))</f>
        <v>0</v>
      </c>
      <c r="AZ25" s="31" t="n">
        <f aca="false">IF(OR($B25="",S25=""),0,IF(AND($E25="Trưởng tổ",S25="x"),SUMIFS(KT_TRUONG,KT_LOAI,"Tổ",KT_TO,$D25,KT_NGAY,14),SUMIFS(KT_PHAN,KT_LOAI,"Tổ",KT_TO,IF(S25="x",$D25,S25),KT_NGAY,14)))</f>
        <v>0</v>
      </c>
      <c r="BA25" s="31" t="n">
        <f aca="false">IF(OR($B25="",T25=""),0,IF(AND($E25="Trưởng tổ",T25="x"),SUMIFS(KT_TRUONG,KT_LOAI,"Tổ",KT_TO,$D25,KT_NGAY,15),SUMIFS(KT_PHAN,KT_LOAI,"Tổ",KT_TO,IF(T25="x",$D25,T25),KT_NGAY,15)))</f>
        <v>0</v>
      </c>
      <c r="BB25" s="31" t="n">
        <f aca="false">IF(OR($B25="",U25=""),0,IF(AND($E25="Trưởng tổ",U25="x"),SUMIFS(KT_TRUONG,KT_LOAI,"Tổ",KT_TO,$D25,KT_NGAY,16),SUMIFS(KT_PHAN,KT_LOAI,"Tổ",KT_TO,IF(U25="x",$D25,U25),KT_NGAY,16)))</f>
        <v>0</v>
      </c>
      <c r="BC25" s="31" t="n">
        <f aca="false">IF(OR($B25="",V25=""),0,IF(AND($E25="Trưởng tổ",V25="x"),SUMIFS(KT_TRUONG,KT_LOAI,"Tổ",KT_TO,$D25,KT_NGAY,17),SUMIFS(KT_PHAN,KT_LOAI,"Tổ",KT_TO,IF(V25="x",$D25,V25),KT_NGAY,17)))</f>
        <v>0</v>
      </c>
      <c r="BD25" s="31" t="n">
        <f aca="false">IF(OR($B25="",W25=""),0,IF(AND($E25="Trưởng tổ",W25="x"),SUMIFS(KT_TRUONG,KT_LOAI,"Tổ",KT_TO,$D25,KT_NGAY,18),SUMIFS(KT_PHAN,KT_LOAI,"Tổ",KT_TO,IF(W25="x",$D25,W25),KT_NGAY,18)))</f>
        <v>0</v>
      </c>
      <c r="BE25" s="31" t="n">
        <f aca="false">IF(OR($B25="",X25=""),0,IF(AND($E25="Trưởng tổ",X25="x"),SUMIFS(KT_TRUONG,KT_LOAI,"Tổ",KT_TO,$D25,KT_NGAY,19),SUMIFS(KT_PHAN,KT_LOAI,"Tổ",KT_TO,IF(X25="x",$D25,X25),KT_NGAY,19)))</f>
        <v>0</v>
      </c>
      <c r="BF25" s="31" t="n">
        <f aca="false">IF(OR($B25="",Y25=""),0,IF(AND($E25="Trưởng tổ",Y25="x"),SUMIFS(KT_TRUONG,KT_LOAI,"Tổ",KT_TO,$D25,KT_NGAY,20),SUMIFS(KT_PHAN,KT_LOAI,"Tổ",KT_TO,IF(Y25="x",$D25,Y25),KT_NGAY,20)))</f>
        <v>0</v>
      </c>
      <c r="BG25" s="31" t="n">
        <f aca="false">IF(OR($B25="",Z25=""),0,IF(AND($E25="Trưởng tổ",Z25="x"),SUMIFS(KT_TRUONG,KT_LOAI,"Tổ",KT_TO,$D25,KT_NGAY,21),SUMIFS(KT_PHAN,KT_LOAI,"Tổ",KT_TO,IF(Z25="x",$D25,Z25),KT_NGAY,21)))</f>
        <v>0</v>
      </c>
      <c r="BH25" s="31" t="n">
        <f aca="false">IF(OR($B25="",AA25=""),0,IF(AND($E25="Trưởng tổ",AA25="x"),SUMIFS(KT_TRUONG,KT_LOAI,"Tổ",KT_TO,$D25,KT_NGAY,22),SUMIFS(KT_PHAN,KT_LOAI,"Tổ",KT_TO,IF(AA25="x",$D25,AA25),KT_NGAY,22)))</f>
        <v>0</v>
      </c>
      <c r="BI25" s="31" t="n">
        <f aca="false">IF(OR($B25="",AB25=""),0,IF(AND($E25="Trưởng tổ",AB25="x"),SUMIFS(KT_TRUONG,KT_LOAI,"Tổ",KT_TO,$D25,KT_NGAY,23),SUMIFS(KT_PHAN,KT_LOAI,"Tổ",KT_TO,IF(AB25="x",$D25,AB25),KT_NGAY,23)))</f>
        <v>0</v>
      </c>
      <c r="BJ25" s="31" t="n">
        <f aca="false">IF(OR($B25="",AC25=""),0,IF(AND($E25="Trưởng tổ",AC25="x"),SUMIFS(KT_TRUONG,KT_LOAI,"Tổ",KT_TO,$D25,KT_NGAY,24),SUMIFS(KT_PHAN,KT_LOAI,"Tổ",KT_TO,IF(AC25="x",$D25,AC25),KT_NGAY,24)))</f>
        <v>0</v>
      </c>
      <c r="BK25" s="31" t="n">
        <f aca="false">IF(OR($B25="",AD25=""),0,IF(AND($E25="Trưởng tổ",AD25="x"),SUMIFS(KT_TRUONG,KT_LOAI,"Tổ",KT_TO,$D25,KT_NGAY,25),SUMIFS(KT_PHAN,KT_LOAI,"Tổ",KT_TO,IF(AD25="x",$D25,AD25),KT_NGAY,25)))</f>
        <v>0</v>
      </c>
      <c r="BL25" s="31" t="n">
        <f aca="false">IF(OR($B25="",AE25=""),0,IF(AND($E25="Trưởng tổ",AE25="x"),SUMIFS(KT_TRUONG,KT_LOAI,"Tổ",KT_TO,$D25,KT_NGAY,26),SUMIFS(KT_PHAN,KT_LOAI,"Tổ",KT_TO,IF(AE25="x",$D25,AE25),KT_NGAY,26)))</f>
        <v>0</v>
      </c>
      <c r="BM25" s="31" t="n">
        <f aca="false">IF(OR($B25="",AF25=""),0,IF(AND($E25="Trưởng tổ",AF25="x"),SUMIFS(KT_TRUONG,KT_LOAI,"Tổ",KT_TO,$D25,KT_NGAY,27),SUMIFS(KT_PHAN,KT_LOAI,"Tổ",KT_TO,IF(AF25="x",$D25,AF25),KT_NGAY,27)))</f>
        <v>0</v>
      </c>
      <c r="BN25" s="31" t="n">
        <f aca="false">IF(OR($B25="",AG25=""),0,IF(AND($E25="Trưởng tổ",AG25="x"),SUMIFS(KT_TRUONG,KT_LOAI,"Tổ",KT_TO,$D25,KT_NGAY,28),SUMIFS(KT_PHAN,KT_LOAI,"Tổ",KT_TO,IF(AG25="x",$D25,AG25),KT_NGAY,28)))</f>
        <v>0</v>
      </c>
      <c r="BO25" s="31" t="n">
        <f aca="false">IF(OR($B25="",AH25=""),0,IF(AND($E25="Trưởng tổ",AH25="x"),SUMIFS(KT_TRUONG,KT_LOAI,"Tổ",KT_TO,$D25,KT_NGAY,29),SUMIFS(KT_PHAN,KT_LOAI,"Tổ",KT_TO,IF(AH25="x",$D25,AH25),KT_NGAY,29)))</f>
        <v>0</v>
      </c>
      <c r="BP25" s="31" t="n">
        <f aca="false">IF(OR($B25="",AI25=""),0,IF(AND($E25="Trưởng tổ",AI25="x"),SUMIFS(KT_TRUONG,KT_LOAI,"Tổ",KT_TO,$D25,KT_NGAY,30),SUMIFS(KT_PHAN,KT_LOAI,"Tổ",KT_TO,IF(AI25="x",$D25,AI25),KT_NGAY,30)))</f>
        <v>0</v>
      </c>
      <c r="BQ25" s="31" t="n">
        <f aca="false">IF(OR($B25="",AJ25=""),0,IF(AND($E25="Trưởng tổ",AJ25="x"),SUMIFS(KT_TRUONG,KT_LOAI,"Tổ",KT_TO,$D25,KT_NGAY,31),SUMIFS(KT_PHAN,KT_LOAI,"Tổ",KT_TO,IF(AJ25="x",$D25,AJ25),KT_NGAY,31)))</f>
        <v>0</v>
      </c>
    </row>
    <row r="26" customFormat="false" ht="15" hidden="false" customHeight="false" outlineLevel="0" collapsed="false">
      <c r="A26" s="17" t="str">
        <f aca="false">IF(B26="","",ROW()-5)</f>
        <v/>
      </c>
      <c r="B26" s="29" t="str">
        <f aca="false">IF(OR(BCC!B26="",BCC!D26&lt;&gt;"Thời vụ HAQT"),"",BCC!B26)</f>
        <v/>
      </c>
      <c r="C26" s="17" t="str">
        <f aca="false">IF(B26="","",BCC!C26)</f>
        <v/>
      </c>
      <c r="D26" s="17" t="str">
        <f aca="false">IF(B26="","",IFERROR(INDEX(NV_TO,MATCH(B26,NV_MA,0)),""))</f>
        <v/>
      </c>
      <c r="E26" s="17" t="str">
        <f aca="false">IF(B26="","",IFERROR(INDEX(NV_VT,MATCH(B26,NV_MA,0)),""))</f>
        <v/>
      </c>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17" t="str">
        <f aca="false">IF(B26="","",COUNTA(F26:AJ26))</f>
        <v/>
      </c>
      <c r="AL26" s="30" t="str">
        <f aca="false">IF(B26="","",SUM(AM26:BQ26))</f>
        <v/>
      </c>
      <c r="AM26" s="31" t="n">
        <f aca="false">IF(OR($B26="",F26=""),0,IF(AND($E26="Trưởng tổ",F26="x"),SUMIFS(KT_TRUONG,KT_LOAI,"Tổ",KT_TO,$D26,KT_NGAY,1),SUMIFS(KT_PHAN,KT_LOAI,"Tổ",KT_TO,IF(F26="x",$D26,F26),KT_NGAY,1)))</f>
        <v>0</v>
      </c>
      <c r="AN26" s="31" t="n">
        <f aca="false">IF(OR($B26="",G26=""),0,IF(AND($E26="Trưởng tổ",G26="x"),SUMIFS(KT_TRUONG,KT_LOAI,"Tổ",KT_TO,$D26,KT_NGAY,2),SUMIFS(KT_PHAN,KT_LOAI,"Tổ",KT_TO,IF(G26="x",$D26,G26),KT_NGAY,2)))</f>
        <v>0</v>
      </c>
      <c r="AO26" s="31" t="n">
        <f aca="false">IF(OR($B26="",H26=""),0,IF(AND($E26="Trưởng tổ",H26="x"),SUMIFS(KT_TRUONG,KT_LOAI,"Tổ",KT_TO,$D26,KT_NGAY,3),SUMIFS(KT_PHAN,KT_LOAI,"Tổ",KT_TO,IF(H26="x",$D26,H26),KT_NGAY,3)))</f>
        <v>0</v>
      </c>
      <c r="AP26" s="31" t="n">
        <f aca="false">IF(OR($B26="",I26=""),0,IF(AND($E26="Trưởng tổ",I26="x"),SUMIFS(KT_TRUONG,KT_LOAI,"Tổ",KT_TO,$D26,KT_NGAY,4),SUMIFS(KT_PHAN,KT_LOAI,"Tổ",KT_TO,IF(I26="x",$D26,I26),KT_NGAY,4)))</f>
        <v>0</v>
      </c>
      <c r="AQ26" s="31" t="n">
        <f aca="false">IF(OR($B26="",J26=""),0,IF(AND($E26="Trưởng tổ",J26="x"),SUMIFS(KT_TRUONG,KT_LOAI,"Tổ",KT_TO,$D26,KT_NGAY,5),SUMIFS(KT_PHAN,KT_LOAI,"Tổ",KT_TO,IF(J26="x",$D26,J26),KT_NGAY,5)))</f>
        <v>0</v>
      </c>
      <c r="AR26" s="31" t="n">
        <f aca="false">IF(OR($B26="",K26=""),0,IF(AND($E26="Trưởng tổ",K26="x"),SUMIFS(KT_TRUONG,KT_LOAI,"Tổ",KT_TO,$D26,KT_NGAY,6),SUMIFS(KT_PHAN,KT_LOAI,"Tổ",KT_TO,IF(K26="x",$D26,K26),KT_NGAY,6)))</f>
        <v>0</v>
      </c>
      <c r="AS26" s="31" t="n">
        <f aca="false">IF(OR($B26="",L26=""),0,IF(AND($E26="Trưởng tổ",L26="x"),SUMIFS(KT_TRUONG,KT_LOAI,"Tổ",KT_TO,$D26,KT_NGAY,7),SUMIFS(KT_PHAN,KT_LOAI,"Tổ",KT_TO,IF(L26="x",$D26,L26),KT_NGAY,7)))</f>
        <v>0</v>
      </c>
      <c r="AT26" s="31" t="n">
        <f aca="false">IF(OR($B26="",M26=""),0,IF(AND($E26="Trưởng tổ",M26="x"),SUMIFS(KT_TRUONG,KT_LOAI,"Tổ",KT_TO,$D26,KT_NGAY,8),SUMIFS(KT_PHAN,KT_LOAI,"Tổ",KT_TO,IF(M26="x",$D26,M26),KT_NGAY,8)))</f>
        <v>0</v>
      </c>
      <c r="AU26" s="31" t="n">
        <f aca="false">IF(OR($B26="",N26=""),0,IF(AND($E26="Trưởng tổ",N26="x"),SUMIFS(KT_TRUONG,KT_LOAI,"Tổ",KT_TO,$D26,KT_NGAY,9),SUMIFS(KT_PHAN,KT_LOAI,"Tổ",KT_TO,IF(N26="x",$D26,N26),KT_NGAY,9)))</f>
        <v>0</v>
      </c>
      <c r="AV26" s="31" t="n">
        <f aca="false">IF(OR($B26="",O26=""),0,IF(AND($E26="Trưởng tổ",O26="x"),SUMIFS(KT_TRUONG,KT_LOAI,"Tổ",KT_TO,$D26,KT_NGAY,10),SUMIFS(KT_PHAN,KT_LOAI,"Tổ",KT_TO,IF(O26="x",$D26,O26),KT_NGAY,10)))</f>
        <v>0</v>
      </c>
      <c r="AW26" s="31" t="n">
        <f aca="false">IF(OR($B26="",P26=""),0,IF(AND($E26="Trưởng tổ",P26="x"),SUMIFS(KT_TRUONG,KT_LOAI,"Tổ",KT_TO,$D26,KT_NGAY,11),SUMIFS(KT_PHAN,KT_LOAI,"Tổ",KT_TO,IF(P26="x",$D26,P26),KT_NGAY,11)))</f>
        <v>0</v>
      </c>
      <c r="AX26" s="31" t="n">
        <f aca="false">IF(OR($B26="",Q26=""),0,IF(AND($E26="Trưởng tổ",Q26="x"),SUMIFS(KT_TRUONG,KT_LOAI,"Tổ",KT_TO,$D26,KT_NGAY,12),SUMIFS(KT_PHAN,KT_LOAI,"Tổ",KT_TO,IF(Q26="x",$D26,Q26),KT_NGAY,12)))</f>
        <v>0</v>
      </c>
      <c r="AY26" s="31" t="n">
        <f aca="false">IF(OR($B26="",R26=""),0,IF(AND($E26="Trưởng tổ",R26="x"),SUMIFS(KT_TRUONG,KT_LOAI,"Tổ",KT_TO,$D26,KT_NGAY,13),SUMIFS(KT_PHAN,KT_LOAI,"Tổ",KT_TO,IF(R26="x",$D26,R26),KT_NGAY,13)))</f>
        <v>0</v>
      </c>
      <c r="AZ26" s="31" t="n">
        <f aca="false">IF(OR($B26="",S26=""),0,IF(AND($E26="Trưởng tổ",S26="x"),SUMIFS(KT_TRUONG,KT_LOAI,"Tổ",KT_TO,$D26,KT_NGAY,14),SUMIFS(KT_PHAN,KT_LOAI,"Tổ",KT_TO,IF(S26="x",$D26,S26),KT_NGAY,14)))</f>
        <v>0</v>
      </c>
      <c r="BA26" s="31" t="n">
        <f aca="false">IF(OR($B26="",T26=""),0,IF(AND($E26="Trưởng tổ",T26="x"),SUMIFS(KT_TRUONG,KT_LOAI,"Tổ",KT_TO,$D26,KT_NGAY,15),SUMIFS(KT_PHAN,KT_LOAI,"Tổ",KT_TO,IF(T26="x",$D26,T26),KT_NGAY,15)))</f>
        <v>0</v>
      </c>
      <c r="BB26" s="31" t="n">
        <f aca="false">IF(OR($B26="",U26=""),0,IF(AND($E26="Trưởng tổ",U26="x"),SUMIFS(KT_TRUONG,KT_LOAI,"Tổ",KT_TO,$D26,KT_NGAY,16),SUMIFS(KT_PHAN,KT_LOAI,"Tổ",KT_TO,IF(U26="x",$D26,U26),KT_NGAY,16)))</f>
        <v>0</v>
      </c>
      <c r="BC26" s="31" t="n">
        <f aca="false">IF(OR($B26="",V26=""),0,IF(AND($E26="Trưởng tổ",V26="x"),SUMIFS(KT_TRUONG,KT_LOAI,"Tổ",KT_TO,$D26,KT_NGAY,17),SUMIFS(KT_PHAN,KT_LOAI,"Tổ",KT_TO,IF(V26="x",$D26,V26),KT_NGAY,17)))</f>
        <v>0</v>
      </c>
      <c r="BD26" s="31" t="n">
        <f aca="false">IF(OR($B26="",W26=""),0,IF(AND($E26="Trưởng tổ",W26="x"),SUMIFS(KT_TRUONG,KT_LOAI,"Tổ",KT_TO,$D26,KT_NGAY,18),SUMIFS(KT_PHAN,KT_LOAI,"Tổ",KT_TO,IF(W26="x",$D26,W26),KT_NGAY,18)))</f>
        <v>0</v>
      </c>
      <c r="BE26" s="31" t="n">
        <f aca="false">IF(OR($B26="",X26=""),0,IF(AND($E26="Trưởng tổ",X26="x"),SUMIFS(KT_TRUONG,KT_LOAI,"Tổ",KT_TO,$D26,KT_NGAY,19),SUMIFS(KT_PHAN,KT_LOAI,"Tổ",KT_TO,IF(X26="x",$D26,X26),KT_NGAY,19)))</f>
        <v>0</v>
      </c>
      <c r="BF26" s="31" t="n">
        <f aca="false">IF(OR($B26="",Y26=""),0,IF(AND($E26="Trưởng tổ",Y26="x"),SUMIFS(KT_TRUONG,KT_LOAI,"Tổ",KT_TO,$D26,KT_NGAY,20),SUMIFS(KT_PHAN,KT_LOAI,"Tổ",KT_TO,IF(Y26="x",$D26,Y26),KT_NGAY,20)))</f>
        <v>0</v>
      </c>
      <c r="BG26" s="31" t="n">
        <f aca="false">IF(OR($B26="",Z26=""),0,IF(AND($E26="Trưởng tổ",Z26="x"),SUMIFS(KT_TRUONG,KT_LOAI,"Tổ",KT_TO,$D26,KT_NGAY,21),SUMIFS(KT_PHAN,KT_LOAI,"Tổ",KT_TO,IF(Z26="x",$D26,Z26),KT_NGAY,21)))</f>
        <v>0</v>
      </c>
      <c r="BH26" s="31" t="n">
        <f aca="false">IF(OR($B26="",AA26=""),0,IF(AND($E26="Trưởng tổ",AA26="x"),SUMIFS(KT_TRUONG,KT_LOAI,"Tổ",KT_TO,$D26,KT_NGAY,22),SUMIFS(KT_PHAN,KT_LOAI,"Tổ",KT_TO,IF(AA26="x",$D26,AA26),KT_NGAY,22)))</f>
        <v>0</v>
      </c>
      <c r="BI26" s="31" t="n">
        <f aca="false">IF(OR($B26="",AB26=""),0,IF(AND($E26="Trưởng tổ",AB26="x"),SUMIFS(KT_TRUONG,KT_LOAI,"Tổ",KT_TO,$D26,KT_NGAY,23),SUMIFS(KT_PHAN,KT_LOAI,"Tổ",KT_TO,IF(AB26="x",$D26,AB26),KT_NGAY,23)))</f>
        <v>0</v>
      </c>
      <c r="BJ26" s="31" t="n">
        <f aca="false">IF(OR($B26="",AC26=""),0,IF(AND($E26="Trưởng tổ",AC26="x"),SUMIFS(KT_TRUONG,KT_LOAI,"Tổ",KT_TO,$D26,KT_NGAY,24),SUMIFS(KT_PHAN,KT_LOAI,"Tổ",KT_TO,IF(AC26="x",$D26,AC26),KT_NGAY,24)))</f>
        <v>0</v>
      </c>
      <c r="BK26" s="31" t="n">
        <f aca="false">IF(OR($B26="",AD26=""),0,IF(AND($E26="Trưởng tổ",AD26="x"),SUMIFS(KT_TRUONG,KT_LOAI,"Tổ",KT_TO,$D26,KT_NGAY,25),SUMIFS(KT_PHAN,KT_LOAI,"Tổ",KT_TO,IF(AD26="x",$D26,AD26),KT_NGAY,25)))</f>
        <v>0</v>
      </c>
      <c r="BL26" s="31" t="n">
        <f aca="false">IF(OR($B26="",AE26=""),0,IF(AND($E26="Trưởng tổ",AE26="x"),SUMIFS(KT_TRUONG,KT_LOAI,"Tổ",KT_TO,$D26,KT_NGAY,26),SUMIFS(KT_PHAN,KT_LOAI,"Tổ",KT_TO,IF(AE26="x",$D26,AE26),KT_NGAY,26)))</f>
        <v>0</v>
      </c>
      <c r="BM26" s="31" t="n">
        <f aca="false">IF(OR($B26="",AF26=""),0,IF(AND($E26="Trưởng tổ",AF26="x"),SUMIFS(KT_TRUONG,KT_LOAI,"Tổ",KT_TO,$D26,KT_NGAY,27),SUMIFS(KT_PHAN,KT_LOAI,"Tổ",KT_TO,IF(AF26="x",$D26,AF26),KT_NGAY,27)))</f>
        <v>0</v>
      </c>
      <c r="BN26" s="31" t="n">
        <f aca="false">IF(OR($B26="",AG26=""),0,IF(AND($E26="Trưởng tổ",AG26="x"),SUMIFS(KT_TRUONG,KT_LOAI,"Tổ",KT_TO,$D26,KT_NGAY,28),SUMIFS(KT_PHAN,KT_LOAI,"Tổ",KT_TO,IF(AG26="x",$D26,AG26),KT_NGAY,28)))</f>
        <v>0</v>
      </c>
      <c r="BO26" s="31" t="n">
        <f aca="false">IF(OR($B26="",AH26=""),0,IF(AND($E26="Trưởng tổ",AH26="x"),SUMIFS(KT_TRUONG,KT_LOAI,"Tổ",KT_TO,$D26,KT_NGAY,29),SUMIFS(KT_PHAN,KT_LOAI,"Tổ",KT_TO,IF(AH26="x",$D26,AH26),KT_NGAY,29)))</f>
        <v>0</v>
      </c>
      <c r="BP26" s="31" t="n">
        <f aca="false">IF(OR($B26="",AI26=""),0,IF(AND($E26="Trưởng tổ",AI26="x"),SUMIFS(KT_TRUONG,KT_LOAI,"Tổ",KT_TO,$D26,KT_NGAY,30),SUMIFS(KT_PHAN,KT_LOAI,"Tổ",KT_TO,IF(AI26="x",$D26,AI26),KT_NGAY,30)))</f>
        <v>0</v>
      </c>
      <c r="BQ26" s="31" t="n">
        <f aca="false">IF(OR($B26="",AJ26=""),0,IF(AND($E26="Trưởng tổ",AJ26="x"),SUMIFS(KT_TRUONG,KT_LOAI,"Tổ",KT_TO,$D26,KT_NGAY,31),SUMIFS(KT_PHAN,KT_LOAI,"Tổ",KT_TO,IF(AJ26="x",$D26,AJ26),KT_NGAY,31)))</f>
        <v>0</v>
      </c>
    </row>
    <row r="27" customFormat="false" ht="15" hidden="false" customHeight="false" outlineLevel="0" collapsed="false">
      <c r="A27" s="17" t="str">
        <f aca="false">IF(B27="","",ROW()-5)</f>
        <v/>
      </c>
      <c r="B27" s="29" t="str">
        <f aca="false">IF(OR(BCC!B27="",BCC!D27&lt;&gt;"Thời vụ HAQT"),"",BCC!B27)</f>
        <v/>
      </c>
      <c r="C27" s="17" t="str">
        <f aca="false">IF(B27="","",BCC!C27)</f>
        <v/>
      </c>
      <c r="D27" s="17" t="str">
        <f aca="false">IF(B27="","",IFERROR(INDEX(NV_TO,MATCH(B27,NV_MA,0)),""))</f>
        <v/>
      </c>
      <c r="E27" s="17" t="str">
        <f aca="false">IF(B27="","",IFERROR(INDEX(NV_VT,MATCH(B27,NV_MA,0)),""))</f>
        <v/>
      </c>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17" t="str">
        <f aca="false">IF(B27="","",COUNTA(F27:AJ27))</f>
        <v/>
      </c>
      <c r="AL27" s="30" t="str">
        <f aca="false">IF(B27="","",SUM(AM27:BQ27))</f>
        <v/>
      </c>
      <c r="AM27" s="31" t="n">
        <f aca="false">IF(OR($B27="",F27=""),0,IF(AND($E27="Trưởng tổ",F27="x"),SUMIFS(KT_TRUONG,KT_LOAI,"Tổ",KT_TO,$D27,KT_NGAY,1),SUMIFS(KT_PHAN,KT_LOAI,"Tổ",KT_TO,IF(F27="x",$D27,F27),KT_NGAY,1)))</f>
        <v>0</v>
      </c>
      <c r="AN27" s="31" t="n">
        <f aca="false">IF(OR($B27="",G27=""),0,IF(AND($E27="Trưởng tổ",G27="x"),SUMIFS(KT_TRUONG,KT_LOAI,"Tổ",KT_TO,$D27,KT_NGAY,2),SUMIFS(KT_PHAN,KT_LOAI,"Tổ",KT_TO,IF(G27="x",$D27,G27),KT_NGAY,2)))</f>
        <v>0</v>
      </c>
      <c r="AO27" s="31" t="n">
        <f aca="false">IF(OR($B27="",H27=""),0,IF(AND($E27="Trưởng tổ",H27="x"),SUMIFS(KT_TRUONG,KT_LOAI,"Tổ",KT_TO,$D27,KT_NGAY,3),SUMIFS(KT_PHAN,KT_LOAI,"Tổ",KT_TO,IF(H27="x",$D27,H27),KT_NGAY,3)))</f>
        <v>0</v>
      </c>
      <c r="AP27" s="31" t="n">
        <f aca="false">IF(OR($B27="",I27=""),0,IF(AND($E27="Trưởng tổ",I27="x"),SUMIFS(KT_TRUONG,KT_LOAI,"Tổ",KT_TO,$D27,KT_NGAY,4),SUMIFS(KT_PHAN,KT_LOAI,"Tổ",KT_TO,IF(I27="x",$D27,I27),KT_NGAY,4)))</f>
        <v>0</v>
      </c>
      <c r="AQ27" s="31" t="n">
        <f aca="false">IF(OR($B27="",J27=""),0,IF(AND($E27="Trưởng tổ",J27="x"),SUMIFS(KT_TRUONG,KT_LOAI,"Tổ",KT_TO,$D27,KT_NGAY,5),SUMIFS(KT_PHAN,KT_LOAI,"Tổ",KT_TO,IF(J27="x",$D27,J27),KT_NGAY,5)))</f>
        <v>0</v>
      </c>
      <c r="AR27" s="31" t="n">
        <f aca="false">IF(OR($B27="",K27=""),0,IF(AND($E27="Trưởng tổ",K27="x"),SUMIFS(KT_TRUONG,KT_LOAI,"Tổ",KT_TO,$D27,KT_NGAY,6),SUMIFS(KT_PHAN,KT_LOAI,"Tổ",KT_TO,IF(K27="x",$D27,K27),KT_NGAY,6)))</f>
        <v>0</v>
      </c>
      <c r="AS27" s="31" t="n">
        <f aca="false">IF(OR($B27="",L27=""),0,IF(AND($E27="Trưởng tổ",L27="x"),SUMIFS(KT_TRUONG,KT_LOAI,"Tổ",KT_TO,$D27,KT_NGAY,7),SUMIFS(KT_PHAN,KT_LOAI,"Tổ",KT_TO,IF(L27="x",$D27,L27),KT_NGAY,7)))</f>
        <v>0</v>
      </c>
      <c r="AT27" s="31" t="n">
        <f aca="false">IF(OR($B27="",M27=""),0,IF(AND($E27="Trưởng tổ",M27="x"),SUMIFS(KT_TRUONG,KT_LOAI,"Tổ",KT_TO,$D27,KT_NGAY,8),SUMIFS(KT_PHAN,KT_LOAI,"Tổ",KT_TO,IF(M27="x",$D27,M27),KT_NGAY,8)))</f>
        <v>0</v>
      </c>
      <c r="AU27" s="31" t="n">
        <f aca="false">IF(OR($B27="",N27=""),0,IF(AND($E27="Trưởng tổ",N27="x"),SUMIFS(KT_TRUONG,KT_LOAI,"Tổ",KT_TO,$D27,KT_NGAY,9),SUMIFS(KT_PHAN,KT_LOAI,"Tổ",KT_TO,IF(N27="x",$D27,N27),KT_NGAY,9)))</f>
        <v>0</v>
      </c>
      <c r="AV27" s="31" t="n">
        <f aca="false">IF(OR($B27="",O27=""),0,IF(AND($E27="Trưởng tổ",O27="x"),SUMIFS(KT_TRUONG,KT_LOAI,"Tổ",KT_TO,$D27,KT_NGAY,10),SUMIFS(KT_PHAN,KT_LOAI,"Tổ",KT_TO,IF(O27="x",$D27,O27),KT_NGAY,10)))</f>
        <v>0</v>
      </c>
      <c r="AW27" s="31" t="n">
        <f aca="false">IF(OR($B27="",P27=""),0,IF(AND($E27="Trưởng tổ",P27="x"),SUMIFS(KT_TRUONG,KT_LOAI,"Tổ",KT_TO,$D27,KT_NGAY,11),SUMIFS(KT_PHAN,KT_LOAI,"Tổ",KT_TO,IF(P27="x",$D27,P27),KT_NGAY,11)))</f>
        <v>0</v>
      </c>
      <c r="AX27" s="31" t="n">
        <f aca="false">IF(OR($B27="",Q27=""),0,IF(AND($E27="Trưởng tổ",Q27="x"),SUMIFS(KT_TRUONG,KT_LOAI,"Tổ",KT_TO,$D27,KT_NGAY,12),SUMIFS(KT_PHAN,KT_LOAI,"Tổ",KT_TO,IF(Q27="x",$D27,Q27),KT_NGAY,12)))</f>
        <v>0</v>
      </c>
      <c r="AY27" s="31" t="n">
        <f aca="false">IF(OR($B27="",R27=""),0,IF(AND($E27="Trưởng tổ",R27="x"),SUMIFS(KT_TRUONG,KT_LOAI,"Tổ",KT_TO,$D27,KT_NGAY,13),SUMIFS(KT_PHAN,KT_LOAI,"Tổ",KT_TO,IF(R27="x",$D27,R27),KT_NGAY,13)))</f>
        <v>0</v>
      </c>
      <c r="AZ27" s="31" t="n">
        <f aca="false">IF(OR($B27="",S27=""),0,IF(AND($E27="Trưởng tổ",S27="x"),SUMIFS(KT_TRUONG,KT_LOAI,"Tổ",KT_TO,$D27,KT_NGAY,14),SUMIFS(KT_PHAN,KT_LOAI,"Tổ",KT_TO,IF(S27="x",$D27,S27),KT_NGAY,14)))</f>
        <v>0</v>
      </c>
      <c r="BA27" s="31" t="n">
        <f aca="false">IF(OR($B27="",T27=""),0,IF(AND($E27="Trưởng tổ",T27="x"),SUMIFS(KT_TRUONG,KT_LOAI,"Tổ",KT_TO,$D27,KT_NGAY,15),SUMIFS(KT_PHAN,KT_LOAI,"Tổ",KT_TO,IF(T27="x",$D27,T27),KT_NGAY,15)))</f>
        <v>0</v>
      </c>
      <c r="BB27" s="31" t="n">
        <f aca="false">IF(OR($B27="",U27=""),0,IF(AND($E27="Trưởng tổ",U27="x"),SUMIFS(KT_TRUONG,KT_LOAI,"Tổ",KT_TO,$D27,KT_NGAY,16),SUMIFS(KT_PHAN,KT_LOAI,"Tổ",KT_TO,IF(U27="x",$D27,U27),KT_NGAY,16)))</f>
        <v>0</v>
      </c>
      <c r="BC27" s="31" t="n">
        <f aca="false">IF(OR($B27="",V27=""),0,IF(AND($E27="Trưởng tổ",V27="x"),SUMIFS(KT_TRUONG,KT_LOAI,"Tổ",KT_TO,$D27,KT_NGAY,17),SUMIFS(KT_PHAN,KT_LOAI,"Tổ",KT_TO,IF(V27="x",$D27,V27),KT_NGAY,17)))</f>
        <v>0</v>
      </c>
      <c r="BD27" s="31" t="n">
        <f aca="false">IF(OR($B27="",W27=""),0,IF(AND($E27="Trưởng tổ",W27="x"),SUMIFS(KT_TRUONG,KT_LOAI,"Tổ",KT_TO,$D27,KT_NGAY,18),SUMIFS(KT_PHAN,KT_LOAI,"Tổ",KT_TO,IF(W27="x",$D27,W27),KT_NGAY,18)))</f>
        <v>0</v>
      </c>
      <c r="BE27" s="31" t="n">
        <f aca="false">IF(OR($B27="",X27=""),0,IF(AND($E27="Trưởng tổ",X27="x"),SUMIFS(KT_TRUONG,KT_LOAI,"Tổ",KT_TO,$D27,KT_NGAY,19),SUMIFS(KT_PHAN,KT_LOAI,"Tổ",KT_TO,IF(X27="x",$D27,X27),KT_NGAY,19)))</f>
        <v>0</v>
      </c>
      <c r="BF27" s="31" t="n">
        <f aca="false">IF(OR($B27="",Y27=""),0,IF(AND($E27="Trưởng tổ",Y27="x"),SUMIFS(KT_TRUONG,KT_LOAI,"Tổ",KT_TO,$D27,KT_NGAY,20),SUMIFS(KT_PHAN,KT_LOAI,"Tổ",KT_TO,IF(Y27="x",$D27,Y27),KT_NGAY,20)))</f>
        <v>0</v>
      </c>
      <c r="BG27" s="31" t="n">
        <f aca="false">IF(OR($B27="",Z27=""),0,IF(AND($E27="Trưởng tổ",Z27="x"),SUMIFS(KT_TRUONG,KT_LOAI,"Tổ",KT_TO,$D27,KT_NGAY,21),SUMIFS(KT_PHAN,KT_LOAI,"Tổ",KT_TO,IF(Z27="x",$D27,Z27),KT_NGAY,21)))</f>
        <v>0</v>
      </c>
      <c r="BH27" s="31" t="n">
        <f aca="false">IF(OR($B27="",AA27=""),0,IF(AND($E27="Trưởng tổ",AA27="x"),SUMIFS(KT_TRUONG,KT_LOAI,"Tổ",KT_TO,$D27,KT_NGAY,22),SUMIFS(KT_PHAN,KT_LOAI,"Tổ",KT_TO,IF(AA27="x",$D27,AA27),KT_NGAY,22)))</f>
        <v>0</v>
      </c>
      <c r="BI27" s="31" t="n">
        <f aca="false">IF(OR($B27="",AB27=""),0,IF(AND($E27="Trưởng tổ",AB27="x"),SUMIFS(KT_TRUONG,KT_LOAI,"Tổ",KT_TO,$D27,KT_NGAY,23),SUMIFS(KT_PHAN,KT_LOAI,"Tổ",KT_TO,IF(AB27="x",$D27,AB27),KT_NGAY,23)))</f>
        <v>0</v>
      </c>
      <c r="BJ27" s="31" t="n">
        <f aca="false">IF(OR($B27="",AC27=""),0,IF(AND($E27="Trưởng tổ",AC27="x"),SUMIFS(KT_TRUONG,KT_LOAI,"Tổ",KT_TO,$D27,KT_NGAY,24),SUMIFS(KT_PHAN,KT_LOAI,"Tổ",KT_TO,IF(AC27="x",$D27,AC27),KT_NGAY,24)))</f>
        <v>0</v>
      </c>
      <c r="BK27" s="31" t="n">
        <f aca="false">IF(OR($B27="",AD27=""),0,IF(AND($E27="Trưởng tổ",AD27="x"),SUMIFS(KT_TRUONG,KT_LOAI,"Tổ",KT_TO,$D27,KT_NGAY,25),SUMIFS(KT_PHAN,KT_LOAI,"Tổ",KT_TO,IF(AD27="x",$D27,AD27),KT_NGAY,25)))</f>
        <v>0</v>
      </c>
      <c r="BL27" s="31" t="n">
        <f aca="false">IF(OR($B27="",AE27=""),0,IF(AND($E27="Trưởng tổ",AE27="x"),SUMIFS(KT_TRUONG,KT_LOAI,"Tổ",KT_TO,$D27,KT_NGAY,26),SUMIFS(KT_PHAN,KT_LOAI,"Tổ",KT_TO,IF(AE27="x",$D27,AE27),KT_NGAY,26)))</f>
        <v>0</v>
      </c>
      <c r="BM27" s="31" t="n">
        <f aca="false">IF(OR($B27="",AF27=""),0,IF(AND($E27="Trưởng tổ",AF27="x"),SUMIFS(KT_TRUONG,KT_LOAI,"Tổ",KT_TO,$D27,KT_NGAY,27),SUMIFS(KT_PHAN,KT_LOAI,"Tổ",KT_TO,IF(AF27="x",$D27,AF27),KT_NGAY,27)))</f>
        <v>0</v>
      </c>
      <c r="BN27" s="31" t="n">
        <f aca="false">IF(OR($B27="",AG27=""),0,IF(AND($E27="Trưởng tổ",AG27="x"),SUMIFS(KT_TRUONG,KT_LOAI,"Tổ",KT_TO,$D27,KT_NGAY,28),SUMIFS(KT_PHAN,KT_LOAI,"Tổ",KT_TO,IF(AG27="x",$D27,AG27),KT_NGAY,28)))</f>
        <v>0</v>
      </c>
      <c r="BO27" s="31" t="n">
        <f aca="false">IF(OR($B27="",AH27=""),0,IF(AND($E27="Trưởng tổ",AH27="x"),SUMIFS(KT_TRUONG,KT_LOAI,"Tổ",KT_TO,$D27,KT_NGAY,29),SUMIFS(KT_PHAN,KT_LOAI,"Tổ",KT_TO,IF(AH27="x",$D27,AH27),KT_NGAY,29)))</f>
        <v>0</v>
      </c>
      <c r="BP27" s="31" t="n">
        <f aca="false">IF(OR($B27="",AI27=""),0,IF(AND($E27="Trưởng tổ",AI27="x"),SUMIFS(KT_TRUONG,KT_LOAI,"Tổ",KT_TO,$D27,KT_NGAY,30),SUMIFS(KT_PHAN,KT_LOAI,"Tổ",KT_TO,IF(AI27="x",$D27,AI27),KT_NGAY,30)))</f>
        <v>0</v>
      </c>
      <c r="BQ27" s="31" t="n">
        <f aca="false">IF(OR($B27="",AJ27=""),0,IF(AND($E27="Trưởng tổ",AJ27="x"),SUMIFS(KT_TRUONG,KT_LOAI,"Tổ",KT_TO,$D27,KT_NGAY,31),SUMIFS(KT_PHAN,KT_LOAI,"Tổ",KT_TO,IF(AJ27="x",$D27,AJ27),KT_NGAY,31)))</f>
        <v>0</v>
      </c>
    </row>
    <row r="28" customFormat="false" ht="15" hidden="false" customHeight="false" outlineLevel="0" collapsed="false">
      <c r="A28" s="17" t="str">
        <f aca="false">IF(B28="","",ROW()-5)</f>
        <v/>
      </c>
      <c r="B28" s="29" t="str">
        <f aca="false">IF(OR(BCC!B28="",BCC!D28&lt;&gt;"Thời vụ HAQT"),"",BCC!B28)</f>
        <v/>
      </c>
      <c r="C28" s="17" t="str">
        <f aca="false">IF(B28="","",BCC!C28)</f>
        <v/>
      </c>
      <c r="D28" s="17" t="str">
        <f aca="false">IF(B28="","",IFERROR(INDEX(NV_TO,MATCH(B28,NV_MA,0)),""))</f>
        <v/>
      </c>
      <c r="E28" s="17" t="str">
        <f aca="false">IF(B28="","",IFERROR(INDEX(NV_VT,MATCH(B28,NV_MA,0)),""))</f>
        <v/>
      </c>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17" t="str">
        <f aca="false">IF(B28="","",COUNTA(F28:AJ28))</f>
        <v/>
      </c>
      <c r="AL28" s="30" t="str">
        <f aca="false">IF(B28="","",SUM(AM28:BQ28))</f>
        <v/>
      </c>
      <c r="AM28" s="31" t="n">
        <f aca="false">IF(OR($B28="",F28=""),0,IF(AND($E28="Trưởng tổ",F28="x"),SUMIFS(KT_TRUONG,KT_LOAI,"Tổ",KT_TO,$D28,KT_NGAY,1),SUMIFS(KT_PHAN,KT_LOAI,"Tổ",KT_TO,IF(F28="x",$D28,F28),KT_NGAY,1)))</f>
        <v>0</v>
      </c>
      <c r="AN28" s="31" t="n">
        <f aca="false">IF(OR($B28="",G28=""),0,IF(AND($E28="Trưởng tổ",G28="x"),SUMIFS(KT_TRUONG,KT_LOAI,"Tổ",KT_TO,$D28,KT_NGAY,2),SUMIFS(KT_PHAN,KT_LOAI,"Tổ",KT_TO,IF(G28="x",$D28,G28),KT_NGAY,2)))</f>
        <v>0</v>
      </c>
      <c r="AO28" s="31" t="n">
        <f aca="false">IF(OR($B28="",H28=""),0,IF(AND($E28="Trưởng tổ",H28="x"),SUMIFS(KT_TRUONG,KT_LOAI,"Tổ",KT_TO,$D28,KT_NGAY,3),SUMIFS(KT_PHAN,KT_LOAI,"Tổ",KT_TO,IF(H28="x",$D28,H28),KT_NGAY,3)))</f>
        <v>0</v>
      </c>
      <c r="AP28" s="31" t="n">
        <f aca="false">IF(OR($B28="",I28=""),0,IF(AND($E28="Trưởng tổ",I28="x"),SUMIFS(KT_TRUONG,KT_LOAI,"Tổ",KT_TO,$D28,KT_NGAY,4),SUMIFS(KT_PHAN,KT_LOAI,"Tổ",KT_TO,IF(I28="x",$D28,I28),KT_NGAY,4)))</f>
        <v>0</v>
      </c>
      <c r="AQ28" s="31" t="n">
        <f aca="false">IF(OR($B28="",J28=""),0,IF(AND($E28="Trưởng tổ",J28="x"),SUMIFS(KT_TRUONG,KT_LOAI,"Tổ",KT_TO,$D28,KT_NGAY,5),SUMIFS(KT_PHAN,KT_LOAI,"Tổ",KT_TO,IF(J28="x",$D28,J28),KT_NGAY,5)))</f>
        <v>0</v>
      </c>
      <c r="AR28" s="31" t="n">
        <f aca="false">IF(OR($B28="",K28=""),0,IF(AND($E28="Trưởng tổ",K28="x"),SUMIFS(KT_TRUONG,KT_LOAI,"Tổ",KT_TO,$D28,KT_NGAY,6),SUMIFS(KT_PHAN,KT_LOAI,"Tổ",KT_TO,IF(K28="x",$D28,K28),KT_NGAY,6)))</f>
        <v>0</v>
      </c>
      <c r="AS28" s="31" t="n">
        <f aca="false">IF(OR($B28="",L28=""),0,IF(AND($E28="Trưởng tổ",L28="x"),SUMIFS(KT_TRUONG,KT_LOAI,"Tổ",KT_TO,$D28,KT_NGAY,7),SUMIFS(KT_PHAN,KT_LOAI,"Tổ",KT_TO,IF(L28="x",$D28,L28),KT_NGAY,7)))</f>
        <v>0</v>
      </c>
      <c r="AT28" s="31" t="n">
        <f aca="false">IF(OR($B28="",M28=""),0,IF(AND($E28="Trưởng tổ",M28="x"),SUMIFS(KT_TRUONG,KT_LOAI,"Tổ",KT_TO,$D28,KT_NGAY,8),SUMIFS(KT_PHAN,KT_LOAI,"Tổ",KT_TO,IF(M28="x",$D28,M28),KT_NGAY,8)))</f>
        <v>0</v>
      </c>
      <c r="AU28" s="31" t="n">
        <f aca="false">IF(OR($B28="",N28=""),0,IF(AND($E28="Trưởng tổ",N28="x"),SUMIFS(KT_TRUONG,KT_LOAI,"Tổ",KT_TO,$D28,KT_NGAY,9),SUMIFS(KT_PHAN,KT_LOAI,"Tổ",KT_TO,IF(N28="x",$D28,N28),KT_NGAY,9)))</f>
        <v>0</v>
      </c>
      <c r="AV28" s="31" t="n">
        <f aca="false">IF(OR($B28="",O28=""),0,IF(AND($E28="Trưởng tổ",O28="x"),SUMIFS(KT_TRUONG,KT_LOAI,"Tổ",KT_TO,$D28,KT_NGAY,10),SUMIFS(KT_PHAN,KT_LOAI,"Tổ",KT_TO,IF(O28="x",$D28,O28),KT_NGAY,10)))</f>
        <v>0</v>
      </c>
      <c r="AW28" s="31" t="n">
        <f aca="false">IF(OR($B28="",P28=""),0,IF(AND($E28="Trưởng tổ",P28="x"),SUMIFS(KT_TRUONG,KT_LOAI,"Tổ",KT_TO,$D28,KT_NGAY,11),SUMIFS(KT_PHAN,KT_LOAI,"Tổ",KT_TO,IF(P28="x",$D28,P28),KT_NGAY,11)))</f>
        <v>0</v>
      </c>
      <c r="AX28" s="31" t="n">
        <f aca="false">IF(OR($B28="",Q28=""),0,IF(AND($E28="Trưởng tổ",Q28="x"),SUMIFS(KT_TRUONG,KT_LOAI,"Tổ",KT_TO,$D28,KT_NGAY,12),SUMIFS(KT_PHAN,KT_LOAI,"Tổ",KT_TO,IF(Q28="x",$D28,Q28),KT_NGAY,12)))</f>
        <v>0</v>
      </c>
      <c r="AY28" s="31" t="n">
        <f aca="false">IF(OR($B28="",R28=""),0,IF(AND($E28="Trưởng tổ",R28="x"),SUMIFS(KT_TRUONG,KT_LOAI,"Tổ",KT_TO,$D28,KT_NGAY,13),SUMIFS(KT_PHAN,KT_LOAI,"Tổ",KT_TO,IF(R28="x",$D28,R28),KT_NGAY,13)))</f>
        <v>0</v>
      </c>
      <c r="AZ28" s="31" t="n">
        <f aca="false">IF(OR($B28="",S28=""),0,IF(AND($E28="Trưởng tổ",S28="x"),SUMIFS(KT_TRUONG,KT_LOAI,"Tổ",KT_TO,$D28,KT_NGAY,14),SUMIFS(KT_PHAN,KT_LOAI,"Tổ",KT_TO,IF(S28="x",$D28,S28),KT_NGAY,14)))</f>
        <v>0</v>
      </c>
      <c r="BA28" s="31" t="n">
        <f aca="false">IF(OR($B28="",T28=""),0,IF(AND($E28="Trưởng tổ",T28="x"),SUMIFS(KT_TRUONG,KT_LOAI,"Tổ",KT_TO,$D28,KT_NGAY,15),SUMIFS(KT_PHAN,KT_LOAI,"Tổ",KT_TO,IF(T28="x",$D28,T28),KT_NGAY,15)))</f>
        <v>0</v>
      </c>
      <c r="BB28" s="31" t="n">
        <f aca="false">IF(OR($B28="",U28=""),0,IF(AND($E28="Trưởng tổ",U28="x"),SUMIFS(KT_TRUONG,KT_LOAI,"Tổ",KT_TO,$D28,KT_NGAY,16),SUMIFS(KT_PHAN,KT_LOAI,"Tổ",KT_TO,IF(U28="x",$D28,U28),KT_NGAY,16)))</f>
        <v>0</v>
      </c>
      <c r="BC28" s="31" t="n">
        <f aca="false">IF(OR($B28="",V28=""),0,IF(AND($E28="Trưởng tổ",V28="x"),SUMIFS(KT_TRUONG,KT_LOAI,"Tổ",KT_TO,$D28,KT_NGAY,17),SUMIFS(KT_PHAN,KT_LOAI,"Tổ",KT_TO,IF(V28="x",$D28,V28),KT_NGAY,17)))</f>
        <v>0</v>
      </c>
      <c r="BD28" s="31" t="n">
        <f aca="false">IF(OR($B28="",W28=""),0,IF(AND($E28="Trưởng tổ",W28="x"),SUMIFS(KT_TRUONG,KT_LOAI,"Tổ",KT_TO,$D28,KT_NGAY,18),SUMIFS(KT_PHAN,KT_LOAI,"Tổ",KT_TO,IF(W28="x",$D28,W28),KT_NGAY,18)))</f>
        <v>0</v>
      </c>
      <c r="BE28" s="31" t="n">
        <f aca="false">IF(OR($B28="",X28=""),0,IF(AND($E28="Trưởng tổ",X28="x"),SUMIFS(KT_TRUONG,KT_LOAI,"Tổ",KT_TO,$D28,KT_NGAY,19),SUMIFS(KT_PHAN,KT_LOAI,"Tổ",KT_TO,IF(X28="x",$D28,X28),KT_NGAY,19)))</f>
        <v>0</v>
      </c>
      <c r="BF28" s="31" t="n">
        <f aca="false">IF(OR($B28="",Y28=""),0,IF(AND($E28="Trưởng tổ",Y28="x"),SUMIFS(KT_TRUONG,KT_LOAI,"Tổ",KT_TO,$D28,KT_NGAY,20),SUMIFS(KT_PHAN,KT_LOAI,"Tổ",KT_TO,IF(Y28="x",$D28,Y28),KT_NGAY,20)))</f>
        <v>0</v>
      </c>
      <c r="BG28" s="31" t="n">
        <f aca="false">IF(OR($B28="",Z28=""),0,IF(AND($E28="Trưởng tổ",Z28="x"),SUMIFS(KT_TRUONG,KT_LOAI,"Tổ",KT_TO,$D28,KT_NGAY,21),SUMIFS(KT_PHAN,KT_LOAI,"Tổ",KT_TO,IF(Z28="x",$D28,Z28),KT_NGAY,21)))</f>
        <v>0</v>
      </c>
      <c r="BH28" s="31" t="n">
        <f aca="false">IF(OR($B28="",AA28=""),0,IF(AND($E28="Trưởng tổ",AA28="x"),SUMIFS(KT_TRUONG,KT_LOAI,"Tổ",KT_TO,$D28,KT_NGAY,22),SUMIFS(KT_PHAN,KT_LOAI,"Tổ",KT_TO,IF(AA28="x",$D28,AA28),KT_NGAY,22)))</f>
        <v>0</v>
      </c>
      <c r="BI28" s="31" t="n">
        <f aca="false">IF(OR($B28="",AB28=""),0,IF(AND($E28="Trưởng tổ",AB28="x"),SUMIFS(KT_TRUONG,KT_LOAI,"Tổ",KT_TO,$D28,KT_NGAY,23),SUMIFS(KT_PHAN,KT_LOAI,"Tổ",KT_TO,IF(AB28="x",$D28,AB28),KT_NGAY,23)))</f>
        <v>0</v>
      </c>
      <c r="BJ28" s="31" t="n">
        <f aca="false">IF(OR($B28="",AC28=""),0,IF(AND($E28="Trưởng tổ",AC28="x"),SUMIFS(KT_TRUONG,KT_LOAI,"Tổ",KT_TO,$D28,KT_NGAY,24),SUMIFS(KT_PHAN,KT_LOAI,"Tổ",KT_TO,IF(AC28="x",$D28,AC28),KT_NGAY,24)))</f>
        <v>0</v>
      </c>
      <c r="BK28" s="31" t="n">
        <f aca="false">IF(OR($B28="",AD28=""),0,IF(AND($E28="Trưởng tổ",AD28="x"),SUMIFS(KT_TRUONG,KT_LOAI,"Tổ",KT_TO,$D28,KT_NGAY,25),SUMIFS(KT_PHAN,KT_LOAI,"Tổ",KT_TO,IF(AD28="x",$D28,AD28),KT_NGAY,25)))</f>
        <v>0</v>
      </c>
      <c r="BL28" s="31" t="n">
        <f aca="false">IF(OR($B28="",AE28=""),0,IF(AND($E28="Trưởng tổ",AE28="x"),SUMIFS(KT_TRUONG,KT_LOAI,"Tổ",KT_TO,$D28,KT_NGAY,26),SUMIFS(KT_PHAN,KT_LOAI,"Tổ",KT_TO,IF(AE28="x",$D28,AE28),KT_NGAY,26)))</f>
        <v>0</v>
      </c>
      <c r="BM28" s="31" t="n">
        <f aca="false">IF(OR($B28="",AF28=""),0,IF(AND($E28="Trưởng tổ",AF28="x"),SUMIFS(KT_TRUONG,KT_LOAI,"Tổ",KT_TO,$D28,KT_NGAY,27),SUMIFS(KT_PHAN,KT_LOAI,"Tổ",KT_TO,IF(AF28="x",$D28,AF28),KT_NGAY,27)))</f>
        <v>0</v>
      </c>
      <c r="BN28" s="31" t="n">
        <f aca="false">IF(OR($B28="",AG28=""),0,IF(AND($E28="Trưởng tổ",AG28="x"),SUMIFS(KT_TRUONG,KT_LOAI,"Tổ",KT_TO,$D28,KT_NGAY,28),SUMIFS(KT_PHAN,KT_LOAI,"Tổ",KT_TO,IF(AG28="x",$D28,AG28),KT_NGAY,28)))</f>
        <v>0</v>
      </c>
      <c r="BO28" s="31" t="n">
        <f aca="false">IF(OR($B28="",AH28=""),0,IF(AND($E28="Trưởng tổ",AH28="x"),SUMIFS(KT_TRUONG,KT_LOAI,"Tổ",KT_TO,$D28,KT_NGAY,29),SUMIFS(KT_PHAN,KT_LOAI,"Tổ",KT_TO,IF(AH28="x",$D28,AH28),KT_NGAY,29)))</f>
        <v>0</v>
      </c>
      <c r="BP28" s="31" t="n">
        <f aca="false">IF(OR($B28="",AI28=""),0,IF(AND($E28="Trưởng tổ",AI28="x"),SUMIFS(KT_TRUONG,KT_LOAI,"Tổ",KT_TO,$D28,KT_NGAY,30),SUMIFS(KT_PHAN,KT_LOAI,"Tổ",KT_TO,IF(AI28="x",$D28,AI28),KT_NGAY,30)))</f>
        <v>0</v>
      </c>
      <c r="BQ28" s="31" t="n">
        <f aca="false">IF(OR($B28="",AJ28=""),0,IF(AND($E28="Trưởng tổ",AJ28="x"),SUMIFS(KT_TRUONG,KT_LOAI,"Tổ",KT_TO,$D28,KT_NGAY,31),SUMIFS(KT_PHAN,KT_LOAI,"Tổ",KT_TO,IF(AJ28="x",$D28,AJ28),KT_NGAY,31)))</f>
        <v>0</v>
      </c>
    </row>
    <row r="29" customFormat="false" ht="15" hidden="false" customHeight="false" outlineLevel="0" collapsed="false">
      <c r="A29" s="17" t="str">
        <f aca="false">IF(B29="","",ROW()-5)</f>
        <v/>
      </c>
      <c r="B29" s="29" t="str">
        <f aca="false">IF(OR(BCC!B29="",BCC!D29&lt;&gt;"Thời vụ HAQT"),"",BCC!B29)</f>
        <v/>
      </c>
      <c r="C29" s="17" t="str">
        <f aca="false">IF(B29="","",BCC!C29)</f>
        <v/>
      </c>
      <c r="D29" s="17" t="str">
        <f aca="false">IF(B29="","",IFERROR(INDEX(NV_TO,MATCH(B29,NV_MA,0)),""))</f>
        <v/>
      </c>
      <c r="E29" s="17" t="str">
        <f aca="false">IF(B29="","",IFERROR(INDEX(NV_VT,MATCH(B29,NV_MA,0)),""))</f>
        <v/>
      </c>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17" t="str">
        <f aca="false">IF(B29="","",COUNTA(F29:AJ29))</f>
        <v/>
      </c>
      <c r="AL29" s="30" t="str">
        <f aca="false">IF(B29="","",SUM(AM29:BQ29))</f>
        <v/>
      </c>
      <c r="AM29" s="31" t="n">
        <f aca="false">IF(OR($B29="",F29=""),0,IF(AND($E29="Trưởng tổ",F29="x"),SUMIFS(KT_TRUONG,KT_LOAI,"Tổ",KT_TO,$D29,KT_NGAY,1),SUMIFS(KT_PHAN,KT_LOAI,"Tổ",KT_TO,IF(F29="x",$D29,F29),KT_NGAY,1)))</f>
        <v>0</v>
      </c>
      <c r="AN29" s="31" t="n">
        <f aca="false">IF(OR($B29="",G29=""),0,IF(AND($E29="Trưởng tổ",G29="x"),SUMIFS(KT_TRUONG,KT_LOAI,"Tổ",KT_TO,$D29,KT_NGAY,2),SUMIFS(KT_PHAN,KT_LOAI,"Tổ",KT_TO,IF(G29="x",$D29,G29),KT_NGAY,2)))</f>
        <v>0</v>
      </c>
      <c r="AO29" s="31" t="n">
        <f aca="false">IF(OR($B29="",H29=""),0,IF(AND($E29="Trưởng tổ",H29="x"),SUMIFS(KT_TRUONG,KT_LOAI,"Tổ",KT_TO,$D29,KT_NGAY,3),SUMIFS(KT_PHAN,KT_LOAI,"Tổ",KT_TO,IF(H29="x",$D29,H29),KT_NGAY,3)))</f>
        <v>0</v>
      </c>
      <c r="AP29" s="31" t="n">
        <f aca="false">IF(OR($B29="",I29=""),0,IF(AND($E29="Trưởng tổ",I29="x"),SUMIFS(KT_TRUONG,KT_LOAI,"Tổ",KT_TO,$D29,KT_NGAY,4),SUMIFS(KT_PHAN,KT_LOAI,"Tổ",KT_TO,IF(I29="x",$D29,I29),KT_NGAY,4)))</f>
        <v>0</v>
      </c>
      <c r="AQ29" s="31" t="n">
        <f aca="false">IF(OR($B29="",J29=""),0,IF(AND($E29="Trưởng tổ",J29="x"),SUMIFS(KT_TRUONG,KT_LOAI,"Tổ",KT_TO,$D29,KT_NGAY,5),SUMIFS(KT_PHAN,KT_LOAI,"Tổ",KT_TO,IF(J29="x",$D29,J29),KT_NGAY,5)))</f>
        <v>0</v>
      </c>
      <c r="AR29" s="31" t="n">
        <f aca="false">IF(OR($B29="",K29=""),0,IF(AND($E29="Trưởng tổ",K29="x"),SUMIFS(KT_TRUONG,KT_LOAI,"Tổ",KT_TO,$D29,KT_NGAY,6),SUMIFS(KT_PHAN,KT_LOAI,"Tổ",KT_TO,IF(K29="x",$D29,K29),KT_NGAY,6)))</f>
        <v>0</v>
      </c>
      <c r="AS29" s="31" t="n">
        <f aca="false">IF(OR($B29="",L29=""),0,IF(AND($E29="Trưởng tổ",L29="x"),SUMIFS(KT_TRUONG,KT_LOAI,"Tổ",KT_TO,$D29,KT_NGAY,7),SUMIFS(KT_PHAN,KT_LOAI,"Tổ",KT_TO,IF(L29="x",$D29,L29),KT_NGAY,7)))</f>
        <v>0</v>
      </c>
      <c r="AT29" s="31" t="n">
        <f aca="false">IF(OR($B29="",M29=""),0,IF(AND($E29="Trưởng tổ",M29="x"),SUMIFS(KT_TRUONG,KT_LOAI,"Tổ",KT_TO,$D29,KT_NGAY,8),SUMIFS(KT_PHAN,KT_LOAI,"Tổ",KT_TO,IF(M29="x",$D29,M29),KT_NGAY,8)))</f>
        <v>0</v>
      </c>
      <c r="AU29" s="31" t="n">
        <f aca="false">IF(OR($B29="",N29=""),0,IF(AND($E29="Trưởng tổ",N29="x"),SUMIFS(KT_TRUONG,KT_LOAI,"Tổ",KT_TO,$D29,KT_NGAY,9),SUMIFS(KT_PHAN,KT_LOAI,"Tổ",KT_TO,IF(N29="x",$D29,N29),KT_NGAY,9)))</f>
        <v>0</v>
      </c>
      <c r="AV29" s="31" t="n">
        <f aca="false">IF(OR($B29="",O29=""),0,IF(AND($E29="Trưởng tổ",O29="x"),SUMIFS(KT_TRUONG,KT_LOAI,"Tổ",KT_TO,$D29,KT_NGAY,10),SUMIFS(KT_PHAN,KT_LOAI,"Tổ",KT_TO,IF(O29="x",$D29,O29),KT_NGAY,10)))</f>
        <v>0</v>
      </c>
      <c r="AW29" s="31" t="n">
        <f aca="false">IF(OR($B29="",P29=""),0,IF(AND($E29="Trưởng tổ",P29="x"),SUMIFS(KT_TRUONG,KT_LOAI,"Tổ",KT_TO,$D29,KT_NGAY,11),SUMIFS(KT_PHAN,KT_LOAI,"Tổ",KT_TO,IF(P29="x",$D29,P29),KT_NGAY,11)))</f>
        <v>0</v>
      </c>
      <c r="AX29" s="31" t="n">
        <f aca="false">IF(OR($B29="",Q29=""),0,IF(AND($E29="Trưởng tổ",Q29="x"),SUMIFS(KT_TRUONG,KT_LOAI,"Tổ",KT_TO,$D29,KT_NGAY,12),SUMIFS(KT_PHAN,KT_LOAI,"Tổ",KT_TO,IF(Q29="x",$D29,Q29),KT_NGAY,12)))</f>
        <v>0</v>
      </c>
      <c r="AY29" s="31" t="n">
        <f aca="false">IF(OR($B29="",R29=""),0,IF(AND($E29="Trưởng tổ",R29="x"),SUMIFS(KT_TRUONG,KT_LOAI,"Tổ",KT_TO,$D29,KT_NGAY,13),SUMIFS(KT_PHAN,KT_LOAI,"Tổ",KT_TO,IF(R29="x",$D29,R29),KT_NGAY,13)))</f>
        <v>0</v>
      </c>
      <c r="AZ29" s="31" t="n">
        <f aca="false">IF(OR($B29="",S29=""),0,IF(AND($E29="Trưởng tổ",S29="x"),SUMIFS(KT_TRUONG,KT_LOAI,"Tổ",KT_TO,$D29,KT_NGAY,14),SUMIFS(KT_PHAN,KT_LOAI,"Tổ",KT_TO,IF(S29="x",$D29,S29),KT_NGAY,14)))</f>
        <v>0</v>
      </c>
      <c r="BA29" s="31" t="n">
        <f aca="false">IF(OR($B29="",T29=""),0,IF(AND($E29="Trưởng tổ",T29="x"),SUMIFS(KT_TRUONG,KT_LOAI,"Tổ",KT_TO,$D29,KT_NGAY,15),SUMIFS(KT_PHAN,KT_LOAI,"Tổ",KT_TO,IF(T29="x",$D29,T29),KT_NGAY,15)))</f>
        <v>0</v>
      </c>
      <c r="BB29" s="31" t="n">
        <f aca="false">IF(OR($B29="",U29=""),0,IF(AND($E29="Trưởng tổ",U29="x"),SUMIFS(KT_TRUONG,KT_LOAI,"Tổ",KT_TO,$D29,KT_NGAY,16),SUMIFS(KT_PHAN,KT_LOAI,"Tổ",KT_TO,IF(U29="x",$D29,U29),KT_NGAY,16)))</f>
        <v>0</v>
      </c>
      <c r="BC29" s="31" t="n">
        <f aca="false">IF(OR($B29="",V29=""),0,IF(AND($E29="Trưởng tổ",V29="x"),SUMIFS(KT_TRUONG,KT_LOAI,"Tổ",KT_TO,$D29,KT_NGAY,17),SUMIFS(KT_PHAN,KT_LOAI,"Tổ",KT_TO,IF(V29="x",$D29,V29),KT_NGAY,17)))</f>
        <v>0</v>
      </c>
      <c r="BD29" s="31" t="n">
        <f aca="false">IF(OR($B29="",W29=""),0,IF(AND($E29="Trưởng tổ",W29="x"),SUMIFS(KT_TRUONG,KT_LOAI,"Tổ",KT_TO,$D29,KT_NGAY,18),SUMIFS(KT_PHAN,KT_LOAI,"Tổ",KT_TO,IF(W29="x",$D29,W29),KT_NGAY,18)))</f>
        <v>0</v>
      </c>
      <c r="BE29" s="31" t="n">
        <f aca="false">IF(OR($B29="",X29=""),0,IF(AND($E29="Trưởng tổ",X29="x"),SUMIFS(KT_TRUONG,KT_LOAI,"Tổ",KT_TO,$D29,KT_NGAY,19),SUMIFS(KT_PHAN,KT_LOAI,"Tổ",KT_TO,IF(X29="x",$D29,X29),KT_NGAY,19)))</f>
        <v>0</v>
      </c>
      <c r="BF29" s="31" t="n">
        <f aca="false">IF(OR($B29="",Y29=""),0,IF(AND($E29="Trưởng tổ",Y29="x"),SUMIFS(KT_TRUONG,KT_LOAI,"Tổ",KT_TO,$D29,KT_NGAY,20),SUMIFS(KT_PHAN,KT_LOAI,"Tổ",KT_TO,IF(Y29="x",$D29,Y29),KT_NGAY,20)))</f>
        <v>0</v>
      </c>
      <c r="BG29" s="31" t="n">
        <f aca="false">IF(OR($B29="",Z29=""),0,IF(AND($E29="Trưởng tổ",Z29="x"),SUMIFS(KT_TRUONG,KT_LOAI,"Tổ",KT_TO,$D29,KT_NGAY,21),SUMIFS(KT_PHAN,KT_LOAI,"Tổ",KT_TO,IF(Z29="x",$D29,Z29),KT_NGAY,21)))</f>
        <v>0</v>
      </c>
      <c r="BH29" s="31" t="n">
        <f aca="false">IF(OR($B29="",AA29=""),0,IF(AND($E29="Trưởng tổ",AA29="x"),SUMIFS(KT_TRUONG,KT_LOAI,"Tổ",KT_TO,$D29,KT_NGAY,22),SUMIFS(KT_PHAN,KT_LOAI,"Tổ",KT_TO,IF(AA29="x",$D29,AA29),KT_NGAY,22)))</f>
        <v>0</v>
      </c>
      <c r="BI29" s="31" t="n">
        <f aca="false">IF(OR($B29="",AB29=""),0,IF(AND($E29="Trưởng tổ",AB29="x"),SUMIFS(KT_TRUONG,KT_LOAI,"Tổ",KT_TO,$D29,KT_NGAY,23),SUMIFS(KT_PHAN,KT_LOAI,"Tổ",KT_TO,IF(AB29="x",$D29,AB29),KT_NGAY,23)))</f>
        <v>0</v>
      </c>
      <c r="BJ29" s="31" t="n">
        <f aca="false">IF(OR($B29="",AC29=""),0,IF(AND($E29="Trưởng tổ",AC29="x"),SUMIFS(KT_TRUONG,KT_LOAI,"Tổ",KT_TO,$D29,KT_NGAY,24),SUMIFS(KT_PHAN,KT_LOAI,"Tổ",KT_TO,IF(AC29="x",$D29,AC29),KT_NGAY,24)))</f>
        <v>0</v>
      </c>
      <c r="BK29" s="31" t="n">
        <f aca="false">IF(OR($B29="",AD29=""),0,IF(AND($E29="Trưởng tổ",AD29="x"),SUMIFS(KT_TRUONG,KT_LOAI,"Tổ",KT_TO,$D29,KT_NGAY,25),SUMIFS(KT_PHAN,KT_LOAI,"Tổ",KT_TO,IF(AD29="x",$D29,AD29),KT_NGAY,25)))</f>
        <v>0</v>
      </c>
      <c r="BL29" s="31" t="n">
        <f aca="false">IF(OR($B29="",AE29=""),0,IF(AND($E29="Trưởng tổ",AE29="x"),SUMIFS(KT_TRUONG,KT_LOAI,"Tổ",KT_TO,$D29,KT_NGAY,26),SUMIFS(KT_PHAN,KT_LOAI,"Tổ",KT_TO,IF(AE29="x",$D29,AE29),KT_NGAY,26)))</f>
        <v>0</v>
      </c>
      <c r="BM29" s="31" t="n">
        <f aca="false">IF(OR($B29="",AF29=""),0,IF(AND($E29="Trưởng tổ",AF29="x"),SUMIFS(KT_TRUONG,KT_LOAI,"Tổ",KT_TO,$D29,KT_NGAY,27),SUMIFS(KT_PHAN,KT_LOAI,"Tổ",KT_TO,IF(AF29="x",$D29,AF29),KT_NGAY,27)))</f>
        <v>0</v>
      </c>
      <c r="BN29" s="31" t="n">
        <f aca="false">IF(OR($B29="",AG29=""),0,IF(AND($E29="Trưởng tổ",AG29="x"),SUMIFS(KT_TRUONG,KT_LOAI,"Tổ",KT_TO,$D29,KT_NGAY,28),SUMIFS(KT_PHAN,KT_LOAI,"Tổ",KT_TO,IF(AG29="x",$D29,AG29),KT_NGAY,28)))</f>
        <v>0</v>
      </c>
      <c r="BO29" s="31" t="n">
        <f aca="false">IF(OR($B29="",AH29=""),0,IF(AND($E29="Trưởng tổ",AH29="x"),SUMIFS(KT_TRUONG,KT_LOAI,"Tổ",KT_TO,$D29,KT_NGAY,29),SUMIFS(KT_PHAN,KT_LOAI,"Tổ",KT_TO,IF(AH29="x",$D29,AH29),KT_NGAY,29)))</f>
        <v>0</v>
      </c>
      <c r="BP29" s="31" t="n">
        <f aca="false">IF(OR($B29="",AI29=""),0,IF(AND($E29="Trưởng tổ",AI29="x"),SUMIFS(KT_TRUONG,KT_LOAI,"Tổ",KT_TO,$D29,KT_NGAY,30),SUMIFS(KT_PHAN,KT_LOAI,"Tổ",KT_TO,IF(AI29="x",$D29,AI29),KT_NGAY,30)))</f>
        <v>0</v>
      </c>
      <c r="BQ29" s="31" t="n">
        <f aca="false">IF(OR($B29="",AJ29=""),0,IF(AND($E29="Trưởng tổ",AJ29="x"),SUMIFS(KT_TRUONG,KT_LOAI,"Tổ",KT_TO,$D29,KT_NGAY,31),SUMIFS(KT_PHAN,KT_LOAI,"Tổ",KT_TO,IF(AJ29="x",$D29,AJ29),KT_NGAY,31)))</f>
        <v>0</v>
      </c>
    </row>
    <row r="30" customFormat="false" ht="15" hidden="false" customHeight="false" outlineLevel="0" collapsed="false">
      <c r="A30" s="17" t="str">
        <f aca="false">IF(B30="","",ROW()-5)</f>
        <v/>
      </c>
      <c r="B30" s="29" t="str">
        <f aca="false">IF(OR(BCC!B30="",BCC!D30&lt;&gt;"Thời vụ HAQT"),"",BCC!B30)</f>
        <v/>
      </c>
      <c r="C30" s="17" t="str">
        <f aca="false">IF(B30="","",BCC!C30)</f>
        <v/>
      </c>
      <c r="D30" s="17" t="str">
        <f aca="false">IF(B30="","",IFERROR(INDEX(NV_TO,MATCH(B30,NV_MA,0)),""))</f>
        <v/>
      </c>
      <c r="E30" s="17" t="str">
        <f aca="false">IF(B30="","",IFERROR(INDEX(NV_VT,MATCH(B30,NV_MA,0)),""))</f>
        <v/>
      </c>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17" t="str">
        <f aca="false">IF(B30="","",COUNTA(F30:AJ30))</f>
        <v/>
      </c>
      <c r="AL30" s="30" t="str">
        <f aca="false">IF(B30="","",SUM(AM30:BQ30))</f>
        <v/>
      </c>
      <c r="AM30" s="31" t="n">
        <f aca="false">IF(OR($B30="",F30=""),0,IF(AND($E30="Trưởng tổ",F30="x"),SUMIFS(KT_TRUONG,KT_LOAI,"Tổ",KT_TO,$D30,KT_NGAY,1),SUMIFS(KT_PHAN,KT_LOAI,"Tổ",KT_TO,IF(F30="x",$D30,F30),KT_NGAY,1)))</f>
        <v>0</v>
      </c>
      <c r="AN30" s="31" t="n">
        <f aca="false">IF(OR($B30="",G30=""),0,IF(AND($E30="Trưởng tổ",G30="x"),SUMIFS(KT_TRUONG,KT_LOAI,"Tổ",KT_TO,$D30,KT_NGAY,2),SUMIFS(KT_PHAN,KT_LOAI,"Tổ",KT_TO,IF(G30="x",$D30,G30),KT_NGAY,2)))</f>
        <v>0</v>
      </c>
      <c r="AO30" s="31" t="n">
        <f aca="false">IF(OR($B30="",H30=""),0,IF(AND($E30="Trưởng tổ",H30="x"),SUMIFS(KT_TRUONG,KT_LOAI,"Tổ",KT_TO,$D30,KT_NGAY,3),SUMIFS(KT_PHAN,KT_LOAI,"Tổ",KT_TO,IF(H30="x",$D30,H30),KT_NGAY,3)))</f>
        <v>0</v>
      </c>
      <c r="AP30" s="31" t="n">
        <f aca="false">IF(OR($B30="",I30=""),0,IF(AND($E30="Trưởng tổ",I30="x"),SUMIFS(KT_TRUONG,KT_LOAI,"Tổ",KT_TO,$D30,KT_NGAY,4),SUMIFS(KT_PHAN,KT_LOAI,"Tổ",KT_TO,IF(I30="x",$D30,I30),KT_NGAY,4)))</f>
        <v>0</v>
      </c>
      <c r="AQ30" s="31" t="n">
        <f aca="false">IF(OR($B30="",J30=""),0,IF(AND($E30="Trưởng tổ",J30="x"),SUMIFS(KT_TRUONG,KT_LOAI,"Tổ",KT_TO,$D30,KT_NGAY,5),SUMIFS(KT_PHAN,KT_LOAI,"Tổ",KT_TO,IF(J30="x",$D30,J30),KT_NGAY,5)))</f>
        <v>0</v>
      </c>
      <c r="AR30" s="31" t="n">
        <f aca="false">IF(OR($B30="",K30=""),0,IF(AND($E30="Trưởng tổ",K30="x"),SUMIFS(KT_TRUONG,KT_LOAI,"Tổ",KT_TO,$D30,KT_NGAY,6),SUMIFS(KT_PHAN,KT_LOAI,"Tổ",KT_TO,IF(K30="x",$D30,K30),KT_NGAY,6)))</f>
        <v>0</v>
      </c>
      <c r="AS30" s="31" t="n">
        <f aca="false">IF(OR($B30="",L30=""),0,IF(AND($E30="Trưởng tổ",L30="x"),SUMIFS(KT_TRUONG,KT_LOAI,"Tổ",KT_TO,$D30,KT_NGAY,7),SUMIFS(KT_PHAN,KT_LOAI,"Tổ",KT_TO,IF(L30="x",$D30,L30),KT_NGAY,7)))</f>
        <v>0</v>
      </c>
      <c r="AT30" s="31" t="n">
        <f aca="false">IF(OR($B30="",M30=""),0,IF(AND($E30="Trưởng tổ",M30="x"),SUMIFS(KT_TRUONG,KT_LOAI,"Tổ",KT_TO,$D30,KT_NGAY,8),SUMIFS(KT_PHAN,KT_LOAI,"Tổ",KT_TO,IF(M30="x",$D30,M30),KT_NGAY,8)))</f>
        <v>0</v>
      </c>
      <c r="AU30" s="31" t="n">
        <f aca="false">IF(OR($B30="",N30=""),0,IF(AND($E30="Trưởng tổ",N30="x"),SUMIFS(KT_TRUONG,KT_LOAI,"Tổ",KT_TO,$D30,KT_NGAY,9),SUMIFS(KT_PHAN,KT_LOAI,"Tổ",KT_TO,IF(N30="x",$D30,N30),KT_NGAY,9)))</f>
        <v>0</v>
      </c>
      <c r="AV30" s="31" t="n">
        <f aca="false">IF(OR($B30="",O30=""),0,IF(AND($E30="Trưởng tổ",O30="x"),SUMIFS(KT_TRUONG,KT_LOAI,"Tổ",KT_TO,$D30,KT_NGAY,10),SUMIFS(KT_PHAN,KT_LOAI,"Tổ",KT_TO,IF(O30="x",$D30,O30),KT_NGAY,10)))</f>
        <v>0</v>
      </c>
      <c r="AW30" s="31" t="n">
        <f aca="false">IF(OR($B30="",P30=""),0,IF(AND($E30="Trưởng tổ",P30="x"),SUMIFS(KT_TRUONG,KT_LOAI,"Tổ",KT_TO,$D30,KT_NGAY,11),SUMIFS(KT_PHAN,KT_LOAI,"Tổ",KT_TO,IF(P30="x",$D30,P30),KT_NGAY,11)))</f>
        <v>0</v>
      </c>
      <c r="AX30" s="31" t="n">
        <f aca="false">IF(OR($B30="",Q30=""),0,IF(AND($E30="Trưởng tổ",Q30="x"),SUMIFS(KT_TRUONG,KT_LOAI,"Tổ",KT_TO,$D30,KT_NGAY,12),SUMIFS(KT_PHAN,KT_LOAI,"Tổ",KT_TO,IF(Q30="x",$D30,Q30),KT_NGAY,12)))</f>
        <v>0</v>
      </c>
      <c r="AY30" s="31" t="n">
        <f aca="false">IF(OR($B30="",R30=""),0,IF(AND($E30="Trưởng tổ",R30="x"),SUMIFS(KT_TRUONG,KT_LOAI,"Tổ",KT_TO,$D30,KT_NGAY,13),SUMIFS(KT_PHAN,KT_LOAI,"Tổ",KT_TO,IF(R30="x",$D30,R30),KT_NGAY,13)))</f>
        <v>0</v>
      </c>
      <c r="AZ30" s="31" t="n">
        <f aca="false">IF(OR($B30="",S30=""),0,IF(AND($E30="Trưởng tổ",S30="x"),SUMIFS(KT_TRUONG,KT_LOAI,"Tổ",KT_TO,$D30,KT_NGAY,14),SUMIFS(KT_PHAN,KT_LOAI,"Tổ",KT_TO,IF(S30="x",$D30,S30),KT_NGAY,14)))</f>
        <v>0</v>
      </c>
      <c r="BA30" s="31" t="n">
        <f aca="false">IF(OR($B30="",T30=""),0,IF(AND($E30="Trưởng tổ",T30="x"),SUMIFS(KT_TRUONG,KT_LOAI,"Tổ",KT_TO,$D30,KT_NGAY,15),SUMIFS(KT_PHAN,KT_LOAI,"Tổ",KT_TO,IF(T30="x",$D30,T30),KT_NGAY,15)))</f>
        <v>0</v>
      </c>
      <c r="BB30" s="31" t="n">
        <f aca="false">IF(OR($B30="",U30=""),0,IF(AND($E30="Trưởng tổ",U30="x"),SUMIFS(KT_TRUONG,KT_LOAI,"Tổ",KT_TO,$D30,KT_NGAY,16),SUMIFS(KT_PHAN,KT_LOAI,"Tổ",KT_TO,IF(U30="x",$D30,U30),KT_NGAY,16)))</f>
        <v>0</v>
      </c>
      <c r="BC30" s="31" t="n">
        <f aca="false">IF(OR($B30="",V30=""),0,IF(AND($E30="Trưởng tổ",V30="x"),SUMIFS(KT_TRUONG,KT_LOAI,"Tổ",KT_TO,$D30,KT_NGAY,17),SUMIFS(KT_PHAN,KT_LOAI,"Tổ",KT_TO,IF(V30="x",$D30,V30),KT_NGAY,17)))</f>
        <v>0</v>
      </c>
      <c r="BD30" s="31" t="n">
        <f aca="false">IF(OR($B30="",W30=""),0,IF(AND($E30="Trưởng tổ",W30="x"),SUMIFS(KT_TRUONG,KT_LOAI,"Tổ",KT_TO,$D30,KT_NGAY,18),SUMIFS(KT_PHAN,KT_LOAI,"Tổ",KT_TO,IF(W30="x",$D30,W30),KT_NGAY,18)))</f>
        <v>0</v>
      </c>
      <c r="BE30" s="31" t="n">
        <f aca="false">IF(OR($B30="",X30=""),0,IF(AND($E30="Trưởng tổ",X30="x"),SUMIFS(KT_TRUONG,KT_LOAI,"Tổ",KT_TO,$D30,KT_NGAY,19),SUMIFS(KT_PHAN,KT_LOAI,"Tổ",KT_TO,IF(X30="x",$D30,X30),KT_NGAY,19)))</f>
        <v>0</v>
      </c>
      <c r="BF30" s="31" t="n">
        <f aca="false">IF(OR($B30="",Y30=""),0,IF(AND($E30="Trưởng tổ",Y30="x"),SUMIFS(KT_TRUONG,KT_LOAI,"Tổ",KT_TO,$D30,KT_NGAY,20),SUMIFS(KT_PHAN,KT_LOAI,"Tổ",KT_TO,IF(Y30="x",$D30,Y30),KT_NGAY,20)))</f>
        <v>0</v>
      </c>
      <c r="BG30" s="31" t="n">
        <f aca="false">IF(OR($B30="",Z30=""),0,IF(AND($E30="Trưởng tổ",Z30="x"),SUMIFS(KT_TRUONG,KT_LOAI,"Tổ",KT_TO,$D30,KT_NGAY,21),SUMIFS(KT_PHAN,KT_LOAI,"Tổ",KT_TO,IF(Z30="x",$D30,Z30),KT_NGAY,21)))</f>
        <v>0</v>
      </c>
      <c r="BH30" s="31" t="n">
        <f aca="false">IF(OR($B30="",AA30=""),0,IF(AND($E30="Trưởng tổ",AA30="x"),SUMIFS(KT_TRUONG,KT_LOAI,"Tổ",KT_TO,$D30,KT_NGAY,22),SUMIFS(KT_PHAN,KT_LOAI,"Tổ",KT_TO,IF(AA30="x",$D30,AA30),KT_NGAY,22)))</f>
        <v>0</v>
      </c>
      <c r="BI30" s="31" t="n">
        <f aca="false">IF(OR($B30="",AB30=""),0,IF(AND($E30="Trưởng tổ",AB30="x"),SUMIFS(KT_TRUONG,KT_LOAI,"Tổ",KT_TO,$D30,KT_NGAY,23),SUMIFS(KT_PHAN,KT_LOAI,"Tổ",KT_TO,IF(AB30="x",$D30,AB30),KT_NGAY,23)))</f>
        <v>0</v>
      </c>
      <c r="BJ30" s="31" t="n">
        <f aca="false">IF(OR($B30="",AC30=""),0,IF(AND($E30="Trưởng tổ",AC30="x"),SUMIFS(KT_TRUONG,KT_LOAI,"Tổ",KT_TO,$D30,KT_NGAY,24),SUMIFS(KT_PHAN,KT_LOAI,"Tổ",KT_TO,IF(AC30="x",$D30,AC30),KT_NGAY,24)))</f>
        <v>0</v>
      </c>
      <c r="BK30" s="31" t="n">
        <f aca="false">IF(OR($B30="",AD30=""),0,IF(AND($E30="Trưởng tổ",AD30="x"),SUMIFS(KT_TRUONG,KT_LOAI,"Tổ",KT_TO,$D30,KT_NGAY,25),SUMIFS(KT_PHAN,KT_LOAI,"Tổ",KT_TO,IF(AD30="x",$D30,AD30),KT_NGAY,25)))</f>
        <v>0</v>
      </c>
      <c r="BL30" s="31" t="n">
        <f aca="false">IF(OR($B30="",AE30=""),0,IF(AND($E30="Trưởng tổ",AE30="x"),SUMIFS(KT_TRUONG,KT_LOAI,"Tổ",KT_TO,$D30,KT_NGAY,26),SUMIFS(KT_PHAN,KT_LOAI,"Tổ",KT_TO,IF(AE30="x",$D30,AE30),KT_NGAY,26)))</f>
        <v>0</v>
      </c>
      <c r="BM30" s="31" t="n">
        <f aca="false">IF(OR($B30="",AF30=""),0,IF(AND($E30="Trưởng tổ",AF30="x"),SUMIFS(KT_TRUONG,KT_LOAI,"Tổ",KT_TO,$D30,KT_NGAY,27),SUMIFS(KT_PHAN,KT_LOAI,"Tổ",KT_TO,IF(AF30="x",$D30,AF30),KT_NGAY,27)))</f>
        <v>0</v>
      </c>
      <c r="BN30" s="31" t="n">
        <f aca="false">IF(OR($B30="",AG30=""),0,IF(AND($E30="Trưởng tổ",AG30="x"),SUMIFS(KT_TRUONG,KT_LOAI,"Tổ",KT_TO,$D30,KT_NGAY,28),SUMIFS(KT_PHAN,KT_LOAI,"Tổ",KT_TO,IF(AG30="x",$D30,AG30),KT_NGAY,28)))</f>
        <v>0</v>
      </c>
      <c r="BO30" s="31" t="n">
        <f aca="false">IF(OR($B30="",AH30=""),0,IF(AND($E30="Trưởng tổ",AH30="x"),SUMIFS(KT_TRUONG,KT_LOAI,"Tổ",KT_TO,$D30,KT_NGAY,29),SUMIFS(KT_PHAN,KT_LOAI,"Tổ",KT_TO,IF(AH30="x",$D30,AH30),KT_NGAY,29)))</f>
        <v>0</v>
      </c>
      <c r="BP30" s="31" t="n">
        <f aca="false">IF(OR($B30="",AI30=""),0,IF(AND($E30="Trưởng tổ",AI30="x"),SUMIFS(KT_TRUONG,KT_LOAI,"Tổ",KT_TO,$D30,KT_NGAY,30),SUMIFS(KT_PHAN,KT_LOAI,"Tổ",KT_TO,IF(AI30="x",$D30,AI30),KT_NGAY,30)))</f>
        <v>0</v>
      </c>
      <c r="BQ30" s="31" t="n">
        <f aca="false">IF(OR($B30="",AJ30=""),0,IF(AND($E30="Trưởng tổ",AJ30="x"),SUMIFS(KT_TRUONG,KT_LOAI,"Tổ",KT_TO,$D30,KT_NGAY,31),SUMIFS(KT_PHAN,KT_LOAI,"Tổ",KT_TO,IF(AJ30="x",$D30,AJ30),KT_NGAY,31)))</f>
        <v>0</v>
      </c>
    </row>
    <row r="31" customFormat="false" ht="15" hidden="false" customHeight="false" outlineLevel="0" collapsed="false">
      <c r="A31" s="17" t="str">
        <f aca="false">IF(B31="","",ROW()-5)</f>
        <v/>
      </c>
      <c r="B31" s="29" t="str">
        <f aca="false">IF(OR(BCC!B31="",BCC!D31&lt;&gt;"Thời vụ HAQT"),"",BCC!B31)</f>
        <v/>
      </c>
      <c r="C31" s="17" t="str">
        <f aca="false">IF(B31="","",BCC!C31)</f>
        <v/>
      </c>
      <c r="D31" s="17" t="str">
        <f aca="false">IF(B31="","",IFERROR(INDEX(NV_TO,MATCH(B31,NV_MA,0)),""))</f>
        <v/>
      </c>
      <c r="E31" s="17" t="str">
        <f aca="false">IF(B31="","",IFERROR(INDEX(NV_VT,MATCH(B31,NV_MA,0)),""))</f>
        <v/>
      </c>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17" t="str">
        <f aca="false">IF(B31="","",COUNTA(F31:AJ31))</f>
        <v/>
      </c>
      <c r="AL31" s="30" t="str">
        <f aca="false">IF(B31="","",SUM(AM31:BQ31))</f>
        <v/>
      </c>
      <c r="AM31" s="31" t="n">
        <f aca="false">IF(OR($B31="",F31=""),0,IF(AND($E31="Trưởng tổ",F31="x"),SUMIFS(KT_TRUONG,KT_LOAI,"Tổ",KT_TO,$D31,KT_NGAY,1),SUMIFS(KT_PHAN,KT_LOAI,"Tổ",KT_TO,IF(F31="x",$D31,F31),KT_NGAY,1)))</f>
        <v>0</v>
      </c>
      <c r="AN31" s="31" t="n">
        <f aca="false">IF(OR($B31="",G31=""),0,IF(AND($E31="Trưởng tổ",G31="x"),SUMIFS(KT_TRUONG,KT_LOAI,"Tổ",KT_TO,$D31,KT_NGAY,2),SUMIFS(KT_PHAN,KT_LOAI,"Tổ",KT_TO,IF(G31="x",$D31,G31),KT_NGAY,2)))</f>
        <v>0</v>
      </c>
      <c r="AO31" s="31" t="n">
        <f aca="false">IF(OR($B31="",H31=""),0,IF(AND($E31="Trưởng tổ",H31="x"),SUMIFS(KT_TRUONG,KT_LOAI,"Tổ",KT_TO,$D31,KT_NGAY,3),SUMIFS(KT_PHAN,KT_LOAI,"Tổ",KT_TO,IF(H31="x",$D31,H31),KT_NGAY,3)))</f>
        <v>0</v>
      </c>
      <c r="AP31" s="31" t="n">
        <f aca="false">IF(OR($B31="",I31=""),0,IF(AND($E31="Trưởng tổ",I31="x"),SUMIFS(KT_TRUONG,KT_LOAI,"Tổ",KT_TO,$D31,KT_NGAY,4),SUMIFS(KT_PHAN,KT_LOAI,"Tổ",KT_TO,IF(I31="x",$D31,I31),KT_NGAY,4)))</f>
        <v>0</v>
      </c>
      <c r="AQ31" s="31" t="n">
        <f aca="false">IF(OR($B31="",J31=""),0,IF(AND($E31="Trưởng tổ",J31="x"),SUMIFS(KT_TRUONG,KT_LOAI,"Tổ",KT_TO,$D31,KT_NGAY,5),SUMIFS(KT_PHAN,KT_LOAI,"Tổ",KT_TO,IF(J31="x",$D31,J31),KT_NGAY,5)))</f>
        <v>0</v>
      </c>
      <c r="AR31" s="31" t="n">
        <f aca="false">IF(OR($B31="",K31=""),0,IF(AND($E31="Trưởng tổ",K31="x"),SUMIFS(KT_TRUONG,KT_LOAI,"Tổ",KT_TO,$D31,KT_NGAY,6),SUMIFS(KT_PHAN,KT_LOAI,"Tổ",KT_TO,IF(K31="x",$D31,K31),KT_NGAY,6)))</f>
        <v>0</v>
      </c>
      <c r="AS31" s="31" t="n">
        <f aca="false">IF(OR($B31="",L31=""),0,IF(AND($E31="Trưởng tổ",L31="x"),SUMIFS(KT_TRUONG,KT_LOAI,"Tổ",KT_TO,$D31,KT_NGAY,7),SUMIFS(KT_PHAN,KT_LOAI,"Tổ",KT_TO,IF(L31="x",$D31,L31),KT_NGAY,7)))</f>
        <v>0</v>
      </c>
      <c r="AT31" s="31" t="n">
        <f aca="false">IF(OR($B31="",M31=""),0,IF(AND($E31="Trưởng tổ",M31="x"),SUMIFS(KT_TRUONG,KT_LOAI,"Tổ",KT_TO,$D31,KT_NGAY,8),SUMIFS(KT_PHAN,KT_LOAI,"Tổ",KT_TO,IF(M31="x",$D31,M31),KT_NGAY,8)))</f>
        <v>0</v>
      </c>
      <c r="AU31" s="31" t="n">
        <f aca="false">IF(OR($B31="",N31=""),0,IF(AND($E31="Trưởng tổ",N31="x"),SUMIFS(KT_TRUONG,KT_LOAI,"Tổ",KT_TO,$D31,KT_NGAY,9),SUMIFS(KT_PHAN,KT_LOAI,"Tổ",KT_TO,IF(N31="x",$D31,N31),KT_NGAY,9)))</f>
        <v>0</v>
      </c>
      <c r="AV31" s="31" t="n">
        <f aca="false">IF(OR($B31="",O31=""),0,IF(AND($E31="Trưởng tổ",O31="x"),SUMIFS(KT_TRUONG,KT_LOAI,"Tổ",KT_TO,$D31,KT_NGAY,10),SUMIFS(KT_PHAN,KT_LOAI,"Tổ",KT_TO,IF(O31="x",$D31,O31),KT_NGAY,10)))</f>
        <v>0</v>
      </c>
      <c r="AW31" s="31" t="n">
        <f aca="false">IF(OR($B31="",P31=""),0,IF(AND($E31="Trưởng tổ",P31="x"),SUMIFS(KT_TRUONG,KT_LOAI,"Tổ",KT_TO,$D31,KT_NGAY,11),SUMIFS(KT_PHAN,KT_LOAI,"Tổ",KT_TO,IF(P31="x",$D31,P31),KT_NGAY,11)))</f>
        <v>0</v>
      </c>
      <c r="AX31" s="31" t="n">
        <f aca="false">IF(OR($B31="",Q31=""),0,IF(AND($E31="Trưởng tổ",Q31="x"),SUMIFS(KT_TRUONG,KT_LOAI,"Tổ",KT_TO,$D31,KT_NGAY,12),SUMIFS(KT_PHAN,KT_LOAI,"Tổ",KT_TO,IF(Q31="x",$D31,Q31),KT_NGAY,12)))</f>
        <v>0</v>
      </c>
      <c r="AY31" s="31" t="n">
        <f aca="false">IF(OR($B31="",R31=""),0,IF(AND($E31="Trưởng tổ",R31="x"),SUMIFS(KT_TRUONG,KT_LOAI,"Tổ",KT_TO,$D31,KT_NGAY,13),SUMIFS(KT_PHAN,KT_LOAI,"Tổ",KT_TO,IF(R31="x",$D31,R31),KT_NGAY,13)))</f>
        <v>0</v>
      </c>
      <c r="AZ31" s="31" t="n">
        <f aca="false">IF(OR($B31="",S31=""),0,IF(AND($E31="Trưởng tổ",S31="x"),SUMIFS(KT_TRUONG,KT_LOAI,"Tổ",KT_TO,$D31,KT_NGAY,14),SUMIFS(KT_PHAN,KT_LOAI,"Tổ",KT_TO,IF(S31="x",$D31,S31),KT_NGAY,14)))</f>
        <v>0</v>
      </c>
      <c r="BA31" s="31" t="n">
        <f aca="false">IF(OR($B31="",T31=""),0,IF(AND($E31="Trưởng tổ",T31="x"),SUMIFS(KT_TRUONG,KT_LOAI,"Tổ",KT_TO,$D31,KT_NGAY,15),SUMIFS(KT_PHAN,KT_LOAI,"Tổ",KT_TO,IF(T31="x",$D31,T31),KT_NGAY,15)))</f>
        <v>0</v>
      </c>
      <c r="BB31" s="31" t="n">
        <f aca="false">IF(OR($B31="",U31=""),0,IF(AND($E31="Trưởng tổ",U31="x"),SUMIFS(KT_TRUONG,KT_LOAI,"Tổ",KT_TO,$D31,KT_NGAY,16),SUMIFS(KT_PHAN,KT_LOAI,"Tổ",KT_TO,IF(U31="x",$D31,U31),KT_NGAY,16)))</f>
        <v>0</v>
      </c>
      <c r="BC31" s="31" t="n">
        <f aca="false">IF(OR($B31="",V31=""),0,IF(AND($E31="Trưởng tổ",V31="x"),SUMIFS(KT_TRUONG,KT_LOAI,"Tổ",KT_TO,$D31,KT_NGAY,17),SUMIFS(KT_PHAN,KT_LOAI,"Tổ",KT_TO,IF(V31="x",$D31,V31),KT_NGAY,17)))</f>
        <v>0</v>
      </c>
      <c r="BD31" s="31" t="n">
        <f aca="false">IF(OR($B31="",W31=""),0,IF(AND($E31="Trưởng tổ",W31="x"),SUMIFS(KT_TRUONG,KT_LOAI,"Tổ",KT_TO,$D31,KT_NGAY,18),SUMIFS(KT_PHAN,KT_LOAI,"Tổ",KT_TO,IF(W31="x",$D31,W31),KT_NGAY,18)))</f>
        <v>0</v>
      </c>
      <c r="BE31" s="31" t="n">
        <f aca="false">IF(OR($B31="",X31=""),0,IF(AND($E31="Trưởng tổ",X31="x"),SUMIFS(KT_TRUONG,KT_LOAI,"Tổ",KT_TO,$D31,KT_NGAY,19),SUMIFS(KT_PHAN,KT_LOAI,"Tổ",KT_TO,IF(X31="x",$D31,X31),KT_NGAY,19)))</f>
        <v>0</v>
      </c>
      <c r="BF31" s="31" t="n">
        <f aca="false">IF(OR($B31="",Y31=""),0,IF(AND($E31="Trưởng tổ",Y31="x"),SUMIFS(KT_TRUONG,KT_LOAI,"Tổ",KT_TO,$D31,KT_NGAY,20),SUMIFS(KT_PHAN,KT_LOAI,"Tổ",KT_TO,IF(Y31="x",$D31,Y31),KT_NGAY,20)))</f>
        <v>0</v>
      </c>
      <c r="BG31" s="31" t="n">
        <f aca="false">IF(OR($B31="",Z31=""),0,IF(AND($E31="Trưởng tổ",Z31="x"),SUMIFS(KT_TRUONG,KT_LOAI,"Tổ",KT_TO,$D31,KT_NGAY,21),SUMIFS(KT_PHAN,KT_LOAI,"Tổ",KT_TO,IF(Z31="x",$D31,Z31),KT_NGAY,21)))</f>
        <v>0</v>
      </c>
      <c r="BH31" s="31" t="n">
        <f aca="false">IF(OR($B31="",AA31=""),0,IF(AND($E31="Trưởng tổ",AA31="x"),SUMIFS(KT_TRUONG,KT_LOAI,"Tổ",KT_TO,$D31,KT_NGAY,22),SUMIFS(KT_PHAN,KT_LOAI,"Tổ",KT_TO,IF(AA31="x",$D31,AA31),KT_NGAY,22)))</f>
        <v>0</v>
      </c>
      <c r="BI31" s="31" t="n">
        <f aca="false">IF(OR($B31="",AB31=""),0,IF(AND($E31="Trưởng tổ",AB31="x"),SUMIFS(KT_TRUONG,KT_LOAI,"Tổ",KT_TO,$D31,KT_NGAY,23),SUMIFS(KT_PHAN,KT_LOAI,"Tổ",KT_TO,IF(AB31="x",$D31,AB31),KT_NGAY,23)))</f>
        <v>0</v>
      </c>
      <c r="BJ31" s="31" t="n">
        <f aca="false">IF(OR($B31="",AC31=""),0,IF(AND($E31="Trưởng tổ",AC31="x"),SUMIFS(KT_TRUONG,KT_LOAI,"Tổ",KT_TO,$D31,KT_NGAY,24),SUMIFS(KT_PHAN,KT_LOAI,"Tổ",KT_TO,IF(AC31="x",$D31,AC31),KT_NGAY,24)))</f>
        <v>0</v>
      </c>
      <c r="BK31" s="31" t="n">
        <f aca="false">IF(OR($B31="",AD31=""),0,IF(AND($E31="Trưởng tổ",AD31="x"),SUMIFS(KT_TRUONG,KT_LOAI,"Tổ",KT_TO,$D31,KT_NGAY,25),SUMIFS(KT_PHAN,KT_LOAI,"Tổ",KT_TO,IF(AD31="x",$D31,AD31),KT_NGAY,25)))</f>
        <v>0</v>
      </c>
      <c r="BL31" s="31" t="n">
        <f aca="false">IF(OR($B31="",AE31=""),0,IF(AND($E31="Trưởng tổ",AE31="x"),SUMIFS(KT_TRUONG,KT_LOAI,"Tổ",KT_TO,$D31,KT_NGAY,26),SUMIFS(KT_PHAN,KT_LOAI,"Tổ",KT_TO,IF(AE31="x",$D31,AE31),KT_NGAY,26)))</f>
        <v>0</v>
      </c>
      <c r="BM31" s="31" t="n">
        <f aca="false">IF(OR($B31="",AF31=""),0,IF(AND($E31="Trưởng tổ",AF31="x"),SUMIFS(KT_TRUONG,KT_LOAI,"Tổ",KT_TO,$D31,KT_NGAY,27),SUMIFS(KT_PHAN,KT_LOAI,"Tổ",KT_TO,IF(AF31="x",$D31,AF31),KT_NGAY,27)))</f>
        <v>0</v>
      </c>
      <c r="BN31" s="31" t="n">
        <f aca="false">IF(OR($B31="",AG31=""),0,IF(AND($E31="Trưởng tổ",AG31="x"),SUMIFS(KT_TRUONG,KT_LOAI,"Tổ",KT_TO,$D31,KT_NGAY,28),SUMIFS(KT_PHAN,KT_LOAI,"Tổ",KT_TO,IF(AG31="x",$D31,AG31),KT_NGAY,28)))</f>
        <v>0</v>
      </c>
      <c r="BO31" s="31" t="n">
        <f aca="false">IF(OR($B31="",AH31=""),0,IF(AND($E31="Trưởng tổ",AH31="x"),SUMIFS(KT_TRUONG,KT_LOAI,"Tổ",KT_TO,$D31,KT_NGAY,29),SUMIFS(KT_PHAN,KT_LOAI,"Tổ",KT_TO,IF(AH31="x",$D31,AH31),KT_NGAY,29)))</f>
        <v>0</v>
      </c>
      <c r="BP31" s="31" t="n">
        <f aca="false">IF(OR($B31="",AI31=""),0,IF(AND($E31="Trưởng tổ",AI31="x"),SUMIFS(KT_TRUONG,KT_LOAI,"Tổ",KT_TO,$D31,KT_NGAY,30),SUMIFS(KT_PHAN,KT_LOAI,"Tổ",KT_TO,IF(AI31="x",$D31,AI31),KT_NGAY,30)))</f>
        <v>0</v>
      </c>
      <c r="BQ31" s="31" t="n">
        <f aca="false">IF(OR($B31="",AJ31=""),0,IF(AND($E31="Trưởng tổ",AJ31="x"),SUMIFS(KT_TRUONG,KT_LOAI,"Tổ",KT_TO,$D31,KT_NGAY,31),SUMIFS(KT_PHAN,KT_LOAI,"Tổ",KT_TO,IF(AJ31="x",$D31,AJ31),KT_NGAY,31)))</f>
        <v>0</v>
      </c>
    </row>
    <row r="32" customFormat="false" ht="15" hidden="false" customHeight="false" outlineLevel="0" collapsed="false">
      <c r="A32" s="17" t="n">
        <f aca="false">IF(B32="","",ROW()-5)</f>
        <v>27</v>
      </c>
      <c r="B32" s="29" t="str">
        <f aca="false">IF(OR(BCC!B32="",BCC!D32&lt;&gt;"Thời vụ HAQT"),"",BCC!B32)</f>
        <v>QT-01</v>
      </c>
      <c r="C32" s="17" t="str">
        <f aca="false">IF(B32="","",BCC!C32)</f>
        <v>Lê Văn Đạt</v>
      </c>
      <c r="D32" s="17" t="str">
        <f aca="false">IF(B32="","",IFERROR(INDEX(NV_TO,MATCH(B32,NV_MA,0)),""))</f>
        <v>Tổ 1</v>
      </c>
      <c r="E32" s="17" t="str">
        <f aca="false">IF(B32="","",IFERROR(INDEX(NV_VT,MATCH(B32,NV_MA,0)),""))</f>
        <v>Trưởng tổ</v>
      </c>
      <c r="F32" s="21"/>
      <c r="G32" s="21"/>
      <c r="H32" s="21"/>
      <c r="I32" s="21"/>
      <c r="J32" s="21"/>
      <c r="K32" s="21"/>
      <c r="L32" s="21"/>
      <c r="M32" s="21"/>
      <c r="N32" s="21"/>
      <c r="O32" s="21"/>
      <c r="P32" s="21"/>
      <c r="Q32" s="21"/>
      <c r="R32" s="21"/>
      <c r="S32" s="21"/>
      <c r="T32" s="21"/>
      <c r="U32" s="21"/>
      <c r="V32" s="21"/>
      <c r="W32" s="21" t="s">
        <v>309</v>
      </c>
      <c r="X32" s="21"/>
      <c r="Y32" s="21"/>
      <c r="Z32" s="21"/>
      <c r="AA32" s="21"/>
      <c r="AB32" s="21" t="s">
        <v>309</v>
      </c>
      <c r="AC32" s="21"/>
      <c r="AD32" s="21"/>
      <c r="AE32" s="21"/>
      <c r="AF32" s="21"/>
      <c r="AG32" s="21"/>
      <c r="AH32" s="21"/>
      <c r="AI32" s="21"/>
      <c r="AJ32" s="21"/>
      <c r="AK32" s="17" t="n">
        <f aca="false">IF(B32="","",COUNTA(F32:AJ32))</f>
        <v>2</v>
      </c>
      <c r="AL32" s="30" t="n">
        <f aca="false">IF(B32="","",SUM(AM32:BQ32))</f>
        <v>835000</v>
      </c>
      <c r="AM32" s="31" t="n">
        <f aca="false">IF(OR($B32="",F32=""),0,IF(AND($E32="Trưởng tổ",F32="x"),SUMIFS(KT_TRUONG,KT_LOAI,"Tổ",KT_TO,$D32,KT_NGAY,1),SUMIFS(KT_PHAN,KT_LOAI,"Tổ",KT_TO,IF(F32="x",$D32,F32),KT_NGAY,1)))</f>
        <v>0</v>
      </c>
      <c r="AN32" s="31" t="n">
        <f aca="false">IF(OR($B32="",G32=""),0,IF(AND($E32="Trưởng tổ",G32="x"),SUMIFS(KT_TRUONG,KT_LOAI,"Tổ",KT_TO,$D32,KT_NGAY,2),SUMIFS(KT_PHAN,KT_LOAI,"Tổ",KT_TO,IF(G32="x",$D32,G32),KT_NGAY,2)))</f>
        <v>0</v>
      </c>
      <c r="AO32" s="31" t="n">
        <f aca="false">IF(OR($B32="",H32=""),0,IF(AND($E32="Trưởng tổ",H32="x"),SUMIFS(KT_TRUONG,KT_LOAI,"Tổ",KT_TO,$D32,KT_NGAY,3),SUMIFS(KT_PHAN,KT_LOAI,"Tổ",KT_TO,IF(H32="x",$D32,H32),KT_NGAY,3)))</f>
        <v>0</v>
      </c>
      <c r="AP32" s="31" t="n">
        <f aca="false">IF(OR($B32="",I32=""),0,IF(AND($E32="Trưởng tổ",I32="x"),SUMIFS(KT_TRUONG,KT_LOAI,"Tổ",KT_TO,$D32,KT_NGAY,4),SUMIFS(KT_PHAN,KT_LOAI,"Tổ",KT_TO,IF(I32="x",$D32,I32),KT_NGAY,4)))</f>
        <v>0</v>
      </c>
      <c r="AQ32" s="31" t="n">
        <f aca="false">IF(OR($B32="",J32=""),0,IF(AND($E32="Trưởng tổ",J32="x"),SUMIFS(KT_TRUONG,KT_LOAI,"Tổ",KT_TO,$D32,KT_NGAY,5),SUMIFS(KT_PHAN,KT_LOAI,"Tổ",KT_TO,IF(J32="x",$D32,J32),KT_NGAY,5)))</f>
        <v>0</v>
      </c>
      <c r="AR32" s="31" t="n">
        <f aca="false">IF(OR($B32="",K32=""),0,IF(AND($E32="Trưởng tổ",K32="x"),SUMIFS(KT_TRUONG,KT_LOAI,"Tổ",KT_TO,$D32,KT_NGAY,6),SUMIFS(KT_PHAN,KT_LOAI,"Tổ",KT_TO,IF(K32="x",$D32,K32),KT_NGAY,6)))</f>
        <v>0</v>
      </c>
      <c r="AS32" s="31" t="n">
        <f aca="false">IF(OR($B32="",L32=""),0,IF(AND($E32="Trưởng tổ",L32="x"),SUMIFS(KT_TRUONG,KT_LOAI,"Tổ",KT_TO,$D32,KT_NGAY,7),SUMIFS(KT_PHAN,KT_LOAI,"Tổ",KT_TO,IF(L32="x",$D32,L32),KT_NGAY,7)))</f>
        <v>0</v>
      </c>
      <c r="AT32" s="31" t="n">
        <f aca="false">IF(OR($B32="",M32=""),0,IF(AND($E32="Trưởng tổ",M32="x"),SUMIFS(KT_TRUONG,KT_LOAI,"Tổ",KT_TO,$D32,KT_NGAY,8),SUMIFS(KT_PHAN,KT_LOAI,"Tổ",KT_TO,IF(M32="x",$D32,M32),KT_NGAY,8)))</f>
        <v>0</v>
      </c>
      <c r="AU32" s="31" t="n">
        <f aca="false">IF(OR($B32="",N32=""),0,IF(AND($E32="Trưởng tổ",N32="x"),SUMIFS(KT_TRUONG,KT_LOAI,"Tổ",KT_TO,$D32,KT_NGAY,9),SUMIFS(KT_PHAN,KT_LOAI,"Tổ",KT_TO,IF(N32="x",$D32,N32),KT_NGAY,9)))</f>
        <v>0</v>
      </c>
      <c r="AV32" s="31" t="n">
        <f aca="false">IF(OR($B32="",O32=""),0,IF(AND($E32="Trưởng tổ",O32="x"),SUMIFS(KT_TRUONG,KT_LOAI,"Tổ",KT_TO,$D32,KT_NGAY,10),SUMIFS(KT_PHAN,KT_LOAI,"Tổ",KT_TO,IF(O32="x",$D32,O32),KT_NGAY,10)))</f>
        <v>0</v>
      </c>
      <c r="AW32" s="31" t="n">
        <f aca="false">IF(OR($B32="",P32=""),0,IF(AND($E32="Trưởng tổ",P32="x"),SUMIFS(KT_TRUONG,KT_LOAI,"Tổ",KT_TO,$D32,KT_NGAY,11),SUMIFS(KT_PHAN,KT_LOAI,"Tổ",KT_TO,IF(P32="x",$D32,P32),KT_NGAY,11)))</f>
        <v>0</v>
      </c>
      <c r="AX32" s="31" t="n">
        <f aca="false">IF(OR($B32="",Q32=""),0,IF(AND($E32="Trưởng tổ",Q32="x"),SUMIFS(KT_TRUONG,KT_LOAI,"Tổ",KT_TO,$D32,KT_NGAY,12),SUMIFS(KT_PHAN,KT_LOAI,"Tổ",KT_TO,IF(Q32="x",$D32,Q32),KT_NGAY,12)))</f>
        <v>0</v>
      </c>
      <c r="AY32" s="31" t="n">
        <f aca="false">IF(OR($B32="",R32=""),0,IF(AND($E32="Trưởng tổ",R32="x"),SUMIFS(KT_TRUONG,KT_LOAI,"Tổ",KT_TO,$D32,KT_NGAY,13),SUMIFS(KT_PHAN,KT_LOAI,"Tổ",KT_TO,IF(R32="x",$D32,R32),KT_NGAY,13)))</f>
        <v>0</v>
      </c>
      <c r="AZ32" s="31" t="n">
        <f aca="false">IF(OR($B32="",S32=""),0,IF(AND($E32="Trưởng tổ",S32="x"),SUMIFS(KT_TRUONG,KT_LOAI,"Tổ",KT_TO,$D32,KT_NGAY,14),SUMIFS(KT_PHAN,KT_LOAI,"Tổ",KT_TO,IF(S32="x",$D32,S32),KT_NGAY,14)))</f>
        <v>0</v>
      </c>
      <c r="BA32" s="31" t="n">
        <f aca="false">IF(OR($B32="",T32=""),0,IF(AND($E32="Trưởng tổ",T32="x"),SUMIFS(KT_TRUONG,KT_LOAI,"Tổ",KT_TO,$D32,KT_NGAY,15),SUMIFS(KT_PHAN,KT_LOAI,"Tổ",KT_TO,IF(T32="x",$D32,T32),KT_NGAY,15)))</f>
        <v>0</v>
      </c>
      <c r="BB32" s="31" t="n">
        <f aca="false">IF(OR($B32="",U32=""),0,IF(AND($E32="Trưởng tổ",U32="x"),SUMIFS(KT_TRUONG,KT_LOAI,"Tổ",KT_TO,$D32,KT_NGAY,16),SUMIFS(KT_PHAN,KT_LOAI,"Tổ",KT_TO,IF(U32="x",$D32,U32),KT_NGAY,16)))</f>
        <v>0</v>
      </c>
      <c r="BC32" s="31" t="n">
        <f aca="false">IF(OR($B32="",V32=""),0,IF(AND($E32="Trưởng tổ",V32="x"),SUMIFS(KT_TRUONG,KT_LOAI,"Tổ",KT_TO,$D32,KT_NGAY,17),SUMIFS(KT_PHAN,KT_LOAI,"Tổ",KT_TO,IF(V32="x",$D32,V32),KT_NGAY,17)))</f>
        <v>0</v>
      </c>
      <c r="BD32" s="31" t="n">
        <f aca="false">IF(OR($B32="",W32=""),0,IF(AND($E32="Trưởng tổ",W32="x"),SUMIFS(KT_TRUONG,KT_LOAI,"Tổ",KT_TO,$D32,KT_NGAY,18),SUMIFS(KT_PHAN,KT_LOAI,"Tổ",KT_TO,IF(W32="x",$D32,W32),KT_NGAY,18)))</f>
        <v>439500</v>
      </c>
      <c r="BE32" s="31" t="n">
        <f aca="false">IF(OR($B32="",X32=""),0,IF(AND($E32="Trưởng tổ",X32="x"),SUMIFS(KT_TRUONG,KT_LOAI,"Tổ",KT_TO,$D32,KT_NGAY,19),SUMIFS(KT_PHAN,KT_LOAI,"Tổ",KT_TO,IF(X32="x",$D32,X32),KT_NGAY,19)))</f>
        <v>0</v>
      </c>
      <c r="BF32" s="31" t="n">
        <f aca="false">IF(OR($B32="",Y32=""),0,IF(AND($E32="Trưởng tổ",Y32="x"),SUMIFS(KT_TRUONG,KT_LOAI,"Tổ",KT_TO,$D32,KT_NGAY,20),SUMIFS(KT_PHAN,KT_LOAI,"Tổ",KT_TO,IF(Y32="x",$D32,Y32),KT_NGAY,20)))</f>
        <v>0</v>
      </c>
      <c r="BG32" s="31" t="n">
        <f aca="false">IF(OR($B32="",Z32=""),0,IF(AND($E32="Trưởng tổ",Z32="x"),SUMIFS(KT_TRUONG,KT_LOAI,"Tổ",KT_TO,$D32,KT_NGAY,21),SUMIFS(KT_PHAN,KT_LOAI,"Tổ",KT_TO,IF(Z32="x",$D32,Z32),KT_NGAY,21)))</f>
        <v>0</v>
      </c>
      <c r="BH32" s="31" t="n">
        <f aca="false">IF(OR($B32="",AA32=""),0,IF(AND($E32="Trưởng tổ",AA32="x"),SUMIFS(KT_TRUONG,KT_LOAI,"Tổ",KT_TO,$D32,KT_NGAY,22),SUMIFS(KT_PHAN,KT_LOAI,"Tổ",KT_TO,IF(AA32="x",$D32,AA32),KT_NGAY,22)))</f>
        <v>0</v>
      </c>
      <c r="BI32" s="31" t="n">
        <f aca="false">IF(OR($B32="",AB32=""),0,IF(AND($E32="Trưởng tổ",AB32="x"),SUMIFS(KT_TRUONG,KT_LOAI,"Tổ",KT_TO,$D32,KT_NGAY,23),SUMIFS(KT_PHAN,KT_LOAI,"Tổ",KT_TO,IF(AB32="x",$D32,AB32),KT_NGAY,23)))</f>
        <v>395500</v>
      </c>
      <c r="BJ32" s="31" t="n">
        <f aca="false">IF(OR($B32="",AC32=""),0,IF(AND($E32="Trưởng tổ",AC32="x"),SUMIFS(KT_TRUONG,KT_LOAI,"Tổ",KT_TO,$D32,KT_NGAY,24),SUMIFS(KT_PHAN,KT_LOAI,"Tổ",KT_TO,IF(AC32="x",$D32,AC32),KT_NGAY,24)))</f>
        <v>0</v>
      </c>
      <c r="BK32" s="31" t="n">
        <f aca="false">IF(OR($B32="",AD32=""),0,IF(AND($E32="Trưởng tổ",AD32="x"),SUMIFS(KT_TRUONG,KT_LOAI,"Tổ",KT_TO,$D32,KT_NGAY,25),SUMIFS(KT_PHAN,KT_LOAI,"Tổ",KT_TO,IF(AD32="x",$D32,AD32),KT_NGAY,25)))</f>
        <v>0</v>
      </c>
      <c r="BL32" s="31" t="n">
        <f aca="false">IF(OR($B32="",AE32=""),0,IF(AND($E32="Trưởng tổ",AE32="x"),SUMIFS(KT_TRUONG,KT_LOAI,"Tổ",KT_TO,$D32,KT_NGAY,26),SUMIFS(KT_PHAN,KT_LOAI,"Tổ",KT_TO,IF(AE32="x",$D32,AE32),KT_NGAY,26)))</f>
        <v>0</v>
      </c>
      <c r="BM32" s="31" t="n">
        <f aca="false">IF(OR($B32="",AF32=""),0,IF(AND($E32="Trưởng tổ",AF32="x"),SUMIFS(KT_TRUONG,KT_LOAI,"Tổ",KT_TO,$D32,KT_NGAY,27),SUMIFS(KT_PHAN,KT_LOAI,"Tổ",KT_TO,IF(AF32="x",$D32,AF32),KT_NGAY,27)))</f>
        <v>0</v>
      </c>
      <c r="BN32" s="31" t="n">
        <f aca="false">IF(OR($B32="",AG32=""),0,IF(AND($E32="Trưởng tổ",AG32="x"),SUMIFS(KT_TRUONG,KT_LOAI,"Tổ",KT_TO,$D32,KT_NGAY,28),SUMIFS(KT_PHAN,KT_LOAI,"Tổ",KT_TO,IF(AG32="x",$D32,AG32),KT_NGAY,28)))</f>
        <v>0</v>
      </c>
      <c r="BO32" s="31" t="n">
        <f aca="false">IF(OR($B32="",AH32=""),0,IF(AND($E32="Trưởng tổ",AH32="x"),SUMIFS(KT_TRUONG,KT_LOAI,"Tổ",KT_TO,$D32,KT_NGAY,29),SUMIFS(KT_PHAN,KT_LOAI,"Tổ",KT_TO,IF(AH32="x",$D32,AH32),KT_NGAY,29)))</f>
        <v>0</v>
      </c>
      <c r="BP32" s="31" t="n">
        <f aca="false">IF(OR($B32="",AI32=""),0,IF(AND($E32="Trưởng tổ",AI32="x"),SUMIFS(KT_TRUONG,KT_LOAI,"Tổ",KT_TO,$D32,KT_NGAY,30),SUMIFS(KT_PHAN,KT_LOAI,"Tổ",KT_TO,IF(AI32="x",$D32,AI32),KT_NGAY,30)))</f>
        <v>0</v>
      </c>
      <c r="BQ32" s="31" t="n">
        <f aca="false">IF(OR($B32="",AJ32=""),0,IF(AND($E32="Trưởng tổ",AJ32="x"),SUMIFS(KT_TRUONG,KT_LOAI,"Tổ",KT_TO,$D32,KT_NGAY,31),SUMIFS(KT_PHAN,KT_LOAI,"Tổ",KT_TO,IF(AJ32="x",$D32,AJ32),KT_NGAY,31)))</f>
        <v>0</v>
      </c>
    </row>
    <row r="33" customFormat="false" ht="15" hidden="false" customHeight="false" outlineLevel="0" collapsed="false">
      <c r="A33" s="17" t="n">
        <f aca="false">IF(B33="","",ROW()-5)</f>
        <v>28</v>
      </c>
      <c r="B33" s="29" t="str">
        <f aca="false">IF(OR(BCC!B33="",BCC!D33&lt;&gt;"Thời vụ HAQT"),"",BCC!B33)</f>
        <v>QT-02</v>
      </c>
      <c r="C33" s="17" t="str">
        <f aca="false">IF(B33="","",BCC!C33)</f>
        <v>Nguyễn Văn Ánh</v>
      </c>
      <c r="D33" s="17" t="str">
        <f aca="false">IF(B33="","",IFERROR(INDEX(NV_TO,MATCH(B33,NV_MA,0)),""))</f>
        <v>Tổ 1</v>
      </c>
      <c r="E33" s="17" t="str">
        <f aca="false">IF(B33="","",IFERROR(INDEX(NV_VT,MATCH(B33,NV_MA,0)),""))</f>
        <v>Thành viên</v>
      </c>
      <c r="F33" s="21"/>
      <c r="G33" s="21"/>
      <c r="H33" s="21"/>
      <c r="I33" s="21"/>
      <c r="J33" s="21"/>
      <c r="K33" s="21"/>
      <c r="L33" s="21"/>
      <c r="M33" s="21"/>
      <c r="N33" s="21"/>
      <c r="O33" s="21"/>
      <c r="P33" s="21"/>
      <c r="Q33" s="21"/>
      <c r="R33" s="21"/>
      <c r="S33" s="21"/>
      <c r="T33" s="21"/>
      <c r="U33" s="21"/>
      <c r="V33" s="21"/>
      <c r="W33" s="21" t="s">
        <v>309</v>
      </c>
      <c r="X33" s="21"/>
      <c r="Y33" s="21"/>
      <c r="Z33" s="21"/>
      <c r="AA33" s="21"/>
      <c r="AB33" s="21" t="s">
        <v>309</v>
      </c>
      <c r="AC33" s="21"/>
      <c r="AD33" s="21"/>
      <c r="AE33" s="21"/>
      <c r="AF33" s="21"/>
      <c r="AG33" s="21"/>
      <c r="AH33" s="21"/>
      <c r="AI33" s="21"/>
      <c r="AJ33" s="21"/>
      <c r="AK33" s="17" t="n">
        <f aca="false">IF(B33="","",COUNTA(F33:AJ33))</f>
        <v>2</v>
      </c>
      <c r="AL33" s="30" t="n">
        <f aca="false">IF(B33="","",SUM(AM33:BQ33))</f>
        <v>828000</v>
      </c>
      <c r="AM33" s="31" t="n">
        <f aca="false">IF(OR($B33="",F33=""),0,IF(AND($E33="Trưởng tổ",F33="x"),SUMIFS(KT_TRUONG,KT_LOAI,"Tổ",KT_TO,$D33,KT_NGAY,1),SUMIFS(KT_PHAN,KT_LOAI,"Tổ",KT_TO,IF(F33="x",$D33,F33),KT_NGAY,1)))</f>
        <v>0</v>
      </c>
      <c r="AN33" s="31" t="n">
        <f aca="false">IF(OR($B33="",G33=""),0,IF(AND($E33="Trưởng tổ",G33="x"),SUMIFS(KT_TRUONG,KT_LOAI,"Tổ",KT_TO,$D33,KT_NGAY,2),SUMIFS(KT_PHAN,KT_LOAI,"Tổ",KT_TO,IF(G33="x",$D33,G33),KT_NGAY,2)))</f>
        <v>0</v>
      </c>
      <c r="AO33" s="31" t="n">
        <f aca="false">IF(OR($B33="",H33=""),0,IF(AND($E33="Trưởng tổ",H33="x"),SUMIFS(KT_TRUONG,KT_LOAI,"Tổ",KT_TO,$D33,KT_NGAY,3),SUMIFS(KT_PHAN,KT_LOAI,"Tổ",KT_TO,IF(H33="x",$D33,H33),KT_NGAY,3)))</f>
        <v>0</v>
      </c>
      <c r="AP33" s="31" t="n">
        <f aca="false">IF(OR($B33="",I33=""),0,IF(AND($E33="Trưởng tổ",I33="x"),SUMIFS(KT_TRUONG,KT_LOAI,"Tổ",KT_TO,$D33,KT_NGAY,4),SUMIFS(KT_PHAN,KT_LOAI,"Tổ",KT_TO,IF(I33="x",$D33,I33),KT_NGAY,4)))</f>
        <v>0</v>
      </c>
      <c r="AQ33" s="31" t="n">
        <f aca="false">IF(OR($B33="",J33=""),0,IF(AND($E33="Trưởng tổ",J33="x"),SUMIFS(KT_TRUONG,KT_LOAI,"Tổ",KT_TO,$D33,KT_NGAY,5),SUMIFS(KT_PHAN,KT_LOAI,"Tổ",KT_TO,IF(J33="x",$D33,J33),KT_NGAY,5)))</f>
        <v>0</v>
      </c>
      <c r="AR33" s="31" t="n">
        <f aca="false">IF(OR($B33="",K33=""),0,IF(AND($E33="Trưởng tổ",K33="x"),SUMIFS(KT_TRUONG,KT_LOAI,"Tổ",KT_TO,$D33,KT_NGAY,6),SUMIFS(KT_PHAN,KT_LOAI,"Tổ",KT_TO,IF(K33="x",$D33,K33),KT_NGAY,6)))</f>
        <v>0</v>
      </c>
      <c r="AS33" s="31" t="n">
        <f aca="false">IF(OR($B33="",L33=""),0,IF(AND($E33="Trưởng tổ",L33="x"),SUMIFS(KT_TRUONG,KT_LOAI,"Tổ",KT_TO,$D33,KT_NGAY,7),SUMIFS(KT_PHAN,KT_LOAI,"Tổ",KT_TO,IF(L33="x",$D33,L33),KT_NGAY,7)))</f>
        <v>0</v>
      </c>
      <c r="AT33" s="31" t="n">
        <f aca="false">IF(OR($B33="",M33=""),0,IF(AND($E33="Trưởng tổ",M33="x"),SUMIFS(KT_TRUONG,KT_LOAI,"Tổ",KT_TO,$D33,KT_NGAY,8),SUMIFS(KT_PHAN,KT_LOAI,"Tổ",KT_TO,IF(M33="x",$D33,M33),KT_NGAY,8)))</f>
        <v>0</v>
      </c>
      <c r="AU33" s="31" t="n">
        <f aca="false">IF(OR($B33="",N33=""),0,IF(AND($E33="Trưởng tổ",N33="x"),SUMIFS(KT_TRUONG,KT_LOAI,"Tổ",KT_TO,$D33,KT_NGAY,9),SUMIFS(KT_PHAN,KT_LOAI,"Tổ",KT_TO,IF(N33="x",$D33,N33),KT_NGAY,9)))</f>
        <v>0</v>
      </c>
      <c r="AV33" s="31" t="n">
        <f aca="false">IF(OR($B33="",O33=""),0,IF(AND($E33="Trưởng tổ",O33="x"),SUMIFS(KT_TRUONG,KT_LOAI,"Tổ",KT_TO,$D33,KT_NGAY,10),SUMIFS(KT_PHAN,KT_LOAI,"Tổ",KT_TO,IF(O33="x",$D33,O33),KT_NGAY,10)))</f>
        <v>0</v>
      </c>
      <c r="AW33" s="31" t="n">
        <f aca="false">IF(OR($B33="",P33=""),0,IF(AND($E33="Trưởng tổ",P33="x"),SUMIFS(KT_TRUONG,KT_LOAI,"Tổ",KT_TO,$D33,KT_NGAY,11),SUMIFS(KT_PHAN,KT_LOAI,"Tổ",KT_TO,IF(P33="x",$D33,P33),KT_NGAY,11)))</f>
        <v>0</v>
      </c>
      <c r="AX33" s="31" t="n">
        <f aca="false">IF(OR($B33="",Q33=""),0,IF(AND($E33="Trưởng tổ",Q33="x"),SUMIFS(KT_TRUONG,KT_LOAI,"Tổ",KT_TO,$D33,KT_NGAY,12),SUMIFS(KT_PHAN,KT_LOAI,"Tổ",KT_TO,IF(Q33="x",$D33,Q33),KT_NGAY,12)))</f>
        <v>0</v>
      </c>
      <c r="AY33" s="31" t="n">
        <f aca="false">IF(OR($B33="",R33=""),0,IF(AND($E33="Trưởng tổ",R33="x"),SUMIFS(KT_TRUONG,KT_LOAI,"Tổ",KT_TO,$D33,KT_NGAY,13),SUMIFS(KT_PHAN,KT_LOAI,"Tổ",KT_TO,IF(R33="x",$D33,R33),KT_NGAY,13)))</f>
        <v>0</v>
      </c>
      <c r="AZ33" s="31" t="n">
        <f aca="false">IF(OR($B33="",S33=""),0,IF(AND($E33="Trưởng tổ",S33="x"),SUMIFS(KT_TRUONG,KT_LOAI,"Tổ",KT_TO,$D33,KT_NGAY,14),SUMIFS(KT_PHAN,KT_LOAI,"Tổ",KT_TO,IF(S33="x",$D33,S33),KT_NGAY,14)))</f>
        <v>0</v>
      </c>
      <c r="BA33" s="31" t="n">
        <f aca="false">IF(OR($B33="",T33=""),0,IF(AND($E33="Trưởng tổ",T33="x"),SUMIFS(KT_TRUONG,KT_LOAI,"Tổ",KT_TO,$D33,KT_NGAY,15),SUMIFS(KT_PHAN,KT_LOAI,"Tổ",KT_TO,IF(T33="x",$D33,T33),KT_NGAY,15)))</f>
        <v>0</v>
      </c>
      <c r="BB33" s="31" t="n">
        <f aca="false">IF(OR($B33="",U33=""),0,IF(AND($E33="Trưởng tổ",U33="x"),SUMIFS(KT_TRUONG,KT_LOAI,"Tổ",KT_TO,$D33,KT_NGAY,16),SUMIFS(KT_PHAN,KT_LOAI,"Tổ",KT_TO,IF(U33="x",$D33,U33),KT_NGAY,16)))</f>
        <v>0</v>
      </c>
      <c r="BC33" s="31" t="n">
        <f aca="false">IF(OR($B33="",V33=""),0,IF(AND($E33="Trưởng tổ",V33="x"),SUMIFS(KT_TRUONG,KT_LOAI,"Tổ",KT_TO,$D33,KT_NGAY,17),SUMIFS(KT_PHAN,KT_LOAI,"Tổ",KT_TO,IF(V33="x",$D33,V33),KT_NGAY,17)))</f>
        <v>0</v>
      </c>
      <c r="BD33" s="31" t="n">
        <f aca="false">IF(OR($B33="",W33=""),0,IF(AND($E33="Trưởng tổ",W33="x"),SUMIFS(KT_TRUONG,KT_LOAI,"Tổ",KT_TO,$D33,KT_NGAY,18),SUMIFS(KT_PHAN,KT_LOAI,"Tổ",KT_TO,IF(W33="x",$D33,W33),KT_NGAY,18)))</f>
        <v>439000</v>
      </c>
      <c r="BE33" s="31" t="n">
        <f aca="false">IF(OR($B33="",X33=""),0,IF(AND($E33="Trưởng tổ",X33="x"),SUMIFS(KT_TRUONG,KT_LOAI,"Tổ",KT_TO,$D33,KT_NGAY,19),SUMIFS(KT_PHAN,KT_LOAI,"Tổ",KT_TO,IF(X33="x",$D33,X33),KT_NGAY,19)))</f>
        <v>0</v>
      </c>
      <c r="BF33" s="31" t="n">
        <f aca="false">IF(OR($B33="",Y33=""),0,IF(AND($E33="Trưởng tổ",Y33="x"),SUMIFS(KT_TRUONG,KT_LOAI,"Tổ",KT_TO,$D33,KT_NGAY,20),SUMIFS(KT_PHAN,KT_LOAI,"Tổ",KT_TO,IF(Y33="x",$D33,Y33),KT_NGAY,20)))</f>
        <v>0</v>
      </c>
      <c r="BG33" s="31" t="n">
        <f aca="false">IF(OR($B33="",Z33=""),0,IF(AND($E33="Trưởng tổ",Z33="x"),SUMIFS(KT_TRUONG,KT_LOAI,"Tổ",KT_TO,$D33,KT_NGAY,21),SUMIFS(KT_PHAN,KT_LOAI,"Tổ",KT_TO,IF(Z33="x",$D33,Z33),KT_NGAY,21)))</f>
        <v>0</v>
      </c>
      <c r="BH33" s="31" t="n">
        <f aca="false">IF(OR($B33="",AA33=""),0,IF(AND($E33="Trưởng tổ",AA33="x"),SUMIFS(KT_TRUONG,KT_LOAI,"Tổ",KT_TO,$D33,KT_NGAY,22),SUMIFS(KT_PHAN,KT_LOAI,"Tổ",KT_TO,IF(AA33="x",$D33,AA33),KT_NGAY,22)))</f>
        <v>0</v>
      </c>
      <c r="BI33" s="31" t="n">
        <f aca="false">IF(OR($B33="",AB33=""),0,IF(AND($E33="Trưởng tổ",AB33="x"),SUMIFS(KT_TRUONG,KT_LOAI,"Tổ",KT_TO,$D33,KT_NGAY,23),SUMIFS(KT_PHAN,KT_LOAI,"Tổ",KT_TO,IF(AB33="x",$D33,AB33),KT_NGAY,23)))</f>
        <v>389000</v>
      </c>
      <c r="BJ33" s="31" t="n">
        <f aca="false">IF(OR($B33="",AC33=""),0,IF(AND($E33="Trưởng tổ",AC33="x"),SUMIFS(KT_TRUONG,KT_LOAI,"Tổ",KT_TO,$D33,KT_NGAY,24),SUMIFS(KT_PHAN,KT_LOAI,"Tổ",KT_TO,IF(AC33="x",$D33,AC33),KT_NGAY,24)))</f>
        <v>0</v>
      </c>
      <c r="BK33" s="31" t="n">
        <f aca="false">IF(OR($B33="",AD33=""),0,IF(AND($E33="Trưởng tổ",AD33="x"),SUMIFS(KT_TRUONG,KT_LOAI,"Tổ",KT_TO,$D33,KT_NGAY,25),SUMIFS(KT_PHAN,KT_LOAI,"Tổ",KT_TO,IF(AD33="x",$D33,AD33),KT_NGAY,25)))</f>
        <v>0</v>
      </c>
      <c r="BL33" s="31" t="n">
        <f aca="false">IF(OR($B33="",AE33=""),0,IF(AND($E33="Trưởng tổ",AE33="x"),SUMIFS(KT_TRUONG,KT_LOAI,"Tổ",KT_TO,$D33,KT_NGAY,26),SUMIFS(KT_PHAN,KT_LOAI,"Tổ",KT_TO,IF(AE33="x",$D33,AE33),KT_NGAY,26)))</f>
        <v>0</v>
      </c>
      <c r="BM33" s="31" t="n">
        <f aca="false">IF(OR($B33="",AF33=""),0,IF(AND($E33="Trưởng tổ",AF33="x"),SUMIFS(KT_TRUONG,KT_LOAI,"Tổ",KT_TO,$D33,KT_NGAY,27),SUMIFS(KT_PHAN,KT_LOAI,"Tổ",KT_TO,IF(AF33="x",$D33,AF33),KT_NGAY,27)))</f>
        <v>0</v>
      </c>
      <c r="BN33" s="31" t="n">
        <f aca="false">IF(OR($B33="",AG33=""),0,IF(AND($E33="Trưởng tổ",AG33="x"),SUMIFS(KT_TRUONG,KT_LOAI,"Tổ",KT_TO,$D33,KT_NGAY,28),SUMIFS(KT_PHAN,KT_LOAI,"Tổ",KT_TO,IF(AG33="x",$D33,AG33),KT_NGAY,28)))</f>
        <v>0</v>
      </c>
      <c r="BO33" s="31" t="n">
        <f aca="false">IF(OR($B33="",AH33=""),0,IF(AND($E33="Trưởng tổ",AH33="x"),SUMIFS(KT_TRUONG,KT_LOAI,"Tổ",KT_TO,$D33,KT_NGAY,29),SUMIFS(KT_PHAN,KT_LOAI,"Tổ",KT_TO,IF(AH33="x",$D33,AH33),KT_NGAY,29)))</f>
        <v>0</v>
      </c>
      <c r="BP33" s="31" t="n">
        <f aca="false">IF(OR($B33="",AI33=""),0,IF(AND($E33="Trưởng tổ",AI33="x"),SUMIFS(KT_TRUONG,KT_LOAI,"Tổ",KT_TO,$D33,KT_NGAY,30),SUMIFS(KT_PHAN,KT_LOAI,"Tổ",KT_TO,IF(AI33="x",$D33,AI33),KT_NGAY,30)))</f>
        <v>0</v>
      </c>
      <c r="BQ33" s="31" t="n">
        <f aca="false">IF(OR($B33="",AJ33=""),0,IF(AND($E33="Trưởng tổ",AJ33="x"),SUMIFS(KT_TRUONG,KT_LOAI,"Tổ",KT_TO,$D33,KT_NGAY,31),SUMIFS(KT_PHAN,KT_LOAI,"Tổ",KT_TO,IF(AJ33="x",$D33,AJ33),KT_NGAY,31)))</f>
        <v>0</v>
      </c>
    </row>
    <row r="34" customFormat="false" ht="15" hidden="false" customHeight="false" outlineLevel="0" collapsed="false">
      <c r="A34" s="17" t="n">
        <f aca="false">IF(B34="","",ROW()-5)</f>
        <v>29</v>
      </c>
      <c r="B34" s="29" t="str">
        <f aca="false">IF(OR(BCC!B34="",BCC!D34&lt;&gt;"Thời vụ HAQT"),"",BCC!B34)</f>
        <v>QT-03</v>
      </c>
      <c r="C34" s="17" t="str">
        <f aca="false">IF(B34="","",BCC!C34)</f>
        <v>Lê Đăng Đức</v>
      </c>
      <c r="D34" s="17" t="str">
        <f aca="false">IF(B34="","",IFERROR(INDEX(NV_TO,MATCH(B34,NV_MA,0)),""))</f>
        <v>Tổ 1</v>
      </c>
      <c r="E34" s="17" t="str">
        <f aca="false">IF(B34="","",IFERROR(INDEX(NV_VT,MATCH(B34,NV_MA,0)),""))</f>
        <v>Thành viên</v>
      </c>
      <c r="F34" s="21"/>
      <c r="G34" s="21"/>
      <c r="H34" s="21"/>
      <c r="I34" s="21"/>
      <c r="J34" s="21"/>
      <c r="K34" s="21"/>
      <c r="L34" s="21"/>
      <c r="M34" s="21"/>
      <c r="N34" s="21"/>
      <c r="O34" s="21"/>
      <c r="P34" s="21"/>
      <c r="Q34" s="21"/>
      <c r="R34" s="21"/>
      <c r="S34" s="21"/>
      <c r="T34" s="21"/>
      <c r="U34" s="21"/>
      <c r="V34" s="21"/>
      <c r="W34" s="21"/>
      <c r="X34" s="21"/>
      <c r="Y34" s="21"/>
      <c r="Z34" s="21"/>
      <c r="AA34" s="21"/>
      <c r="AB34" s="21" t="s">
        <v>309</v>
      </c>
      <c r="AC34" s="21"/>
      <c r="AD34" s="21"/>
      <c r="AE34" s="21"/>
      <c r="AF34" s="21"/>
      <c r="AG34" s="21"/>
      <c r="AH34" s="21"/>
      <c r="AI34" s="21"/>
      <c r="AJ34" s="21"/>
      <c r="AK34" s="17" t="n">
        <f aca="false">IF(B34="","",COUNTA(F34:AJ34))</f>
        <v>1</v>
      </c>
      <c r="AL34" s="30" t="n">
        <f aca="false">IF(B34="","",SUM(AM34:BQ34))</f>
        <v>389000</v>
      </c>
      <c r="AM34" s="31" t="n">
        <f aca="false">IF(OR($B34="",F34=""),0,IF(AND($E34="Trưởng tổ",F34="x"),SUMIFS(KT_TRUONG,KT_LOAI,"Tổ",KT_TO,$D34,KT_NGAY,1),SUMIFS(KT_PHAN,KT_LOAI,"Tổ",KT_TO,IF(F34="x",$D34,F34),KT_NGAY,1)))</f>
        <v>0</v>
      </c>
      <c r="AN34" s="31" t="n">
        <f aca="false">IF(OR($B34="",G34=""),0,IF(AND($E34="Trưởng tổ",G34="x"),SUMIFS(KT_TRUONG,KT_LOAI,"Tổ",KT_TO,$D34,KT_NGAY,2),SUMIFS(KT_PHAN,KT_LOAI,"Tổ",KT_TO,IF(G34="x",$D34,G34),KT_NGAY,2)))</f>
        <v>0</v>
      </c>
      <c r="AO34" s="31" t="n">
        <f aca="false">IF(OR($B34="",H34=""),0,IF(AND($E34="Trưởng tổ",H34="x"),SUMIFS(KT_TRUONG,KT_LOAI,"Tổ",KT_TO,$D34,KT_NGAY,3),SUMIFS(KT_PHAN,KT_LOAI,"Tổ",KT_TO,IF(H34="x",$D34,H34),KT_NGAY,3)))</f>
        <v>0</v>
      </c>
      <c r="AP34" s="31" t="n">
        <f aca="false">IF(OR($B34="",I34=""),0,IF(AND($E34="Trưởng tổ",I34="x"),SUMIFS(KT_TRUONG,KT_LOAI,"Tổ",KT_TO,$D34,KT_NGAY,4),SUMIFS(KT_PHAN,KT_LOAI,"Tổ",KT_TO,IF(I34="x",$D34,I34),KT_NGAY,4)))</f>
        <v>0</v>
      </c>
      <c r="AQ34" s="31" t="n">
        <f aca="false">IF(OR($B34="",J34=""),0,IF(AND($E34="Trưởng tổ",J34="x"),SUMIFS(KT_TRUONG,KT_LOAI,"Tổ",KT_TO,$D34,KT_NGAY,5),SUMIFS(KT_PHAN,KT_LOAI,"Tổ",KT_TO,IF(J34="x",$D34,J34),KT_NGAY,5)))</f>
        <v>0</v>
      </c>
      <c r="AR34" s="31" t="n">
        <f aca="false">IF(OR($B34="",K34=""),0,IF(AND($E34="Trưởng tổ",K34="x"),SUMIFS(KT_TRUONG,KT_LOAI,"Tổ",KT_TO,$D34,KT_NGAY,6),SUMIFS(KT_PHAN,KT_LOAI,"Tổ",KT_TO,IF(K34="x",$D34,K34),KT_NGAY,6)))</f>
        <v>0</v>
      </c>
      <c r="AS34" s="31" t="n">
        <f aca="false">IF(OR($B34="",L34=""),0,IF(AND($E34="Trưởng tổ",L34="x"),SUMIFS(KT_TRUONG,KT_LOAI,"Tổ",KT_TO,$D34,KT_NGAY,7),SUMIFS(KT_PHAN,KT_LOAI,"Tổ",KT_TO,IF(L34="x",$D34,L34),KT_NGAY,7)))</f>
        <v>0</v>
      </c>
      <c r="AT34" s="31" t="n">
        <f aca="false">IF(OR($B34="",M34=""),0,IF(AND($E34="Trưởng tổ",M34="x"),SUMIFS(KT_TRUONG,KT_LOAI,"Tổ",KT_TO,$D34,KT_NGAY,8),SUMIFS(KT_PHAN,KT_LOAI,"Tổ",KT_TO,IF(M34="x",$D34,M34),KT_NGAY,8)))</f>
        <v>0</v>
      </c>
      <c r="AU34" s="31" t="n">
        <f aca="false">IF(OR($B34="",N34=""),0,IF(AND($E34="Trưởng tổ",N34="x"),SUMIFS(KT_TRUONG,KT_LOAI,"Tổ",KT_TO,$D34,KT_NGAY,9),SUMIFS(KT_PHAN,KT_LOAI,"Tổ",KT_TO,IF(N34="x",$D34,N34),KT_NGAY,9)))</f>
        <v>0</v>
      </c>
      <c r="AV34" s="31" t="n">
        <f aca="false">IF(OR($B34="",O34=""),0,IF(AND($E34="Trưởng tổ",O34="x"),SUMIFS(KT_TRUONG,KT_LOAI,"Tổ",KT_TO,$D34,KT_NGAY,10),SUMIFS(KT_PHAN,KT_LOAI,"Tổ",KT_TO,IF(O34="x",$D34,O34),KT_NGAY,10)))</f>
        <v>0</v>
      </c>
      <c r="AW34" s="31" t="n">
        <f aca="false">IF(OR($B34="",P34=""),0,IF(AND($E34="Trưởng tổ",P34="x"),SUMIFS(KT_TRUONG,KT_LOAI,"Tổ",KT_TO,$D34,KT_NGAY,11),SUMIFS(KT_PHAN,KT_LOAI,"Tổ",KT_TO,IF(P34="x",$D34,P34),KT_NGAY,11)))</f>
        <v>0</v>
      </c>
      <c r="AX34" s="31" t="n">
        <f aca="false">IF(OR($B34="",Q34=""),0,IF(AND($E34="Trưởng tổ",Q34="x"),SUMIFS(KT_TRUONG,KT_LOAI,"Tổ",KT_TO,$D34,KT_NGAY,12),SUMIFS(KT_PHAN,KT_LOAI,"Tổ",KT_TO,IF(Q34="x",$D34,Q34),KT_NGAY,12)))</f>
        <v>0</v>
      </c>
      <c r="AY34" s="31" t="n">
        <f aca="false">IF(OR($B34="",R34=""),0,IF(AND($E34="Trưởng tổ",R34="x"),SUMIFS(KT_TRUONG,KT_LOAI,"Tổ",KT_TO,$D34,KT_NGAY,13),SUMIFS(KT_PHAN,KT_LOAI,"Tổ",KT_TO,IF(R34="x",$D34,R34),KT_NGAY,13)))</f>
        <v>0</v>
      </c>
      <c r="AZ34" s="31" t="n">
        <f aca="false">IF(OR($B34="",S34=""),0,IF(AND($E34="Trưởng tổ",S34="x"),SUMIFS(KT_TRUONG,KT_LOAI,"Tổ",KT_TO,$D34,KT_NGAY,14),SUMIFS(KT_PHAN,KT_LOAI,"Tổ",KT_TO,IF(S34="x",$D34,S34),KT_NGAY,14)))</f>
        <v>0</v>
      </c>
      <c r="BA34" s="31" t="n">
        <f aca="false">IF(OR($B34="",T34=""),0,IF(AND($E34="Trưởng tổ",T34="x"),SUMIFS(KT_TRUONG,KT_LOAI,"Tổ",KT_TO,$D34,KT_NGAY,15),SUMIFS(KT_PHAN,KT_LOAI,"Tổ",KT_TO,IF(T34="x",$D34,T34),KT_NGAY,15)))</f>
        <v>0</v>
      </c>
      <c r="BB34" s="31" t="n">
        <f aca="false">IF(OR($B34="",U34=""),0,IF(AND($E34="Trưởng tổ",U34="x"),SUMIFS(KT_TRUONG,KT_LOAI,"Tổ",KT_TO,$D34,KT_NGAY,16),SUMIFS(KT_PHAN,KT_LOAI,"Tổ",KT_TO,IF(U34="x",$D34,U34),KT_NGAY,16)))</f>
        <v>0</v>
      </c>
      <c r="BC34" s="31" t="n">
        <f aca="false">IF(OR($B34="",V34=""),0,IF(AND($E34="Trưởng tổ",V34="x"),SUMIFS(KT_TRUONG,KT_LOAI,"Tổ",KT_TO,$D34,KT_NGAY,17),SUMIFS(KT_PHAN,KT_LOAI,"Tổ",KT_TO,IF(V34="x",$D34,V34),KT_NGAY,17)))</f>
        <v>0</v>
      </c>
      <c r="BD34" s="31" t="n">
        <f aca="false">IF(OR($B34="",W34=""),0,IF(AND($E34="Trưởng tổ",W34="x"),SUMIFS(KT_TRUONG,KT_LOAI,"Tổ",KT_TO,$D34,KT_NGAY,18),SUMIFS(KT_PHAN,KT_LOAI,"Tổ",KT_TO,IF(W34="x",$D34,W34),KT_NGAY,18)))</f>
        <v>0</v>
      </c>
      <c r="BE34" s="31" t="n">
        <f aca="false">IF(OR($B34="",X34=""),0,IF(AND($E34="Trưởng tổ",X34="x"),SUMIFS(KT_TRUONG,KT_LOAI,"Tổ",KT_TO,$D34,KT_NGAY,19),SUMIFS(KT_PHAN,KT_LOAI,"Tổ",KT_TO,IF(X34="x",$D34,X34),KT_NGAY,19)))</f>
        <v>0</v>
      </c>
      <c r="BF34" s="31" t="n">
        <f aca="false">IF(OR($B34="",Y34=""),0,IF(AND($E34="Trưởng tổ",Y34="x"),SUMIFS(KT_TRUONG,KT_LOAI,"Tổ",KT_TO,$D34,KT_NGAY,20),SUMIFS(KT_PHAN,KT_LOAI,"Tổ",KT_TO,IF(Y34="x",$D34,Y34),KT_NGAY,20)))</f>
        <v>0</v>
      </c>
      <c r="BG34" s="31" t="n">
        <f aca="false">IF(OR($B34="",Z34=""),0,IF(AND($E34="Trưởng tổ",Z34="x"),SUMIFS(KT_TRUONG,KT_LOAI,"Tổ",KT_TO,$D34,KT_NGAY,21),SUMIFS(KT_PHAN,KT_LOAI,"Tổ",KT_TO,IF(Z34="x",$D34,Z34),KT_NGAY,21)))</f>
        <v>0</v>
      </c>
      <c r="BH34" s="31" t="n">
        <f aca="false">IF(OR($B34="",AA34=""),0,IF(AND($E34="Trưởng tổ",AA34="x"),SUMIFS(KT_TRUONG,KT_LOAI,"Tổ",KT_TO,$D34,KT_NGAY,22),SUMIFS(KT_PHAN,KT_LOAI,"Tổ",KT_TO,IF(AA34="x",$D34,AA34),KT_NGAY,22)))</f>
        <v>0</v>
      </c>
      <c r="BI34" s="31" t="n">
        <f aca="false">IF(OR($B34="",AB34=""),0,IF(AND($E34="Trưởng tổ",AB34="x"),SUMIFS(KT_TRUONG,KT_LOAI,"Tổ",KT_TO,$D34,KT_NGAY,23),SUMIFS(KT_PHAN,KT_LOAI,"Tổ",KT_TO,IF(AB34="x",$D34,AB34),KT_NGAY,23)))</f>
        <v>389000</v>
      </c>
      <c r="BJ34" s="31" t="n">
        <f aca="false">IF(OR($B34="",AC34=""),0,IF(AND($E34="Trưởng tổ",AC34="x"),SUMIFS(KT_TRUONG,KT_LOAI,"Tổ",KT_TO,$D34,KT_NGAY,24),SUMIFS(KT_PHAN,KT_LOAI,"Tổ",KT_TO,IF(AC34="x",$D34,AC34),KT_NGAY,24)))</f>
        <v>0</v>
      </c>
      <c r="BK34" s="31" t="n">
        <f aca="false">IF(OR($B34="",AD34=""),0,IF(AND($E34="Trưởng tổ",AD34="x"),SUMIFS(KT_TRUONG,KT_LOAI,"Tổ",KT_TO,$D34,KT_NGAY,25),SUMIFS(KT_PHAN,KT_LOAI,"Tổ",KT_TO,IF(AD34="x",$D34,AD34),KT_NGAY,25)))</f>
        <v>0</v>
      </c>
      <c r="BL34" s="31" t="n">
        <f aca="false">IF(OR($B34="",AE34=""),0,IF(AND($E34="Trưởng tổ",AE34="x"),SUMIFS(KT_TRUONG,KT_LOAI,"Tổ",KT_TO,$D34,KT_NGAY,26),SUMIFS(KT_PHAN,KT_LOAI,"Tổ",KT_TO,IF(AE34="x",$D34,AE34),KT_NGAY,26)))</f>
        <v>0</v>
      </c>
      <c r="BM34" s="31" t="n">
        <f aca="false">IF(OR($B34="",AF34=""),0,IF(AND($E34="Trưởng tổ",AF34="x"),SUMIFS(KT_TRUONG,KT_LOAI,"Tổ",KT_TO,$D34,KT_NGAY,27),SUMIFS(KT_PHAN,KT_LOAI,"Tổ",KT_TO,IF(AF34="x",$D34,AF34),KT_NGAY,27)))</f>
        <v>0</v>
      </c>
      <c r="BN34" s="31" t="n">
        <f aca="false">IF(OR($B34="",AG34=""),0,IF(AND($E34="Trưởng tổ",AG34="x"),SUMIFS(KT_TRUONG,KT_LOAI,"Tổ",KT_TO,$D34,KT_NGAY,28),SUMIFS(KT_PHAN,KT_LOAI,"Tổ",KT_TO,IF(AG34="x",$D34,AG34),KT_NGAY,28)))</f>
        <v>0</v>
      </c>
      <c r="BO34" s="31" t="n">
        <f aca="false">IF(OR($B34="",AH34=""),0,IF(AND($E34="Trưởng tổ",AH34="x"),SUMIFS(KT_TRUONG,KT_LOAI,"Tổ",KT_TO,$D34,KT_NGAY,29),SUMIFS(KT_PHAN,KT_LOAI,"Tổ",KT_TO,IF(AH34="x",$D34,AH34),KT_NGAY,29)))</f>
        <v>0</v>
      </c>
      <c r="BP34" s="31" t="n">
        <f aca="false">IF(OR($B34="",AI34=""),0,IF(AND($E34="Trưởng tổ",AI34="x"),SUMIFS(KT_TRUONG,KT_LOAI,"Tổ",KT_TO,$D34,KT_NGAY,30),SUMIFS(KT_PHAN,KT_LOAI,"Tổ",KT_TO,IF(AI34="x",$D34,AI34),KT_NGAY,30)))</f>
        <v>0</v>
      </c>
      <c r="BQ34" s="31" t="n">
        <f aca="false">IF(OR($B34="",AJ34=""),0,IF(AND($E34="Trưởng tổ",AJ34="x"),SUMIFS(KT_TRUONG,KT_LOAI,"Tổ",KT_TO,$D34,KT_NGAY,31),SUMIFS(KT_PHAN,KT_LOAI,"Tổ",KT_TO,IF(AJ34="x",$D34,AJ34),KT_NGAY,31)))</f>
        <v>0</v>
      </c>
    </row>
    <row r="35" customFormat="false" ht="15" hidden="false" customHeight="false" outlineLevel="0" collapsed="false">
      <c r="A35" s="17" t="n">
        <f aca="false">IF(B35="","",ROW()-5)</f>
        <v>30</v>
      </c>
      <c r="B35" s="29" t="str">
        <f aca="false">IF(OR(BCC!B35="",BCC!D35&lt;&gt;"Thời vụ HAQT"),"",BCC!B35)</f>
        <v>QT-04</v>
      </c>
      <c r="C35" s="17" t="str">
        <f aca="false">IF(B35="","",BCC!C35)</f>
        <v>Phạm Khai</v>
      </c>
      <c r="D35" s="27" t="n">
        <f aca="false">IF(B35="","",IFERROR(INDEX(NV_TO,MATCH(B35,NV_MA,0)),""))</f>
        <v>0</v>
      </c>
      <c r="E35" s="17" t="n">
        <f aca="false">IF(B35="","",IFERROR(INDEX(NV_VT,MATCH(B35,NV_MA,0)),""))</f>
        <v>0</v>
      </c>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17" t="n">
        <f aca="false">IF(B35="","",COUNTA(F35:AJ35))</f>
        <v>0</v>
      </c>
      <c r="AL35" s="30" t="n">
        <f aca="false">IF(B35="","",SUM(AM35:BQ35))</f>
        <v>0</v>
      </c>
      <c r="AM35" s="31" t="n">
        <f aca="false">IF(OR($B35="",F35=""),0,IF(AND($E35="Trưởng tổ",F35="x"),SUMIFS(KT_TRUONG,KT_LOAI,"Tổ",KT_TO,$D35,KT_NGAY,1),SUMIFS(KT_PHAN,KT_LOAI,"Tổ",KT_TO,IF(F35="x",$D35,F35),KT_NGAY,1)))</f>
        <v>0</v>
      </c>
      <c r="AN35" s="31" t="n">
        <f aca="false">IF(OR($B35="",G35=""),0,IF(AND($E35="Trưởng tổ",G35="x"),SUMIFS(KT_TRUONG,KT_LOAI,"Tổ",KT_TO,$D35,KT_NGAY,2),SUMIFS(KT_PHAN,KT_LOAI,"Tổ",KT_TO,IF(G35="x",$D35,G35),KT_NGAY,2)))</f>
        <v>0</v>
      </c>
      <c r="AO35" s="31" t="n">
        <f aca="false">IF(OR($B35="",H35=""),0,IF(AND($E35="Trưởng tổ",H35="x"),SUMIFS(KT_TRUONG,KT_LOAI,"Tổ",KT_TO,$D35,KT_NGAY,3),SUMIFS(KT_PHAN,KT_LOAI,"Tổ",KT_TO,IF(H35="x",$D35,H35),KT_NGAY,3)))</f>
        <v>0</v>
      </c>
      <c r="AP35" s="31" t="n">
        <f aca="false">IF(OR($B35="",I35=""),0,IF(AND($E35="Trưởng tổ",I35="x"),SUMIFS(KT_TRUONG,KT_LOAI,"Tổ",KT_TO,$D35,KT_NGAY,4),SUMIFS(KT_PHAN,KT_LOAI,"Tổ",KT_TO,IF(I35="x",$D35,I35),KT_NGAY,4)))</f>
        <v>0</v>
      </c>
      <c r="AQ35" s="31" t="n">
        <f aca="false">IF(OR($B35="",J35=""),0,IF(AND($E35="Trưởng tổ",J35="x"),SUMIFS(KT_TRUONG,KT_LOAI,"Tổ",KT_TO,$D35,KT_NGAY,5),SUMIFS(KT_PHAN,KT_LOAI,"Tổ",KT_TO,IF(J35="x",$D35,J35),KT_NGAY,5)))</f>
        <v>0</v>
      </c>
      <c r="AR35" s="31" t="n">
        <f aca="false">IF(OR($B35="",K35=""),0,IF(AND($E35="Trưởng tổ",K35="x"),SUMIFS(KT_TRUONG,KT_LOAI,"Tổ",KT_TO,$D35,KT_NGAY,6),SUMIFS(KT_PHAN,KT_LOAI,"Tổ",KT_TO,IF(K35="x",$D35,K35),KT_NGAY,6)))</f>
        <v>0</v>
      </c>
      <c r="AS35" s="31" t="n">
        <f aca="false">IF(OR($B35="",L35=""),0,IF(AND($E35="Trưởng tổ",L35="x"),SUMIFS(KT_TRUONG,KT_LOAI,"Tổ",KT_TO,$D35,KT_NGAY,7),SUMIFS(KT_PHAN,KT_LOAI,"Tổ",KT_TO,IF(L35="x",$D35,L35),KT_NGAY,7)))</f>
        <v>0</v>
      </c>
      <c r="AT35" s="31" t="n">
        <f aca="false">IF(OR($B35="",M35=""),0,IF(AND($E35="Trưởng tổ",M35="x"),SUMIFS(KT_TRUONG,KT_LOAI,"Tổ",KT_TO,$D35,KT_NGAY,8),SUMIFS(KT_PHAN,KT_LOAI,"Tổ",KT_TO,IF(M35="x",$D35,M35),KT_NGAY,8)))</f>
        <v>0</v>
      </c>
      <c r="AU35" s="31" t="n">
        <f aca="false">IF(OR($B35="",N35=""),0,IF(AND($E35="Trưởng tổ",N35="x"),SUMIFS(KT_TRUONG,KT_LOAI,"Tổ",KT_TO,$D35,KT_NGAY,9),SUMIFS(KT_PHAN,KT_LOAI,"Tổ",KT_TO,IF(N35="x",$D35,N35),KT_NGAY,9)))</f>
        <v>0</v>
      </c>
      <c r="AV35" s="31" t="n">
        <f aca="false">IF(OR($B35="",O35=""),0,IF(AND($E35="Trưởng tổ",O35="x"),SUMIFS(KT_TRUONG,KT_LOAI,"Tổ",KT_TO,$D35,KT_NGAY,10),SUMIFS(KT_PHAN,KT_LOAI,"Tổ",KT_TO,IF(O35="x",$D35,O35),KT_NGAY,10)))</f>
        <v>0</v>
      </c>
      <c r="AW35" s="31" t="n">
        <f aca="false">IF(OR($B35="",P35=""),0,IF(AND($E35="Trưởng tổ",P35="x"),SUMIFS(KT_TRUONG,KT_LOAI,"Tổ",KT_TO,$D35,KT_NGAY,11),SUMIFS(KT_PHAN,KT_LOAI,"Tổ",KT_TO,IF(P35="x",$D35,P35),KT_NGAY,11)))</f>
        <v>0</v>
      </c>
      <c r="AX35" s="31" t="n">
        <f aca="false">IF(OR($B35="",Q35=""),0,IF(AND($E35="Trưởng tổ",Q35="x"),SUMIFS(KT_TRUONG,KT_LOAI,"Tổ",KT_TO,$D35,KT_NGAY,12),SUMIFS(KT_PHAN,KT_LOAI,"Tổ",KT_TO,IF(Q35="x",$D35,Q35),KT_NGAY,12)))</f>
        <v>0</v>
      </c>
      <c r="AY35" s="31" t="n">
        <f aca="false">IF(OR($B35="",R35=""),0,IF(AND($E35="Trưởng tổ",R35="x"),SUMIFS(KT_TRUONG,KT_LOAI,"Tổ",KT_TO,$D35,KT_NGAY,13),SUMIFS(KT_PHAN,KT_LOAI,"Tổ",KT_TO,IF(R35="x",$D35,R35),KT_NGAY,13)))</f>
        <v>0</v>
      </c>
      <c r="AZ35" s="31" t="n">
        <f aca="false">IF(OR($B35="",S35=""),0,IF(AND($E35="Trưởng tổ",S35="x"),SUMIFS(KT_TRUONG,KT_LOAI,"Tổ",KT_TO,$D35,KT_NGAY,14),SUMIFS(KT_PHAN,KT_LOAI,"Tổ",KT_TO,IF(S35="x",$D35,S35),KT_NGAY,14)))</f>
        <v>0</v>
      </c>
      <c r="BA35" s="31" t="n">
        <f aca="false">IF(OR($B35="",T35=""),0,IF(AND($E35="Trưởng tổ",T35="x"),SUMIFS(KT_TRUONG,KT_LOAI,"Tổ",KT_TO,$D35,KT_NGAY,15),SUMIFS(KT_PHAN,KT_LOAI,"Tổ",KT_TO,IF(T35="x",$D35,T35),KT_NGAY,15)))</f>
        <v>0</v>
      </c>
      <c r="BB35" s="31" t="n">
        <f aca="false">IF(OR($B35="",U35=""),0,IF(AND($E35="Trưởng tổ",U35="x"),SUMIFS(KT_TRUONG,KT_LOAI,"Tổ",KT_TO,$D35,KT_NGAY,16),SUMIFS(KT_PHAN,KT_LOAI,"Tổ",KT_TO,IF(U35="x",$D35,U35),KT_NGAY,16)))</f>
        <v>0</v>
      </c>
      <c r="BC35" s="31" t="n">
        <f aca="false">IF(OR($B35="",V35=""),0,IF(AND($E35="Trưởng tổ",V35="x"),SUMIFS(KT_TRUONG,KT_LOAI,"Tổ",KT_TO,$D35,KT_NGAY,17),SUMIFS(KT_PHAN,KT_LOAI,"Tổ",KT_TO,IF(V35="x",$D35,V35),KT_NGAY,17)))</f>
        <v>0</v>
      </c>
      <c r="BD35" s="31" t="n">
        <f aca="false">IF(OR($B35="",W35=""),0,IF(AND($E35="Trưởng tổ",W35="x"),SUMIFS(KT_TRUONG,KT_LOAI,"Tổ",KT_TO,$D35,KT_NGAY,18),SUMIFS(KT_PHAN,KT_LOAI,"Tổ",KT_TO,IF(W35="x",$D35,W35),KT_NGAY,18)))</f>
        <v>0</v>
      </c>
      <c r="BE35" s="31" t="n">
        <f aca="false">IF(OR($B35="",X35=""),0,IF(AND($E35="Trưởng tổ",X35="x"),SUMIFS(KT_TRUONG,KT_LOAI,"Tổ",KT_TO,$D35,KT_NGAY,19),SUMIFS(KT_PHAN,KT_LOAI,"Tổ",KT_TO,IF(X35="x",$D35,X35),KT_NGAY,19)))</f>
        <v>0</v>
      </c>
      <c r="BF35" s="31" t="n">
        <f aca="false">IF(OR($B35="",Y35=""),0,IF(AND($E35="Trưởng tổ",Y35="x"),SUMIFS(KT_TRUONG,KT_LOAI,"Tổ",KT_TO,$D35,KT_NGAY,20),SUMIFS(KT_PHAN,KT_LOAI,"Tổ",KT_TO,IF(Y35="x",$D35,Y35),KT_NGAY,20)))</f>
        <v>0</v>
      </c>
      <c r="BG35" s="31" t="n">
        <f aca="false">IF(OR($B35="",Z35=""),0,IF(AND($E35="Trưởng tổ",Z35="x"),SUMIFS(KT_TRUONG,KT_LOAI,"Tổ",KT_TO,$D35,KT_NGAY,21),SUMIFS(KT_PHAN,KT_LOAI,"Tổ",KT_TO,IF(Z35="x",$D35,Z35),KT_NGAY,21)))</f>
        <v>0</v>
      </c>
      <c r="BH35" s="31" t="n">
        <f aca="false">IF(OR($B35="",AA35=""),0,IF(AND($E35="Trưởng tổ",AA35="x"),SUMIFS(KT_TRUONG,KT_LOAI,"Tổ",KT_TO,$D35,KT_NGAY,22),SUMIFS(KT_PHAN,KT_LOAI,"Tổ",KT_TO,IF(AA35="x",$D35,AA35),KT_NGAY,22)))</f>
        <v>0</v>
      </c>
      <c r="BI35" s="31" t="n">
        <f aca="false">IF(OR($B35="",AB35=""),0,IF(AND($E35="Trưởng tổ",AB35="x"),SUMIFS(KT_TRUONG,KT_LOAI,"Tổ",KT_TO,$D35,KT_NGAY,23),SUMIFS(KT_PHAN,KT_LOAI,"Tổ",KT_TO,IF(AB35="x",$D35,AB35),KT_NGAY,23)))</f>
        <v>0</v>
      </c>
      <c r="BJ35" s="31" t="n">
        <f aca="false">IF(OR($B35="",AC35=""),0,IF(AND($E35="Trưởng tổ",AC35="x"),SUMIFS(KT_TRUONG,KT_LOAI,"Tổ",KT_TO,$D35,KT_NGAY,24),SUMIFS(KT_PHAN,KT_LOAI,"Tổ",KT_TO,IF(AC35="x",$D35,AC35),KT_NGAY,24)))</f>
        <v>0</v>
      </c>
      <c r="BK35" s="31" t="n">
        <f aca="false">IF(OR($B35="",AD35=""),0,IF(AND($E35="Trưởng tổ",AD35="x"),SUMIFS(KT_TRUONG,KT_LOAI,"Tổ",KT_TO,$D35,KT_NGAY,25),SUMIFS(KT_PHAN,KT_LOAI,"Tổ",KT_TO,IF(AD35="x",$D35,AD35),KT_NGAY,25)))</f>
        <v>0</v>
      </c>
      <c r="BL35" s="31" t="n">
        <f aca="false">IF(OR($B35="",AE35=""),0,IF(AND($E35="Trưởng tổ",AE35="x"),SUMIFS(KT_TRUONG,KT_LOAI,"Tổ",KT_TO,$D35,KT_NGAY,26),SUMIFS(KT_PHAN,KT_LOAI,"Tổ",KT_TO,IF(AE35="x",$D35,AE35),KT_NGAY,26)))</f>
        <v>0</v>
      </c>
      <c r="BM35" s="31" t="n">
        <f aca="false">IF(OR($B35="",AF35=""),0,IF(AND($E35="Trưởng tổ",AF35="x"),SUMIFS(KT_TRUONG,KT_LOAI,"Tổ",KT_TO,$D35,KT_NGAY,27),SUMIFS(KT_PHAN,KT_LOAI,"Tổ",KT_TO,IF(AF35="x",$D35,AF35),KT_NGAY,27)))</f>
        <v>0</v>
      </c>
      <c r="BN35" s="31" t="n">
        <f aca="false">IF(OR($B35="",AG35=""),0,IF(AND($E35="Trưởng tổ",AG35="x"),SUMIFS(KT_TRUONG,KT_LOAI,"Tổ",KT_TO,$D35,KT_NGAY,28),SUMIFS(KT_PHAN,KT_LOAI,"Tổ",KT_TO,IF(AG35="x",$D35,AG35),KT_NGAY,28)))</f>
        <v>0</v>
      </c>
      <c r="BO35" s="31" t="n">
        <f aca="false">IF(OR($B35="",AH35=""),0,IF(AND($E35="Trưởng tổ",AH35="x"),SUMIFS(KT_TRUONG,KT_LOAI,"Tổ",KT_TO,$D35,KT_NGAY,29),SUMIFS(KT_PHAN,KT_LOAI,"Tổ",KT_TO,IF(AH35="x",$D35,AH35),KT_NGAY,29)))</f>
        <v>0</v>
      </c>
      <c r="BP35" s="31" t="n">
        <f aca="false">IF(OR($B35="",AI35=""),0,IF(AND($E35="Trưởng tổ",AI35="x"),SUMIFS(KT_TRUONG,KT_LOAI,"Tổ",KT_TO,$D35,KT_NGAY,30),SUMIFS(KT_PHAN,KT_LOAI,"Tổ",KT_TO,IF(AI35="x",$D35,AI35),KT_NGAY,30)))</f>
        <v>0</v>
      </c>
      <c r="BQ35" s="31" t="n">
        <f aca="false">IF(OR($B35="",AJ35=""),0,IF(AND($E35="Trưởng tổ",AJ35="x"),SUMIFS(KT_TRUONG,KT_LOAI,"Tổ",KT_TO,$D35,KT_NGAY,31),SUMIFS(KT_PHAN,KT_LOAI,"Tổ",KT_TO,IF(AJ35="x",$D35,AJ35),KT_NGAY,31)))</f>
        <v>0</v>
      </c>
    </row>
    <row r="36" customFormat="false" ht="15" hidden="false" customHeight="false" outlineLevel="0" collapsed="false">
      <c r="A36" s="17" t="n">
        <f aca="false">IF(B36="","",ROW()-5)</f>
        <v>31</v>
      </c>
      <c r="B36" s="29" t="str">
        <f aca="false">IF(OR(BCC!B36="",BCC!D36&lt;&gt;"Thời vụ HAQT"),"",BCC!B36)</f>
        <v>QT-05</v>
      </c>
      <c r="C36" s="17" t="str">
        <f aca="false">IF(B36="","",BCC!C36)</f>
        <v>Nguyễn Thị Nhung</v>
      </c>
      <c r="D36" s="17" t="str">
        <f aca="false">IF(B36="","",IFERROR(INDEX(NV_TO,MATCH(B36,NV_MA,0)),""))</f>
        <v>Tổ 1</v>
      </c>
      <c r="E36" s="17" t="str">
        <f aca="false">IF(B36="","",IFERROR(INDEX(NV_VT,MATCH(B36,NV_MA,0)),""))</f>
        <v>Thành viên</v>
      </c>
      <c r="F36" s="21"/>
      <c r="G36" s="21"/>
      <c r="H36" s="21"/>
      <c r="I36" s="21"/>
      <c r="J36" s="21"/>
      <c r="K36" s="21"/>
      <c r="L36" s="21"/>
      <c r="M36" s="21"/>
      <c r="N36" s="21"/>
      <c r="O36" s="21"/>
      <c r="P36" s="21"/>
      <c r="Q36" s="21"/>
      <c r="R36" s="21"/>
      <c r="S36" s="21"/>
      <c r="T36" s="21"/>
      <c r="U36" s="21"/>
      <c r="V36" s="21"/>
      <c r="W36" s="21" t="s">
        <v>309</v>
      </c>
      <c r="X36" s="21"/>
      <c r="Y36" s="21"/>
      <c r="Z36" s="21"/>
      <c r="AA36" s="21"/>
      <c r="AB36" s="21" t="s">
        <v>309</v>
      </c>
      <c r="AC36" s="21"/>
      <c r="AD36" s="21"/>
      <c r="AE36" s="21"/>
      <c r="AF36" s="21"/>
      <c r="AG36" s="21"/>
      <c r="AH36" s="21"/>
      <c r="AI36" s="21"/>
      <c r="AJ36" s="21"/>
      <c r="AK36" s="17" t="n">
        <f aca="false">IF(B36="","",COUNTA(F36:AJ36))</f>
        <v>2</v>
      </c>
      <c r="AL36" s="30" t="n">
        <f aca="false">IF(B36="","",SUM(AM36:BQ36))</f>
        <v>828000</v>
      </c>
      <c r="AM36" s="31" t="n">
        <f aca="false">IF(OR($B36="",F36=""),0,IF(AND($E36="Trưởng tổ",F36="x"),SUMIFS(KT_TRUONG,KT_LOAI,"Tổ",KT_TO,$D36,KT_NGAY,1),SUMIFS(KT_PHAN,KT_LOAI,"Tổ",KT_TO,IF(F36="x",$D36,F36),KT_NGAY,1)))</f>
        <v>0</v>
      </c>
      <c r="AN36" s="31" t="n">
        <f aca="false">IF(OR($B36="",G36=""),0,IF(AND($E36="Trưởng tổ",G36="x"),SUMIFS(KT_TRUONG,KT_LOAI,"Tổ",KT_TO,$D36,KT_NGAY,2),SUMIFS(KT_PHAN,KT_LOAI,"Tổ",KT_TO,IF(G36="x",$D36,G36),KT_NGAY,2)))</f>
        <v>0</v>
      </c>
      <c r="AO36" s="31" t="n">
        <f aca="false">IF(OR($B36="",H36=""),0,IF(AND($E36="Trưởng tổ",H36="x"),SUMIFS(KT_TRUONG,KT_LOAI,"Tổ",KT_TO,$D36,KT_NGAY,3),SUMIFS(KT_PHAN,KT_LOAI,"Tổ",KT_TO,IF(H36="x",$D36,H36),KT_NGAY,3)))</f>
        <v>0</v>
      </c>
      <c r="AP36" s="31" t="n">
        <f aca="false">IF(OR($B36="",I36=""),0,IF(AND($E36="Trưởng tổ",I36="x"),SUMIFS(KT_TRUONG,KT_LOAI,"Tổ",KT_TO,$D36,KT_NGAY,4),SUMIFS(KT_PHAN,KT_LOAI,"Tổ",KT_TO,IF(I36="x",$D36,I36),KT_NGAY,4)))</f>
        <v>0</v>
      </c>
      <c r="AQ36" s="31" t="n">
        <f aca="false">IF(OR($B36="",J36=""),0,IF(AND($E36="Trưởng tổ",J36="x"),SUMIFS(KT_TRUONG,KT_LOAI,"Tổ",KT_TO,$D36,KT_NGAY,5),SUMIFS(KT_PHAN,KT_LOAI,"Tổ",KT_TO,IF(J36="x",$D36,J36),KT_NGAY,5)))</f>
        <v>0</v>
      </c>
      <c r="AR36" s="31" t="n">
        <f aca="false">IF(OR($B36="",K36=""),0,IF(AND($E36="Trưởng tổ",K36="x"),SUMIFS(KT_TRUONG,KT_LOAI,"Tổ",KT_TO,$D36,KT_NGAY,6),SUMIFS(KT_PHAN,KT_LOAI,"Tổ",KT_TO,IF(K36="x",$D36,K36),KT_NGAY,6)))</f>
        <v>0</v>
      </c>
      <c r="AS36" s="31" t="n">
        <f aca="false">IF(OR($B36="",L36=""),0,IF(AND($E36="Trưởng tổ",L36="x"),SUMIFS(KT_TRUONG,KT_LOAI,"Tổ",KT_TO,$D36,KT_NGAY,7),SUMIFS(KT_PHAN,KT_LOAI,"Tổ",KT_TO,IF(L36="x",$D36,L36),KT_NGAY,7)))</f>
        <v>0</v>
      </c>
      <c r="AT36" s="31" t="n">
        <f aca="false">IF(OR($B36="",M36=""),0,IF(AND($E36="Trưởng tổ",M36="x"),SUMIFS(KT_TRUONG,KT_LOAI,"Tổ",KT_TO,$D36,KT_NGAY,8),SUMIFS(KT_PHAN,KT_LOAI,"Tổ",KT_TO,IF(M36="x",$D36,M36),KT_NGAY,8)))</f>
        <v>0</v>
      </c>
      <c r="AU36" s="31" t="n">
        <f aca="false">IF(OR($B36="",N36=""),0,IF(AND($E36="Trưởng tổ",N36="x"),SUMIFS(KT_TRUONG,KT_LOAI,"Tổ",KT_TO,$D36,KT_NGAY,9),SUMIFS(KT_PHAN,KT_LOAI,"Tổ",KT_TO,IF(N36="x",$D36,N36),KT_NGAY,9)))</f>
        <v>0</v>
      </c>
      <c r="AV36" s="31" t="n">
        <f aca="false">IF(OR($B36="",O36=""),0,IF(AND($E36="Trưởng tổ",O36="x"),SUMIFS(KT_TRUONG,KT_LOAI,"Tổ",KT_TO,$D36,KT_NGAY,10),SUMIFS(KT_PHAN,KT_LOAI,"Tổ",KT_TO,IF(O36="x",$D36,O36),KT_NGAY,10)))</f>
        <v>0</v>
      </c>
      <c r="AW36" s="31" t="n">
        <f aca="false">IF(OR($B36="",P36=""),0,IF(AND($E36="Trưởng tổ",P36="x"),SUMIFS(KT_TRUONG,KT_LOAI,"Tổ",KT_TO,$D36,KT_NGAY,11),SUMIFS(KT_PHAN,KT_LOAI,"Tổ",KT_TO,IF(P36="x",$D36,P36),KT_NGAY,11)))</f>
        <v>0</v>
      </c>
      <c r="AX36" s="31" t="n">
        <f aca="false">IF(OR($B36="",Q36=""),0,IF(AND($E36="Trưởng tổ",Q36="x"),SUMIFS(KT_TRUONG,KT_LOAI,"Tổ",KT_TO,$D36,KT_NGAY,12),SUMIFS(KT_PHAN,KT_LOAI,"Tổ",KT_TO,IF(Q36="x",$D36,Q36),KT_NGAY,12)))</f>
        <v>0</v>
      </c>
      <c r="AY36" s="31" t="n">
        <f aca="false">IF(OR($B36="",R36=""),0,IF(AND($E36="Trưởng tổ",R36="x"),SUMIFS(KT_TRUONG,KT_LOAI,"Tổ",KT_TO,$D36,KT_NGAY,13),SUMIFS(KT_PHAN,KT_LOAI,"Tổ",KT_TO,IF(R36="x",$D36,R36),KT_NGAY,13)))</f>
        <v>0</v>
      </c>
      <c r="AZ36" s="31" t="n">
        <f aca="false">IF(OR($B36="",S36=""),0,IF(AND($E36="Trưởng tổ",S36="x"),SUMIFS(KT_TRUONG,KT_LOAI,"Tổ",KT_TO,$D36,KT_NGAY,14),SUMIFS(KT_PHAN,KT_LOAI,"Tổ",KT_TO,IF(S36="x",$D36,S36),KT_NGAY,14)))</f>
        <v>0</v>
      </c>
      <c r="BA36" s="31" t="n">
        <f aca="false">IF(OR($B36="",T36=""),0,IF(AND($E36="Trưởng tổ",T36="x"),SUMIFS(KT_TRUONG,KT_LOAI,"Tổ",KT_TO,$D36,KT_NGAY,15),SUMIFS(KT_PHAN,KT_LOAI,"Tổ",KT_TO,IF(T36="x",$D36,T36),KT_NGAY,15)))</f>
        <v>0</v>
      </c>
      <c r="BB36" s="31" t="n">
        <f aca="false">IF(OR($B36="",U36=""),0,IF(AND($E36="Trưởng tổ",U36="x"),SUMIFS(KT_TRUONG,KT_LOAI,"Tổ",KT_TO,$D36,KT_NGAY,16),SUMIFS(KT_PHAN,KT_LOAI,"Tổ",KT_TO,IF(U36="x",$D36,U36),KT_NGAY,16)))</f>
        <v>0</v>
      </c>
      <c r="BC36" s="31" t="n">
        <f aca="false">IF(OR($B36="",V36=""),0,IF(AND($E36="Trưởng tổ",V36="x"),SUMIFS(KT_TRUONG,KT_LOAI,"Tổ",KT_TO,$D36,KT_NGAY,17),SUMIFS(KT_PHAN,KT_LOAI,"Tổ",KT_TO,IF(V36="x",$D36,V36),KT_NGAY,17)))</f>
        <v>0</v>
      </c>
      <c r="BD36" s="31" t="n">
        <f aca="false">IF(OR($B36="",W36=""),0,IF(AND($E36="Trưởng tổ",W36="x"),SUMIFS(KT_TRUONG,KT_LOAI,"Tổ",KT_TO,$D36,KT_NGAY,18),SUMIFS(KT_PHAN,KT_LOAI,"Tổ",KT_TO,IF(W36="x",$D36,W36),KT_NGAY,18)))</f>
        <v>439000</v>
      </c>
      <c r="BE36" s="31" t="n">
        <f aca="false">IF(OR($B36="",X36=""),0,IF(AND($E36="Trưởng tổ",X36="x"),SUMIFS(KT_TRUONG,KT_LOAI,"Tổ",KT_TO,$D36,KT_NGAY,19),SUMIFS(KT_PHAN,KT_LOAI,"Tổ",KT_TO,IF(X36="x",$D36,X36),KT_NGAY,19)))</f>
        <v>0</v>
      </c>
      <c r="BF36" s="31" t="n">
        <f aca="false">IF(OR($B36="",Y36=""),0,IF(AND($E36="Trưởng tổ",Y36="x"),SUMIFS(KT_TRUONG,KT_LOAI,"Tổ",KT_TO,$D36,KT_NGAY,20),SUMIFS(KT_PHAN,KT_LOAI,"Tổ",KT_TO,IF(Y36="x",$D36,Y36),KT_NGAY,20)))</f>
        <v>0</v>
      </c>
      <c r="BG36" s="31" t="n">
        <f aca="false">IF(OR($B36="",Z36=""),0,IF(AND($E36="Trưởng tổ",Z36="x"),SUMIFS(KT_TRUONG,KT_LOAI,"Tổ",KT_TO,$D36,KT_NGAY,21),SUMIFS(KT_PHAN,KT_LOAI,"Tổ",KT_TO,IF(Z36="x",$D36,Z36),KT_NGAY,21)))</f>
        <v>0</v>
      </c>
      <c r="BH36" s="31" t="n">
        <f aca="false">IF(OR($B36="",AA36=""),0,IF(AND($E36="Trưởng tổ",AA36="x"),SUMIFS(KT_TRUONG,KT_LOAI,"Tổ",KT_TO,$D36,KT_NGAY,22),SUMIFS(KT_PHAN,KT_LOAI,"Tổ",KT_TO,IF(AA36="x",$D36,AA36),KT_NGAY,22)))</f>
        <v>0</v>
      </c>
      <c r="BI36" s="31" t="n">
        <f aca="false">IF(OR($B36="",AB36=""),0,IF(AND($E36="Trưởng tổ",AB36="x"),SUMIFS(KT_TRUONG,KT_LOAI,"Tổ",KT_TO,$D36,KT_NGAY,23),SUMIFS(KT_PHAN,KT_LOAI,"Tổ",KT_TO,IF(AB36="x",$D36,AB36),KT_NGAY,23)))</f>
        <v>389000</v>
      </c>
      <c r="BJ36" s="31" t="n">
        <f aca="false">IF(OR($B36="",AC36=""),0,IF(AND($E36="Trưởng tổ",AC36="x"),SUMIFS(KT_TRUONG,KT_LOAI,"Tổ",KT_TO,$D36,KT_NGAY,24),SUMIFS(KT_PHAN,KT_LOAI,"Tổ",KT_TO,IF(AC36="x",$D36,AC36),KT_NGAY,24)))</f>
        <v>0</v>
      </c>
      <c r="BK36" s="31" t="n">
        <f aca="false">IF(OR($B36="",AD36=""),0,IF(AND($E36="Trưởng tổ",AD36="x"),SUMIFS(KT_TRUONG,KT_LOAI,"Tổ",KT_TO,$D36,KT_NGAY,25),SUMIFS(KT_PHAN,KT_LOAI,"Tổ",KT_TO,IF(AD36="x",$D36,AD36),KT_NGAY,25)))</f>
        <v>0</v>
      </c>
      <c r="BL36" s="31" t="n">
        <f aca="false">IF(OR($B36="",AE36=""),0,IF(AND($E36="Trưởng tổ",AE36="x"),SUMIFS(KT_TRUONG,KT_LOAI,"Tổ",KT_TO,$D36,KT_NGAY,26),SUMIFS(KT_PHAN,KT_LOAI,"Tổ",KT_TO,IF(AE36="x",$D36,AE36),KT_NGAY,26)))</f>
        <v>0</v>
      </c>
      <c r="BM36" s="31" t="n">
        <f aca="false">IF(OR($B36="",AF36=""),0,IF(AND($E36="Trưởng tổ",AF36="x"),SUMIFS(KT_TRUONG,KT_LOAI,"Tổ",KT_TO,$D36,KT_NGAY,27),SUMIFS(KT_PHAN,KT_LOAI,"Tổ",KT_TO,IF(AF36="x",$D36,AF36),KT_NGAY,27)))</f>
        <v>0</v>
      </c>
      <c r="BN36" s="31" t="n">
        <f aca="false">IF(OR($B36="",AG36=""),0,IF(AND($E36="Trưởng tổ",AG36="x"),SUMIFS(KT_TRUONG,KT_LOAI,"Tổ",KT_TO,$D36,KT_NGAY,28),SUMIFS(KT_PHAN,KT_LOAI,"Tổ",KT_TO,IF(AG36="x",$D36,AG36),KT_NGAY,28)))</f>
        <v>0</v>
      </c>
      <c r="BO36" s="31" t="n">
        <f aca="false">IF(OR($B36="",AH36=""),0,IF(AND($E36="Trưởng tổ",AH36="x"),SUMIFS(KT_TRUONG,KT_LOAI,"Tổ",KT_TO,$D36,KT_NGAY,29),SUMIFS(KT_PHAN,KT_LOAI,"Tổ",KT_TO,IF(AH36="x",$D36,AH36),KT_NGAY,29)))</f>
        <v>0</v>
      </c>
      <c r="BP36" s="31" t="n">
        <f aca="false">IF(OR($B36="",AI36=""),0,IF(AND($E36="Trưởng tổ",AI36="x"),SUMIFS(KT_TRUONG,KT_LOAI,"Tổ",KT_TO,$D36,KT_NGAY,30),SUMIFS(KT_PHAN,KT_LOAI,"Tổ",KT_TO,IF(AI36="x",$D36,AI36),KT_NGAY,30)))</f>
        <v>0</v>
      </c>
      <c r="BQ36" s="31" t="n">
        <f aca="false">IF(OR($B36="",AJ36=""),0,IF(AND($E36="Trưởng tổ",AJ36="x"),SUMIFS(KT_TRUONG,KT_LOAI,"Tổ",KT_TO,$D36,KT_NGAY,31),SUMIFS(KT_PHAN,KT_LOAI,"Tổ",KT_TO,IF(AJ36="x",$D36,AJ36),KT_NGAY,31)))</f>
        <v>0</v>
      </c>
    </row>
    <row r="37" customFormat="false" ht="15" hidden="false" customHeight="false" outlineLevel="0" collapsed="false">
      <c r="A37" s="17" t="n">
        <f aca="false">IF(B37="","",ROW()-5)</f>
        <v>32</v>
      </c>
      <c r="B37" s="29" t="str">
        <f aca="false">IF(OR(BCC!B37="",BCC!D37&lt;&gt;"Thời vụ HAQT"),"",BCC!B37)</f>
        <v>QT-06</v>
      </c>
      <c r="C37" s="17" t="str">
        <f aca="false">IF(B37="","",BCC!C37)</f>
        <v>Tạ Thị Na</v>
      </c>
      <c r="D37" s="17" t="str">
        <f aca="false">IF(B37="","",IFERROR(INDEX(NV_TO,MATCH(B37,NV_MA,0)),""))</f>
        <v>Tổ 1</v>
      </c>
      <c r="E37" s="17" t="str">
        <f aca="false">IF(B37="","",IFERROR(INDEX(NV_VT,MATCH(B37,NV_MA,0)),""))</f>
        <v>Thành viên</v>
      </c>
      <c r="F37" s="21"/>
      <c r="G37" s="21"/>
      <c r="H37" s="21"/>
      <c r="I37" s="21"/>
      <c r="J37" s="21"/>
      <c r="K37" s="21"/>
      <c r="L37" s="21"/>
      <c r="M37" s="21"/>
      <c r="N37" s="21"/>
      <c r="O37" s="21"/>
      <c r="P37" s="21"/>
      <c r="Q37" s="21"/>
      <c r="R37" s="21"/>
      <c r="S37" s="21"/>
      <c r="T37" s="21"/>
      <c r="U37" s="21"/>
      <c r="V37" s="21"/>
      <c r="W37" s="21" t="s">
        <v>309</v>
      </c>
      <c r="X37" s="21"/>
      <c r="Y37" s="21"/>
      <c r="Z37" s="21"/>
      <c r="AA37" s="21"/>
      <c r="AB37" s="21" t="s">
        <v>309</v>
      </c>
      <c r="AC37" s="21"/>
      <c r="AD37" s="21"/>
      <c r="AE37" s="21" t="s">
        <v>309</v>
      </c>
      <c r="AF37" s="21"/>
      <c r="AG37" s="21"/>
      <c r="AH37" s="21"/>
      <c r="AI37" s="21"/>
      <c r="AJ37" s="21"/>
      <c r="AK37" s="17" t="n">
        <f aca="false">IF(B37="","",COUNTA(F37:AJ37))</f>
        <v>3</v>
      </c>
      <c r="AL37" s="30" t="n">
        <f aca="false">IF(B37="","",SUM(AM37:BQ37))</f>
        <v>1122000</v>
      </c>
      <c r="AM37" s="31" t="n">
        <f aca="false">IF(OR($B37="",F37=""),0,IF(AND($E37="Trưởng tổ",F37="x"),SUMIFS(KT_TRUONG,KT_LOAI,"Tổ",KT_TO,$D37,KT_NGAY,1),SUMIFS(KT_PHAN,KT_LOAI,"Tổ",KT_TO,IF(F37="x",$D37,F37),KT_NGAY,1)))</f>
        <v>0</v>
      </c>
      <c r="AN37" s="31" t="n">
        <f aca="false">IF(OR($B37="",G37=""),0,IF(AND($E37="Trưởng tổ",G37="x"),SUMIFS(KT_TRUONG,KT_LOAI,"Tổ",KT_TO,$D37,KT_NGAY,2),SUMIFS(KT_PHAN,KT_LOAI,"Tổ",KT_TO,IF(G37="x",$D37,G37),KT_NGAY,2)))</f>
        <v>0</v>
      </c>
      <c r="AO37" s="31" t="n">
        <f aca="false">IF(OR($B37="",H37=""),0,IF(AND($E37="Trưởng tổ",H37="x"),SUMIFS(KT_TRUONG,KT_LOAI,"Tổ",KT_TO,$D37,KT_NGAY,3),SUMIFS(KT_PHAN,KT_LOAI,"Tổ",KT_TO,IF(H37="x",$D37,H37),KT_NGAY,3)))</f>
        <v>0</v>
      </c>
      <c r="AP37" s="31" t="n">
        <f aca="false">IF(OR($B37="",I37=""),0,IF(AND($E37="Trưởng tổ",I37="x"),SUMIFS(KT_TRUONG,KT_LOAI,"Tổ",KT_TO,$D37,KT_NGAY,4),SUMIFS(KT_PHAN,KT_LOAI,"Tổ",KT_TO,IF(I37="x",$D37,I37),KT_NGAY,4)))</f>
        <v>0</v>
      </c>
      <c r="AQ37" s="31" t="n">
        <f aca="false">IF(OR($B37="",J37=""),0,IF(AND($E37="Trưởng tổ",J37="x"),SUMIFS(KT_TRUONG,KT_LOAI,"Tổ",KT_TO,$D37,KT_NGAY,5),SUMIFS(KT_PHAN,KT_LOAI,"Tổ",KT_TO,IF(J37="x",$D37,J37),KT_NGAY,5)))</f>
        <v>0</v>
      </c>
      <c r="AR37" s="31" t="n">
        <f aca="false">IF(OR($B37="",K37=""),0,IF(AND($E37="Trưởng tổ",K37="x"),SUMIFS(KT_TRUONG,KT_LOAI,"Tổ",KT_TO,$D37,KT_NGAY,6),SUMIFS(KT_PHAN,KT_LOAI,"Tổ",KT_TO,IF(K37="x",$D37,K37),KT_NGAY,6)))</f>
        <v>0</v>
      </c>
      <c r="AS37" s="31" t="n">
        <f aca="false">IF(OR($B37="",L37=""),0,IF(AND($E37="Trưởng tổ",L37="x"),SUMIFS(KT_TRUONG,KT_LOAI,"Tổ",KT_TO,$D37,KT_NGAY,7),SUMIFS(KT_PHAN,KT_LOAI,"Tổ",KT_TO,IF(L37="x",$D37,L37),KT_NGAY,7)))</f>
        <v>0</v>
      </c>
      <c r="AT37" s="31" t="n">
        <f aca="false">IF(OR($B37="",M37=""),0,IF(AND($E37="Trưởng tổ",M37="x"),SUMIFS(KT_TRUONG,KT_LOAI,"Tổ",KT_TO,$D37,KT_NGAY,8),SUMIFS(KT_PHAN,KT_LOAI,"Tổ",KT_TO,IF(M37="x",$D37,M37),KT_NGAY,8)))</f>
        <v>0</v>
      </c>
      <c r="AU37" s="31" t="n">
        <f aca="false">IF(OR($B37="",N37=""),0,IF(AND($E37="Trưởng tổ",N37="x"),SUMIFS(KT_TRUONG,KT_LOAI,"Tổ",KT_TO,$D37,KT_NGAY,9),SUMIFS(KT_PHAN,KT_LOAI,"Tổ",KT_TO,IF(N37="x",$D37,N37),KT_NGAY,9)))</f>
        <v>0</v>
      </c>
      <c r="AV37" s="31" t="n">
        <f aca="false">IF(OR($B37="",O37=""),0,IF(AND($E37="Trưởng tổ",O37="x"),SUMIFS(KT_TRUONG,KT_LOAI,"Tổ",KT_TO,$D37,KT_NGAY,10),SUMIFS(KT_PHAN,KT_LOAI,"Tổ",KT_TO,IF(O37="x",$D37,O37),KT_NGAY,10)))</f>
        <v>0</v>
      </c>
      <c r="AW37" s="31" t="n">
        <f aca="false">IF(OR($B37="",P37=""),0,IF(AND($E37="Trưởng tổ",P37="x"),SUMIFS(KT_TRUONG,KT_LOAI,"Tổ",KT_TO,$D37,KT_NGAY,11),SUMIFS(KT_PHAN,KT_LOAI,"Tổ",KT_TO,IF(P37="x",$D37,P37),KT_NGAY,11)))</f>
        <v>0</v>
      </c>
      <c r="AX37" s="31" t="n">
        <f aca="false">IF(OR($B37="",Q37=""),0,IF(AND($E37="Trưởng tổ",Q37="x"),SUMIFS(KT_TRUONG,KT_LOAI,"Tổ",KT_TO,$D37,KT_NGAY,12),SUMIFS(KT_PHAN,KT_LOAI,"Tổ",KT_TO,IF(Q37="x",$D37,Q37),KT_NGAY,12)))</f>
        <v>0</v>
      </c>
      <c r="AY37" s="31" t="n">
        <f aca="false">IF(OR($B37="",R37=""),0,IF(AND($E37="Trưởng tổ",R37="x"),SUMIFS(KT_TRUONG,KT_LOAI,"Tổ",KT_TO,$D37,KT_NGAY,13),SUMIFS(KT_PHAN,KT_LOAI,"Tổ",KT_TO,IF(R37="x",$D37,R37),KT_NGAY,13)))</f>
        <v>0</v>
      </c>
      <c r="AZ37" s="31" t="n">
        <f aca="false">IF(OR($B37="",S37=""),0,IF(AND($E37="Trưởng tổ",S37="x"),SUMIFS(KT_TRUONG,KT_LOAI,"Tổ",KT_TO,$D37,KT_NGAY,14),SUMIFS(KT_PHAN,KT_LOAI,"Tổ",KT_TO,IF(S37="x",$D37,S37),KT_NGAY,14)))</f>
        <v>0</v>
      </c>
      <c r="BA37" s="31" t="n">
        <f aca="false">IF(OR($B37="",T37=""),0,IF(AND($E37="Trưởng tổ",T37="x"),SUMIFS(KT_TRUONG,KT_LOAI,"Tổ",KT_TO,$D37,KT_NGAY,15),SUMIFS(KT_PHAN,KT_LOAI,"Tổ",KT_TO,IF(T37="x",$D37,T37),KT_NGAY,15)))</f>
        <v>0</v>
      </c>
      <c r="BB37" s="31" t="n">
        <f aca="false">IF(OR($B37="",U37=""),0,IF(AND($E37="Trưởng tổ",U37="x"),SUMIFS(KT_TRUONG,KT_LOAI,"Tổ",KT_TO,$D37,KT_NGAY,16),SUMIFS(KT_PHAN,KT_LOAI,"Tổ",KT_TO,IF(U37="x",$D37,U37),KT_NGAY,16)))</f>
        <v>0</v>
      </c>
      <c r="BC37" s="31" t="n">
        <f aca="false">IF(OR($B37="",V37=""),0,IF(AND($E37="Trưởng tổ",V37="x"),SUMIFS(KT_TRUONG,KT_LOAI,"Tổ",KT_TO,$D37,KT_NGAY,17),SUMIFS(KT_PHAN,KT_LOAI,"Tổ",KT_TO,IF(V37="x",$D37,V37),KT_NGAY,17)))</f>
        <v>0</v>
      </c>
      <c r="BD37" s="31" t="n">
        <f aca="false">IF(OR($B37="",W37=""),0,IF(AND($E37="Trưởng tổ",W37="x"),SUMIFS(KT_TRUONG,KT_LOAI,"Tổ",KT_TO,$D37,KT_NGAY,18),SUMIFS(KT_PHAN,KT_LOAI,"Tổ",KT_TO,IF(W37="x",$D37,W37),KT_NGAY,18)))</f>
        <v>439000</v>
      </c>
      <c r="BE37" s="31" t="n">
        <f aca="false">IF(OR($B37="",X37=""),0,IF(AND($E37="Trưởng tổ",X37="x"),SUMIFS(KT_TRUONG,KT_LOAI,"Tổ",KT_TO,$D37,KT_NGAY,19),SUMIFS(KT_PHAN,KT_LOAI,"Tổ",KT_TO,IF(X37="x",$D37,X37),KT_NGAY,19)))</f>
        <v>0</v>
      </c>
      <c r="BF37" s="31" t="n">
        <f aca="false">IF(OR($B37="",Y37=""),0,IF(AND($E37="Trưởng tổ",Y37="x"),SUMIFS(KT_TRUONG,KT_LOAI,"Tổ",KT_TO,$D37,KT_NGAY,20),SUMIFS(KT_PHAN,KT_LOAI,"Tổ",KT_TO,IF(Y37="x",$D37,Y37),KT_NGAY,20)))</f>
        <v>0</v>
      </c>
      <c r="BG37" s="31" t="n">
        <f aca="false">IF(OR($B37="",Z37=""),0,IF(AND($E37="Trưởng tổ",Z37="x"),SUMIFS(KT_TRUONG,KT_LOAI,"Tổ",KT_TO,$D37,KT_NGAY,21),SUMIFS(KT_PHAN,KT_LOAI,"Tổ",KT_TO,IF(Z37="x",$D37,Z37),KT_NGAY,21)))</f>
        <v>0</v>
      </c>
      <c r="BH37" s="31" t="n">
        <f aca="false">IF(OR($B37="",AA37=""),0,IF(AND($E37="Trưởng tổ",AA37="x"),SUMIFS(KT_TRUONG,KT_LOAI,"Tổ",KT_TO,$D37,KT_NGAY,22),SUMIFS(KT_PHAN,KT_LOAI,"Tổ",KT_TO,IF(AA37="x",$D37,AA37),KT_NGAY,22)))</f>
        <v>0</v>
      </c>
      <c r="BI37" s="31" t="n">
        <f aca="false">IF(OR($B37="",AB37=""),0,IF(AND($E37="Trưởng tổ",AB37="x"),SUMIFS(KT_TRUONG,KT_LOAI,"Tổ",KT_TO,$D37,KT_NGAY,23),SUMIFS(KT_PHAN,KT_LOAI,"Tổ",KT_TO,IF(AB37="x",$D37,AB37),KT_NGAY,23)))</f>
        <v>389000</v>
      </c>
      <c r="BJ37" s="31" t="n">
        <f aca="false">IF(OR($B37="",AC37=""),0,IF(AND($E37="Trưởng tổ",AC37="x"),SUMIFS(KT_TRUONG,KT_LOAI,"Tổ",KT_TO,$D37,KT_NGAY,24),SUMIFS(KT_PHAN,KT_LOAI,"Tổ",KT_TO,IF(AC37="x",$D37,AC37),KT_NGAY,24)))</f>
        <v>0</v>
      </c>
      <c r="BK37" s="31" t="n">
        <f aca="false">IF(OR($B37="",AD37=""),0,IF(AND($E37="Trưởng tổ",AD37="x"),SUMIFS(KT_TRUONG,KT_LOAI,"Tổ",KT_TO,$D37,KT_NGAY,25),SUMIFS(KT_PHAN,KT_LOAI,"Tổ",KT_TO,IF(AD37="x",$D37,AD37),KT_NGAY,25)))</f>
        <v>0</v>
      </c>
      <c r="BL37" s="31" t="n">
        <f aca="false">IF(OR($B37="",AE37=""),0,IF(AND($E37="Trưởng tổ",AE37="x"),SUMIFS(KT_TRUONG,KT_LOAI,"Tổ",KT_TO,$D37,KT_NGAY,26),SUMIFS(KT_PHAN,KT_LOAI,"Tổ",KT_TO,IF(AE37="x",$D37,AE37),KT_NGAY,26)))</f>
        <v>294000</v>
      </c>
      <c r="BM37" s="31" t="n">
        <f aca="false">IF(OR($B37="",AF37=""),0,IF(AND($E37="Trưởng tổ",AF37="x"),SUMIFS(KT_TRUONG,KT_LOAI,"Tổ",KT_TO,$D37,KT_NGAY,27),SUMIFS(KT_PHAN,KT_LOAI,"Tổ",KT_TO,IF(AF37="x",$D37,AF37),KT_NGAY,27)))</f>
        <v>0</v>
      </c>
      <c r="BN37" s="31" t="n">
        <f aca="false">IF(OR($B37="",AG37=""),0,IF(AND($E37="Trưởng tổ",AG37="x"),SUMIFS(KT_TRUONG,KT_LOAI,"Tổ",KT_TO,$D37,KT_NGAY,28),SUMIFS(KT_PHAN,KT_LOAI,"Tổ",KT_TO,IF(AG37="x",$D37,AG37),KT_NGAY,28)))</f>
        <v>0</v>
      </c>
      <c r="BO37" s="31" t="n">
        <f aca="false">IF(OR($B37="",AH37=""),0,IF(AND($E37="Trưởng tổ",AH37="x"),SUMIFS(KT_TRUONG,KT_LOAI,"Tổ",KT_TO,$D37,KT_NGAY,29),SUMIFS(KT_PHAN,KT_LOAI,"Tổ",KT_TO,IF(AH37="x",$D37,AH37),KT_NGAY,29)))</f>
        <v>0</v>
      </c>
      <c r="BP37" s="31" t="n">
        <f aca="false">IF(OR($B37="",AI37=""),0,IF(AND($E37="Trưởng tổ",AI37="x"),SUMIFS(KT_TRUONG,KT_LOAI,"Tổ",KT_TO,$D37,KT_NGAY,30),SUMIFS(KT_PHAN,KT_LOAI,"Tổ",KT_TO,IF(AI37="x",$D37,AI37),KT_NGAY,30)))</f>
        <v>0</v>
      </c>
      <c r="BQ37" s="31" t="n">
        <f aca="false">IF(OR($B37="",AJ37=""),0,IF(AND($E37="Trưởng tổ",AJ37="x"),SUMIFS(KT_TRUONG,KT_LOAI,"Tổ",KT_TO,$D37,KT_NGAY,31),SUMIFS(KT_PHAN,KT_LOAI,"Tổ",KT_TO,IF(AJ37="x",$D37,AJ37),KT_NGAY,31)))</f>
        <v>0</v>
      </c>
    </row>
    <row r="38" customFormat="false" ht="15" hidden="false" customHeight="false" outlineLevel="0" collapsed="false">
      <c r="A38" s="17" t="n">
        <f aca="false">IF(B38="","",ROW()-5)</f>
        <v>33</v>
      </c>
      <c r="B38" s="29" t="str">
        <f aca="false">IF(OR(BCC!B38="",BCC!D38&lt;&gt;"Thời vụ HAQT"),"",BCC!B38)</f>
        <v>QT-07</v>
      </c>
      <c r="C38" s="17" t="str">
        <f aca="false">IF(B38="","",BCC!C38)</f>
        <v>Lê Thị Thanh</v>
      </c>
      <c r="D38" s="17" t="str">
        <f aca="false">IF(B38="","",IFERROR(INDEX(NV_TO,MATCH(B38,NV_MA,0)),""))</f>
        <v>Tổ 1</v>
      </c>
      <c r="E38" s="17" t="str">
        <f aca="false">IF(B38="","",IFERROR(INDEX(NV_VT,MATCH(B38,NV_MA,0)),""))</f>
        <v>Thành viên</v>
      </c>
      <c r="F38" s="21"/>
      <c r="G38" s="21"/>
      <c r="H38" s="21"/>
      <c r="I38" s="21"/>
      <c r="J38" s="21"/>
      <c r="K38" s="21"/>
      <c r="L38" s="21"/>
      <c r="M38" s="21"/>
      <c r="N38" s="21"/>
      <c r="O38" s="21"/>
      <c r="P38" s="21"/>
      <c r="Q38" s="21"/>
      <c r="R38" s="21"/>
      <c r="S38" s="21"/>
      <c r="T38" s="21"/>
      <c r="U38" s="21"/>
      <c r="V38" s="21"/>
      <c r="W38" s="21" t="s">
        <v>309</v>
      </c>
      <c r="X38" s="21"/>
      <c r="Y38" s="21"/>
      <c r="Z38" s="21"/>
      <c r="AA38" s="21"/>
      <c r="AB38" s="21"/>
      <c r="AC38" s="21"/>
      <c r="AD38" s="21"/>
      <c r="AE38" s="21" t="s">
        <v>309</v>
      </c>
      <c r="AF38" s="21"/>
      <c r="AG38" s="21"/>
      <c r="AH38" s="21"/>
      <c r="AI38" s="21"/>
      <c r="AJ38" s="21"/>
      <c r="AK38" s="17" t="n">
        <f aca="false">IF(B38="","",COUNTA(F38:AJ38))</f>
        <v>2</v>
      </c>
      <c r="AL38" s="30" t="n">
        <f aca="false">IF(B38="","",SUM(AM38:BQ38))</f>
        <v>733000</v>
      </c>
      <c r="AM38" s="31" t="n">
        <f aca="false">IF(OR($B38="",F38=""),0,IF(AND($E38="Trưởng tổ",F38="x"),SUMIFS(KT_TRUONG,KT_LOAI,"Tổ",KT_TO,$D38,KT_NGAY,1),SUMIFS(KT_PHAN,KT_LOAI,"Tổ",KT_TO,IF(F38="x",$D38,F38),KT_NGAY,1)))</f>
        <v>0</v>
      </c>
      <c r="AN38" s="31" t="n">
        <f aca="false">IF(OR($B38="",G38=""),0,IF(AND($E38="Trưởng tổ",G38="x"),SUMIFS(KT_TRUONG,KT_LOAI,"Tổ",KT_TO,$D38,KT_NGAY,2),SUMIFS(KT_PHAN,KT_LOAI,"Tổ",KT_TO,IF(G38="x",$D38,G38),KT_NGAY,2)))</f>
        <v>0</v>
      </c>
      <c r="AO38" s="31" t="n">
        <f aca="false">IF(OR($B38="",H38=""),0,IF(AND($E38="Trưởng tổ",H38="x"),SUMIFS(KT_TRUONG,KT_LOAI,"Tổ",KT_TO,$D38,KT_NGAY,3),SUMIFS(KT_PHAN,KT_LOAI,"Tổ",KT_TO,IF(H38="x",$D38,H38),KT_NGAY,3)))</f>
        <v>0</v>
      </c>
      <c r="AP38" s="31" t="n">
        <f aca="false">IF(OR($B38="",I38=""),0,IF(AND($E38="Trưởng tổ",I38="x"),SUMIFS(KT_TRUONG,KT_LOAI,"Tổ",KT_TO,$D38,KT_NGAY,4),SUMIFS(KT_PHAN,KT_LOAI,"Tổ",KT_TO,IF(I38="x",$D38,I38),KT_NGAY,4)))</f>
        <v>0</v>
      </c>
      <c r="AQ38" s="31" t="n">
        <f aca="false">IF(OR($B38="",J38=""),0,IF(AND($E38="Trưởng tổ",J38="x"),SUMIFS(KT_TRUONG,KT_LOAI,"Tổ",KT_TO,$D38,KT_NGAY,5),SUMIFS(KT_PHAN,KT_LOAI,"Tổ",KT_TO,IF(J38="x",$D38,J38),KT_NGAY,5)))</f>
        <v>0</v>
      </c>
      <c r="AR38" s="31" t="n">
        <f aca="false">IF(OR($B38="",K38=""),0,IF(AND($E38="Trưởng tổ",K38="x"),SUMIFS(KT_TRUONG,KT_LOAI,"Tổ",KT_TO,$D38,KT_NGAY,6),SUMIFS(KT_PHAN,KT_LOAI,"Tổ",KT_TO,IF(K38="x",$D38,K38),KT_NGAY,6)))</f>
        <v>0</v>
      </c>
      <c r="AS38" s="31" t="n">
        <f aca="false">IF(OR($B38="",L38=""),0,IF(AND($E38="Trưởng tổ",L38="x"),SUMIFS(KT_TRUONG,KT_LOAI,"Tổ",KT_TO,$D38,KT_NGAY,7),SUMIFS(KT_PHAN,KT_LOAI,"Tổ",KT_TO,IF(L38="x",$D38,L38),KT_NGAY,7)))</f>
        <v>0</v>
      </c>
      <c r="AT38" s="31" t="n">
        <f aca="false">IF(OR($B38="",M38=""),0,IF(AND($E38="Trưởng tổ",M38="x"),SUMIFS(KT_TRUONG,KT_LOAI,"Tổ",KT_TO,$D38,KT_NGAY,8),SUMIFS(KT_PHAN,KT_LOAI,"Tổ",KT_TO,IF(M38="x",$D38,M38),KT_NGAY,8)))</f>
        <v>0</v>
      </c>
      <c r="AU38" s="31" t="n">
        <f aca="false">IF(OR($B38="",N38=""),0,IF(AND($E38="Trưởng tổ",N38="x"),SUMIFS(KT_TRUONG,KT_LOAI,"Tổ",KT_TO,$D38,KT_NGAY,9),SUMIFS(KT_PHAN,KT_LOAI,"Tổ",KT_TO,IF(N38="x",$D38,N38),KT_NGAY,9)))</f>
        <v>0</v>
      </c>
      <c r="AV38" s="31" t="n">
        <f aca="false">IF(OR($B38="",O38=""),0,IF(AND($E38="Trưởng tổ",O38="x"),SUMIFS(KT_TRUONG,KT_LOAI,"Tổ",KT_TO,$D38,KT_NGAY,10),SUMIFS(KT_PHAN,KT_LOAI,"Tổ",KT_TO,IF(O38="x",$D38,O38),KT_NGAY,10)))</f>
        <v>0</v>
      </c>
      <c r="AW38" s="31" t="n">
        <f aca="false">IF(OR($B38="",P38=""),0,IF(AND($E38="Trưởng tổ",P38="x"),SUMIFS(KT_TRUONG,KT_LOAI,"Tổ",KT_TO,$D38,KT_NGAY,11),SUMIFS(KT_PHAN,KT_LOAI,"Tổ",KT_TO,IF(P38="x",$D38,P38),KT_NGAY,11)))</f>
        <v>0</v>
      </c>
      <c r="AX38" s="31" t="n">
        <f aca="false">IF(OR($B38="",Q38=""),0,IF(AND($E38="Trưởng tổ",Q38="x"),SUMIFS(KT_TRUONG,KT_LOAI,"Tổ",KT_TO,$D38,KT_NGAY,12),SUMIFS(KT_PHAN,KT_LOAI,"Tổ",KT_TO,IF(Q38="x",$D38,Q38),KT_NGAY,12)))</f>
        <v>0</v>
      </c>
      <c r="AY38" s="31" t="n">
        <f aca="false">IF(OR($B38="",R38=""),0,IF(AND($E38="Trưởng tổ",R38="x"),SUMIFS(KT_TRUONG,KT_LOAI,"Tổ",KT_TO,$D38,KT_NGAY,13),SUMIFS(KT_PHAN,KT_LOAI,"Tổ",KT_TO,IF(R38="x",$D38,R38),KT_NGAY,13)))</f>
        <v>0</v>
      </c>
      <c r="AZ38" s="31" t="n">
        <f aca="false">IF(OR($B38="",S38=""),0,IF(AND($E38="Trưởng tổ",S38="x"),SUMIFS(KT_TRUONG,KT_LOAI,"Tổ",KT_TO,$D38,KT_NGAY,14),SUMIFS(KT_PHAN,KT_LOAI,"Tổ",KT_TO,IF(S38="x",$D38,S38),KT_NGAY,14)))</f>
        <v>0</v>
      </c>
      <c r="BA38" s="31" t="n">
        <f aca="false">IF(OR($B38="",T38=""),0,IF(AND($E38="Trưởng tổ",T38="x"),SUMIFS(KT_TRUONG,KT_LOAI,"Tổ",KT_TO,$D38,KT_NGAY,15),SUMIFS(KT_PHAN,KT_LOAI,"Tổ",KT_TO,IF(T38="x",$D38,T38),KT_NGAY,15)))</f>
        <v>0</v>
      </c>
      <c r="BB38" s="31" t="n">
        <f aca="false">IF(OR($B38="",U38=""),0,IF(AND($E38="Trưởng tổ",U38="x"),SUMIFS(KT_TRUONG,KT_LOAI,"Tổ",KT_TO,$D38,KT_NGAY,16),SUMIFS(KT_PHAN,KT_LOAI,"Tổ",KT_TO,IF(U38="x",$D38,U38),KT_NGAY,16)))</f>
        <v>0</v>
      </c>
      <c r="BC38" s="31" t="n">
        <f aca="false">IF(OR($B38="",V38=""),0,IF(AND($E38="Trưởng tổ",V38="x"),SUMIFS(KT_TRUONG,KT_LOAI,"Tổ",KT_TO,$D38,KT_NGAY,17),SUMIFS(KT_PHAN,KT_LOAI,"Tổ",KT_TO,IF(V38="x",$D38,V38),KT_NGAY,17)))</f>
        <v>0</v>
      </c>
      <c r="BD38" s="31" t="n">
        <f aca="false">IF(OR($B38="",W38=""),0,IF(AND($E38="Trưởng tổ",W38="x"),SUMIFS(KT_TRUONG,KT_LOAI,"Tổ",KT_TO,$D38,KT_NGAY,18),SUMIFS(KT_PHAN,KT_LOAI,"Tổ",KT_TO,IF(W38="x",$D38,W38),KT_NGAY,18)))</f>
        <v>439000</v>
      </c>
      <c r="BE38" s="31" t="n">
        <f aca="false">IF(OR($B38="",X38=""),0,IF(AND($E38="Trưởng tổ",X38="x"),SUMIFS(KT_TRUONG,KT_LOAI,"Tổ",KT_TO,$D38,KT_NGAY,19),SUMIFS(KT_PHAN,KT_LOAI,"Tổ",KT_TO,IF(X38="x",$D38,X38),KT_NGAY,19)))</f>
        <v>0</v>
      </c>
      <c r="BF38" s="31" t="n">
        <f aca="false">IF(OR($B38="",Y38=""),0,IF(AND($E38="Trưởng tổ",Y38="x"),SUMIFS(KT_TRUONG,KT_LOAI,"Tổ",KT_TO,$D38,KT_NGAY,20),SUMIFS(KT_PHAN,KT_LOAI,"Tổ",KT_TO,IF(Y38="x",$D38,Y38),KT_NGAY,20)))</f>
        <v>0</v>
      </c>
      <c r="BG38" s="31" t="n">
        <f aca="false">IF(OR($B38="",Z38=""),0,IF(AND($E38="Trưởng tổ",Z38="x"),SUMIFS(KT_TRUONG,KT_LOAI,"Tổ",KT_TO,$D38,KT_NGAY,21),SUMIFS(KT_PHAN,KT_LOAI,"Tổ",KT_TO,IF(Z38="x",$D38,Z38),KT_NGAY,21)))</f>
        <v>0</v>
      </c>
      <c r="BH38" s="31" t="n">
        <f aca="false">IF(OR($B38="",AA38=""),0,IF(AND($E38="Trưởng tổ",AA38="x"),SUMIFS(KT_TRUONG,KT_LOAI,"Tổ",KT_TO,$D38,KT_NGAY,22),SUMIFS(KT_PHAN,KT_LOAI,"Tổ",KT_TO,IF(AA38="x",$D38,AA38),KT_NGAY,22)))</f>
        <v>0</v>
      </c>
      <c r="BI38" s="31" t="n">
        <f aca="false">IF(OR($B38="",AB38=""),0,IF(AND($E38="Trưởng tổ",AB38="x"),SUMIFS(KT_TRUONG,KT_LOAI,"Tổ",KT_TO,$D38,KT_NGAY,23),SUMIFS(KT_PHAN,KT_LOAI,"Tổ",KT_TO,IF(AB38="x",$D38,AB38),KT_NGAY,23)))</f>
        <v>0</v>
      </c>
      <c r="BJ38" s="31" t="n">
        <f aca="false">IF(OR($B38="",AC38=""),0,IF(AND($E38="Trưởng tổ",AC38="x"),SUMIFS(KT_TRUONG,KT_LOAI,"Tổ",KT_TO,$D38,KT_NGAY,24),SUMIFS(KT_PHAN,KT_LOAI,"Tổ",KT_TO,IF(AC38="x",$D38,AC38),KT_NGAY,24)))</f>
        <v>0</v>
      </c>
      <c r="BK38" s="31" t="n">
        <f aca="false">IF(OR($B38="",AD38=""),0,IF(AND($E38="Trưởng tổ",AD38="x"),SUMIFS(KT_TRUONG,KT_LOAI,"Tổ",KT_TO,$D38,KT_NGAY,25),SUMIFS(KT_PHAN,KT_LOAI,"Tổ",KT_TO,IF(AD38="x",$D38,AD38),KT_NGAY,25)))</f>
        <v>0</v>
      </c>
      <c r="BL38" s="31" t="n">
        <f aca="false">IF(OR($B38="",AE38=""),0,IF(AND($E38="Trưởng tổ",AE38="x"),SUMIFS(KT_TRUONG,KT_LOAI,"Tổ",KT_TO,$D38,KT_NGAY,26),SUMIFS(KT_PHAN,KT_LOAI,"Tổ",KT_TO,IF(AE38="x",$D38,AE38),KT_NGAY,26)))</f>
        <v>294000</v>
      </c>
      <c r="BM38" s="31" t="n">
        <f aca="false">IF(OR($B38="",AF38=""),0,IF(AND($E38="Trưởng tổ",AF38="x"),SUMIFS(KT_TRUONG,KT_LOAI,"Tổ",KT_TO,$D38,KT_NGAY,27),SUMIFS(KT_PHAN,KT_LOAI,"Tổ",KT_TO,IF(AF38="x",$D38,AF38),KT_NGAY,27)))</f>
        <v>0</v>
      </c>
      <c r="BN38" s="31" t="n">
        <f aca="false">IF(OR($B38="",AG38=""),0,IF(AND($E38="Trưởng tổ",AG38="x"),SUMIFS(KT_TRUONG,KT_LOAI,"Tổ",KT_TO,$D38,KT_NGAY,28),SUMIFS(KT_PHAN,KT_LOAI,"Tổ",KT_TO,IF(AG38="x",$D38,AG38),KT_NGAY,28)))</f>
        <v>0</v>
      </c>
      <c r="BO38" s="31" t="n">
        <f aca="false">IF(OR($B38="",AH38=""),0,IF(AND($E38="Trưởng tổ",AH38="x"),SUMIFS(KT_TRUONG,KT_LOAI,"Tổ",KT_TO,$D38,KT_NGAY,29),SUMIFS(KT_PHAN,KT_LOAI,"Tổ",KT_TO,IF(AH38="x",$D38,AH38),KT_NGAY,29)))</f>
        <v>0</v>
      </c>
      <c r="BP38" s="31" t="n">
        <f aca="false">IF(OR($B38="",AI38=""),0,IF(AND($E38="Trưởng tổ",AI38="x"),SUMIFS(KT_TRUONG,KT_LOAI,"Tổ",KT_TO,$D38,KT_NGAY,30),SUMIFS(KT_PHAN,KT_LOAI,"Tổ",KT_TO,IF(AI38="x",$D38,AI38),KT_NGAY,30)))</f>
        <v>0</v>
      </c>
      <c r="BQ38" s="31" t="n">
        <f aca="false">IF(OR($B38="",AJ38=""),0,IF(AND($E38="Trưởng tổ",AJ38="x"),SUMIFS(KT_TRUONG,KT_LOAI,"Tổ",KT_TO,$D38,KT_NGAY,31),SUMIFS(KT_PHAN,KT_LOAI,"Tổ",KT_TO,IF(AJ38="x",$D38,AJ38),KT_NGAY,31)))</f>
        <v>0</v>
      </c>
    </row>
    <row r="39" customFormat="false" ht="15" hidden="false" customHeight="false" outlineLevel="0" collapsed="false">
      <c r="A39" s="17" t="n">
        <f aca="false">IF(B39="","",ROW()-5)</f>
        <v>34</v>
      </c>
      <c r="B39" s="29" t="str">
        <f aca="false">IF(OR(BCC!B39="",BCC!D39&lt;&gt;"Thời vụ HAQT"),"",BCC!B39)</f>
        <v>QT-08</v>
      </c>
      <c r="C39" s="17" t="str">
        <f aca="false">IF(B39="","",BCC!C39)</f>
        <v>Nguyễn Thị Thanh</v>
      </c>
      <c r="D39" s="17" t="str">
        <f aca="false">IF(B39="","",IFERROR(INDEX(NV_TO,MATCH(B39,NV_MA,0)),""))</f>
        <v>Tổ 1</v>
      </c>
      <c r="E39" s="17" t="str">
        <f aca="false">IF(B39="","",IFERROR(INDEX(NV_VT,MATCH(B39,NV_MA,0)),""))</f>
        <v>Thành viên</v>
      </c>
      <c r="F39" s="21"/>
      <c r="G39" s="21"/>
      <c r="H39" s="21"/>
      <c r="I39" s="21"/>
      <c r="J39" s="21"/>
      <c r="K39" s="21"/>
      <c r="L39" s="21"/>
      <c r="M39" s="21"/>
      <c r="N39" s="21"/>
      <c r="O39" s="21"/>
      <c r="P39" s="21"/>
      <c r="Q39" s="21"/>
      <c r="R39" s="21"/>
      <c r="S39" s="21"/>
      <c r="T39" s="21"/>
      <c r="U39" s="21"/>
      <c r="V39" s="21"/>
      <c r="W39" s="21" t="s">
        <v>309</v>
      </c>
      <c r="X39" s="21"/>
      <c r="Y39" s="21"/>
      <c r="Z39" s="21"/>
      <c r="AA39" s="21"/>
      <c r="AB39" s="21"/>
      <c r="AC39" s="21"/>
      <c r="AD39" s="21"/>
      <c r="AE39" s="21" t="s">
        <v>309</v>
      </c>
      <c r="AF39" s="21"/>
      <c r="AG39" s="21"/>
      <c r="AH39" s="21"/>
      <c r="AI39" s="21"/>
      <c r="AJ39" s="21"/>
      <c r="AK39" s="17" t="n">
        <f aca="false">IF(B39="","",COUNTA(F39:AJ39))</f>
        <v>2</v>
      </c>
      <c r="AL39" s="30" t="n">
        <f aca="false">IF(B39="","",SUM(AM39:BQ39))</f>
        <v>733000</v>
      </c>
      <c r="AM39" s="31" t="n">
        <f aca="false">IF(OR($B39="",F39=""),0,IF(AND($E39="Trưởng tổ",F39="x"),SUMIFS(KT_TRUONG,KT_LOAI,"Tổ",KT_TO,$D39,KT_NGAY,1),SUMIFS(KT_PHAN,KT_LOAI,"Tổ",KT_TO,IF(F39="x",$D39,F39),KT_NGAY,1)))</f>
        <v>0</v>
      </c>
      <c r="AN39" s="31" t="n">
        <f aca="false">IF(OR($B39="",G39=""),0,IF(AND($E39="Trưởng tổ",G39="x"),SUMIFS(KT_TRUONG,KT_LOAI,"Tổ",KT_TO,$D39,KT_NGAY,2),SUMIFS(KT_PHAN,KT_LOAI,"Tổ",KT_TO,IF(G39="x",$D39,G39),KT_NGAY,2)))</f>
        <v>0</v>
      </c>
      <c r="AO39" s="31" t="n">
        <f aca="false">IF(OR($B39="",H39=""),0,IF(AND($E39="Trưởng tổ",H39="x"),SUMIFS(KT_TRUONG,KT_LOAI,"Tổ",KT_TO,$D39,KT_NGAY,3),SUMIFS(KT_PHAN,KT_LOAI,"Tổ",KT_TO,IF(H39="x",$D39,H39),KT_NGAY,3)))</f>
        <v>0</v>
      </c>
      <c r="AP39" s="31" t="n">
        <f aca="false">IF(OR($B39="",I39=""),0,IF(AND($E39="Trưởng tổ",I39="x"),SUMIFS(KT_TRUONG,KT_LOAI,"Tổ",KT_TO,$D39,KT_NGAY,4),SUMIFS(KT_PHAN,KT_LOAI,"Tổ",KT_TO,IF(I39="x",$D39,I39),KT_NGAY,4)))</f>
        <v>0</v>
      </c>
      <c r="AQ39" s="31" t="n">
        <f aca="false">IF(OR($B39="",J39=""),0,IF(AND($E39="Trưởng tổ",J39="x"),SUMIFS(KT_TRUONG,KT_LOAI,"Tổ",KT_TO,$D39,KT_NGAY,5),SUMIFS(KT_PHAN,KT_LOAI,"Tổ",KT_TO,IF(J39="x",$D39,J39),KT_NGAY,5)))</f>
        <v>0</v>
      </c>
      <c r="AR39" s="31" t="n">
        <f aca="false">IF(OR($B39="",K39=""),0,IF(AND($E39="Trưởng tổ",K39="x"),SUMIFS(KT_TRUONG,KT_LOAI,"Tổ",KT_TO,$D39,KT_NGAY,6),SUMIFS(KT_PHAN,KT_LOAI,"Tổ",KT_TO,IF(K39="x",$D39,K39),KT_NGAY,6)))</f>
        <v>0</v>
      </c>
      <c r="AS39" s="31" t="n">
        <f aca="false">IF(OR($B39="",L39=""),0,IF(AND($E39="Trưởng tổ",L39="x"),SUMIFS(KT_TRUONG,KT_LOAI,"Tổ",KT_TO,$D39,KT_NGAY,7),SUMIFS(KT_PHAN,KT_LOAI,"Tổ",KT_TO,IF(L39="x",$D39,L39),KT_NGAY,7)))</f>
        <v>0</v>
      </c>
      <c r="AT39" s="31" t="n">
        <f aca="false">IF(OR($B39="",M39=""),0,IF(AND($E39="Trưởng tổ",M39="x"),SUMIFS(KT_TRUONG,KT_LOAI,"Tổ",KT_TO,$D39,KT_NGAY,8),SUMIFS(KT_PHAN,KT_LOAI,"Tổ",KT_TO,IF(M39="x",$D39,M39),KT_NGAY,8)))</f>
        <v>0</v>
      </c>
      <c r="AU39" s="31" t="n">
        <f aca="false">IF(OR($B39="",N39=""),0,IF(AND($E39="Trưởng tổ",N39="x"),SUMIFS(KT_TRUONG,KT_LOAI,"Tổ",KT_TO,$D39,KT_NGAY,9),SUMIFS(KT_PHAN,KT_LOAI,"Tổ",KT_TO,IF(N39="x",$D39,N39),KT_NGAY,9)))</f>
        <v>0</v>
      </c>
      <c r="AV39" s="31" t="n">
        <f aca="false">IF(OR($B39="",O39=""),0,IF(AND($E39="Trưởng tổ",O39="x"),SUMIFS(KT_TRUONG,KT_LOAI,"Tổ",KT_TO,$D39,KT_NGAY,10),SUMIFS(KT_PHAN,KT_LOAI,"Tổ",KT_TO,IF(O39="x",$D39,O39),KT_NGAY,10)))</f>
        <v>0</v>
      </c>
      <c r="AW39" s="31" t="n">
        <f aca="false">IF(OR($B39="",P39=""),0,IF(AND($E39="Trưởng tổ",P39="x"),SUMIFS(KT_TRUONG,KT_LOAI,"Tổ",KT_TO,$D39,KT_NGAY,11),SUMIFS(KT_PHAN,KT_LOAI,"Tổ",KT_TO,IF(P39="x",$D39,P39),KT_NGAY,11)))</f>
        <v>0</v>
      </c>
      <c r="AX39" s="31" t="n">
        <f aca="false">IF(OR($B39="",Q39=""),0,IF(AND($E39="Trưởng tổ",Q39="x"),SUMIFS(KT_TRUONG,KT_LOAI,"Tổ",KT_TO,$D39,KT_NGAY,12),SUMIFS(KT_PHAN,KT_LOAI,"Tổ",KT_TO,IF(Q39="x",$D39,Q39),KT_NGAY,12)))</f>
        <v>0</v>
      </c>
      <c r="AY39" s="31" t="n">
        <f aca="false">IF(OR($B39="",R39=""),0,IF(AND($E39="Trưởng tổ",R39="x"),SUMIFS(KT_TRUONG,KT_LOAI,"Tổ",KT_TO,$D39,KT_NGAY,13),SUMIFS(KT_PHAN,KT_LOAI,"Tổ",KT_TO,IF(R39="x",$D39,R39),KT_NGAY,13)))</f>
        <v>0</v>
      </c>
      <c r="AZ39" s="31" t="n">
        <f aca="false">IF(OR($B39="",S39=""),0,IF(AND($E39="Trưởng tổ",S39="x"),SUMIFS(KT_TRUONG,KT_LOAI,"Tổ",KT_TO,$D39,KT_NGAY,14),SUMIFS(KT_PHAN,KT_LOAI,"Tổ",KT_TO,IF(S39="x",$D39,S39),KT_NGAY,14)))</f>
        <v>0</v>
      </c>
      <c r="BA39" s="31" t="n">
        <f aca="false">IF(OR($B39="",T39=""),0,IF(AND($E39="Trưởng tổ",T39="x"),SUMIFS(KT_TRUONG,KT_LOAI,"Tổ",KT_TO,$D39,KT_NGAY,15),SUMIFS(KT_PHAN,KT_LOAI,"Tổ",KT_TO,IF(T39="x",$D39,T39),KT_NGAY,15)))</f>
        <v>0</v>
      </c>
      <c r="BB39" s="31" t="n">
        <f aca="false">IF(OR($B39="",U39=""),0,IF(AND($E39="Trưởng tổ",U39="x"),SUMIFS(KT_TRUONG,KT_LOAI,"Tổ",KT_TO,$D39,KT_NGAY,16),SUMIFS(KT_PHAN,KT_LOAI,"Tổ",KT_TO,IF(U39="x",$D39,U39),KT_NGAY,16)))</f>
        <v>0</v>
      </c>
      <c r="BC39" s="31" t="n">
        <f aca="false">IF(OR($B39="",V39=""),0,IF(AND($E39="Trưởng tổ",V39="x"),SUMIFS(KT_TRUONG,KT_LOAI,"Tổ",KT_TO,$D39,KT_NGAY,17),SUMIFS(KT_PHAN,KT_LOAI,"Tổ",KT_TO,IF(V39="x",$D39,V39),KT_NGAY,17)))</f>
        <v>0</v>
      </c>
      <c r="BD39" s="31" t="n">
        <f aca="false">IF(OR($B39="",W39=""),0,IF(AND($E39="Trưởng tổ",W39="x"),SUMIFS(KT_TRUONG,KT_LOAI,"Tổ",KT_TO,$D39,KT_NGAY,18),SUMIFS(KT_PHAN,KT_LOAI,"Tổ",KT_TO,IF(W39="x",$D39,W39),KT_NGAY,18)))</f>
        <v>439000</v>
      </c>
      <c r="BE39" s="31" t="n">
        <f aca="false">IF(OR($B39="",X39=""),0,IF(AND($E39="Trưởng tổ",X39="x"),SUMIFS(KT_TRUONG,KT_LOAI,"Tổ",KT_TO,$D39,KT_NGAY,19),SUMIFS(KT_PHAN,KT_LOAI,"Tổ",KT_TO,IF(X39="x",$D39,X39),KT_NGAY,19)))</f>
        <v>0</v>
      </c>
      <c r="BF39" s="31" t="n">
        <f aca="false">IF(OR($B39="",Y39=""),0,IF(AND($E39="Trưởng tổ",Y39="x"),SUMIFS(KT_TRUONG,KT_LOAI,"Tổ",KT_TO,$D39,KT_NGAY,20),SUMIFS(KT_PHAN,KT_LOAI,"Tổ",KT_TO,IF(Y39="x",$D39,Y39),KT_NGAY,20)))</f>
        <v>0</v>
      </c>
      <c r="BG39" s="31" t="n">
        <f aca="false">IF(OR($B39="",Z39=""),0,IF(AND($E39="Trưởng tổ",Z39="x"),SUMIFS(KT_TRUONG,KT_LOAI,"Tổ",KT_TO,$D39,KT_NGAY,21),SUMIFS(KT_PHAN,KT_LOAI,"Tổ",KT_TO,IF(Z39="x",$D39,Z39),KT_NGAY,21)))</f>
        <v>0</v>
      </c>
      <c r="BH39" s="31" t="n">
        <f aca="false">IF(OR($B39="",AA39=""),0,IF(AND($E39="Trưởng tổ",AA39="x"),SUMIFS(KT_TRUONG,KT_LOAI,"Tổ",KT_TO,$D39,KT_NGAY,22),SUMIFS(KT_PHAN,KT_LOAI,"Tổ",KT_TO,IF(AA39="x",$D39,AA39),KT_NGAY,22)))</f>
        <v>0</v>
      </c>
      <c r="BI39" s="31" t="n">
        <f aca="false">IF(OR($B39="",AB39=""),0,IF(AND($E39="Trưởng tổ",AB39="x"),SUMIFS(KT_TRUONG,KT_LOAI,"Tổ",KT_TO,$D39,KT_NGAY,23),SUMIFS(KT_PHAN,KT_LOAI,"Tổ",KT_TO,IF(AB39="x",$D39,AB39),KT_NGAY,23)))</f>
        <v>0</v>
      </c>
      <c r="BJ39" s="31" t="n">
        <f aca="false">IF(OR($B39="",AC39=""),0,IF(AND($E39="Trưởng tổ",AC39="x"),SUMIFS(KT_TRUONG,KT_LOAI,"Tổ",KT_TO,$D39,KT_NGAY,24),SUMIFS(KT_PHAN,KT_LOAI,"Tổ",KT_TO,IF(AC39="x",$D39,AC39),KT_NGAY,24)))</f>
        <v>0</v>
      </c>
      <c r="BK39" s="31" t="n">
        <f aca="false">IF(OR($B39="",AD39=""),0,IF(AND($E39="Trưởng tổ",AD39="x"),SUMIFS(KT_TRUONG,KT_LOAI,"Tổ",KT_TO,$D39,KT_NGAY,25),SUMIFS(KT_PHAN,KT_LOAI,"Tổ",KT_TO,IF(AD39="x",$D39,AD39),KT_NGAY,25)))</f>
        <v>0</v>
      </c>
      <c r="BL39" s="31" t="n">
        <f aca="false">IF(OR($B39="",AE39=""),0,IF(AND($E39="Trưởng tổ",AE39="x"),SUMIFS(KT_TRUONG,KT_LOAI,"Tổ",KT_TO,$D39,KT_NGAY,26),SUMIFS(KT_PHAN,KT_LOAI,"Tổ",KT_TO,IF(AE39="x",$D39,AE39),KT_NGAY,26)))</f>
        <v>294000</v>
      </c>
      <c r="BM39" s="31" t="n">
        <f aca="false">IF(OR($B39="",AF39=""),0,IF(AND($E39="Trưởng tổ",AF39="x"),SUMIFS(KT_TRUONG,KT_LOAI,"Tổ",KT_TO,$D39,KT_NGAY,27),SUMIFS(KT_PHAN,KT_LOAI,"Tổ",KT_TO,IF(AF39="x",$D39,AF39),KT_NGAY,27)))</f>
        <v>0</v>
      </c>
      <c r="BN39" s="31" t="n">
        <f aca="false">IF(OR($B39="",AG39=""),0,IF(AND($E39="Trưởng tổ",AG39="x"),SUMIFS(KT_TRUONG,KT_LOAI,"Tổ",KT_TO,$D39,KT_NGAY,28),SUMIFS(KT_PHAN,KT_LOAI,"Tổ",KT_TO,IF(AG39="x",$D39,AG39),KT_NGAY,28)))</f>
        <v>0</v>
      </c>
      <c r="BO39" s="31" t="n">
        <f aca="false">IF(OR($B39="",AH39=""),0,IF(AND($E39="Trưởng tổ",AH39="x"),SUMIFS(KT_TRUONG,KT_LOAI,"Tổ",KT_TO,$D39,KT_NGAY,29),SUMIFS(KT_PHAN,KT_LOAI,"Tổ",KT_TO,IF(AH39="x",$D39,AH39),KT_NGAY,29)))</f>
        <v>0</v>
      </c>
      <c r="BP39" s="31" t="n">
        <f aca="false">IF(OR($B39="",AI39=""),0,IF(AND($E39="Trưởng tổ",AI39="x"),SUMIFS(KT_TRUONG,KT_LOAI,"Tổ",KT_TO,$D39,KT_NGAY,30),SUMIFS(KT_PHAN,KT_LOAI,"Tổ",KT_TO,IF(AI39="x",$D39,AI39),KT_NGAY,30)))</f>
        <v>0</v>
      </c>
      <c r="BQ39" s="31" t="n">
        <f aca="false">IF(OR($B39="",AJ39=""),0,IF(AND($E39="Trưởng tổ",AJ39="x"),SUMIFS(KT_TRUONG,KT_LOAI,"Tổ",KT_TO,$D39,KT_NGAY,31),SUMIFS(KT_PHAN,KT_LOAI,"Tổ",KT_TO,IF(AJ39="x",$D39,AJ39),KT_NGAY,31)))</f>
        <v>0</v>
      </c>
    </row>
    <row r="40" customFormat="false" ht="15" hidden="false" customHeight="false" outlineLevel="0" collapsed="false">
      <c r="A40" s="17" t="n">
        <f aca="false">IF(B40="","",ROW()-5)</f>
        <v>35</v>
      </c>
      <c r="B40" s="29" t="str">
        <f aca="false">IF(OR(BCC!B40="",BCC!D40&lt;&gt;"Thời vụ HAQT"),"",BCC!B40)</f>
        <v>QT-09</v>
      </c>
      <c r="C40" s="17" t="str">
        <f aca="false">IF(B40="","",BCC!C40)</f>
        <v>Lưu Thị Lan</v>
      </c>
      <c r="D40" s="17" t="str">
        <f aca="false">IF(B40="","",IFERROR(INDEX(NV_TO,MATCH(B40,NV_MA,0)),""))</f>
        <v>Tổ 1</v>
      </c>
      <c r="E40" s="17" t="str">
        <f aca="false">IF(B40="","",IFERROR(INDEX(NV_VT,MATCH(B40,NV_MA,0)),""))</f>
        <v>Thành viên</v>
      </c>
      <c r="F40" s="21"/>
      <c r="G40" s="21"/>
      <c r="H40" s="21"/>
      <c r="I40" s="21"/>
      <c r="J40" s="21"/>
      <c r="K40" s="21"/>
      <c r="L40" s="21"/>
      <c r="M40" s="21"/>
      <c r="N40" s="21"/>
      <c r="O40" s="21"/>
      <c r="P40" s="21"/>
      <c r="Q40" s="21"/>
      <c r="R40" s="21"/>
      <c r="S40" s="21"/>
      <c r="T40" s="21"/>
      <c r="U40" s="21"/>
      <c r="V40" s="21"/>
      <c r="W40" s="21" t="s">
        <v>309</v>
      </c>
      <c r="X40" s="21"/>
      <c r="Y40" s="21"/>
      <c r="Z40" s="21"/>
      <c r="AA40" s="21"/>
      <c r="AB40" s="21"/>
      <c r="AC40" s="21"/>
      <c r="AD40" s="21"/>
      <c r="AE40" s="21" t="s">
        <v>309</v>
      </c>
      <c r="AF40" s="21"/>
      <c r="AG40" s="21"/>
      <c r="AH40" s="21"/>
      <c r="AI40" s="21"/>
      <c r="AJ40" s="21"/>
      <c r="AK40" s="17" t="n">
        <f aca="false">IF(B40="","",COUNTA(F40:AJ40))</f>
        <v>2</v>
      </c>
      <c r="AL40" s="30" t="n">
        <f aca="false">IF(B40="","",SUM(AM40:BQ40))</f>
        <v>733000</v>
      </c>
      <c r="AM40" s="31" t="n">
        <f aca="false">IF(OR($B40="",F40=""),0,IF(AND($E40="Trưởng tổ",F40="x"),SUMIFS(KT_TRUONG,KT_LOAI,"Tổ",KT_TO,$D40,KT_NGAY,1),SUMIFS(KT_PHAN,KT_LOAI,"Tổ",KT_TO,IF(F40="x",$D40,F40),KT_NGAY,1)))</f>
        <v>0</v>
      </c>
      <c r="AN40" s="31" t="n">
        <f aca="false">IF(OR($B40="",G40=""),0,IF(AND($E40="Trưởng tổ",G40="x"),SUMIFS(KT_TRUONG,KT_LOAI,"Tổ",KT_TO,$D40,KT_NGAY,2),SUMIFS(KT_PHAN,KT_LOAI,"Tổ",KT_TO,IF(G40="x",$D40,G40),KT_NGAY,2)))</f>
        <v>0</v>
      </c>
      <c r="AO40" s="31" t="n">
        <f aca="false">IF(OR($B40="",H40=""),0,IF(AND($E40="Trưởng tổ",H40="x"),SUMIFS(KT_TRUONG,KT_LOAI,"Tổ",KT_TO,$D40,KT_NGAY,3),SUMIFS(KT_PHAN,KT_LOAI,"Tổ",KT_TO,IF(H40="x",$D40,H40),KT_NGAY,3)))</f>
        <v>0</v>
      </c>
      <c r="AP40" s="31" t="n">
        <f aca="false">IF(OR($B40="",I40=""),0,IF(AND($E40="Trưởng tổ",I40="x"),SUMIFS(KT_TRUONG,KT_LOAI,"Tổ",KT_TO,$D40,KT_NGAY,4),SUMIFS(KT_PHAN,KT_LOAI,"Tổ",KT_TO,IF(I40="x",$D40,I40),KT_NGAY,4)))</f>
        <v>0</v>
      </c>
      <c r="AQ40" s="31" t="n">
        <f aca="false">IF(OR($B40="",J40=""),0,IF(AND($E40="Trưởng tổ",J40="x"),SUMIFS(KT_TRUONG,KT_LOAI,"Tổ",KT_TO,$D40,KT_NGAY,5),SUMIFS(KT_PHAN,KT_LOAI,"Tổ",KT_TO,IF(J40="x",$D40,J40),KT_NGAY,5)))</f>
        <v>0</v>
      </c>
      <c r="AR40" s="31" t="n">
        <f aca="false">IF(OR($B40="",K40=""),0,IF(AND($E40="Trưởng tổ",K40="x"),SUMIFS(KT_TRUONG,KT_LOAI,"Tổ",KT_TO,$D40,KT_NGAY,6),SUMIFS(KT_PHAN,KT_LOAI,"Tổ",KT_TO,IF(K40="x",$D40,K40),KT_NGAY,6)))</f>
        <v>0</v>
      </c>
      <c r="AS40" s="31" t="n">
        <f aca="false">IF(OR($B40="",L40=""),0,IF(AND($E40="Trưởng tổ",L40="x"),SUMIFS(KT_TRUONG,KT_LOAI,"Tổ",KT_TO,$D40,KT_NGAY,7),SUMIFS(KT_PHAN,KT_LOAI,"Tổ",KT_TO,IF(L40="x",$D40,L40),KT_NGAY,7)))</f>
        <v>0</v>
      </c>
      <c r="AT40" s="31" t="n">
        <f aca="false">IF(OR($B40="",M40=""),0,IF(AND($E40="Trưởng tổ",M40="x"),SUMIFS(KT_TRUONG,KT_LOAI,"Tổ",KT_TO,$D40,KT_NGAY,8),SUMIFS(KT_PHAN,KT_LOAI,"Tổ",KT_TO,IF(M40="x",$D40,M40),KT_NGAY,8)))</f>
        <v>0</v>
      </c>
      <c r="AU40" s="31" t="n">
        <f aca="false">IF(OR($B40="",N40=""),0,IF(AND($E40="Trưởng tổ",N40="x"),SUMIFS(KT_TRUONG,KT_LOAI,"Tổ",KT_TO,$D40,KT_NGAY,9),SUMIFS(KT_PHAN,KT_LOAI,"Tổ",KT_TO,IF(N40="x",$D40,N40),KT_NGAY,9)))</f>
        <v>0</v>
      </c>
      <c r="AV40" s="31" t="n">
        <f aca="false">IF(OR($B40="",O40=""),0,IF(AND($E40="Trưởng tổ",O40="x"),SUMIFS(KT_TRUONG,KT_LOAI,"Tổ",KT_TO,$D40,KT_NGAY,10),SUMIFS(KT_PHAN,KT_LOAI,"Tổ",KT_TO,IF(O40="x",$D40,O40),KT_NGAY,10)))</f>
        <v>0</v>
      </c>
      <c r="AW40" s="31" t="n">
        <f aca="false">IF(OR($B40="",P40=""),0,IF(AND($E40="Trưởng tổ",P40="x"),SUMIFS(KT_TRUONG,KT_LOAI,"Tổ",KT_TO,$D40,KT_NGAY,11),SUMIFS(KT_PHAN,KT_LOAI,"Tổ",KT_TO,IF(P40="x",$D40,P40),KT_NGAY,11)))</f>
        <v>0</v>
      </c>
      <c r="AX40" s="31" t="n">
        <f aca="false">IF(OR($B40="",Q40=""),0,IF(AND($E40="Trưởng tổ",Q40="x"),SUMIFS(KT_TRUONG,KT_LOAI,"Tổ",KT_TO,$D40,KT_NGAY,12),SUMIFS(KT_PHAN,KT_LOAI,"Tổ",KT_TO,IF(Q40="x",$D40,Q40),KT_NGAY,12)))</f>
        <v>0</v>
      </c>
      <c r="AY40" s="31" t="n">
        <f aca="false">IF(OR($B40="",R40=""),0,IF(AND($E40="Trưởng tổ",R40="x"),SUMIFS(KT_TRUONG,KT_LOAI,"Tổ",KT_TO,$D40,KT_NGAY,13),SUMIFS(KT_PHAN,KT_LOAI,"Tổ",KT_TO,IF(R40="x",$D40,R40),KT_NGAY,13)))</f>
        <v>0</v>
      </c>
      <c r="AZ40" s="31" t="n">
        <f aca="false">IF(OR($B40="",S40=""),0,IF(AND($E40="Trưởng tổ",S40="x"),SUMIFS(KT_TRUONG,KT_LOAI,"Tổ",KT_TO,$D40,KT_NGAY,14),SUMIFS(KT_PHAN,KT_LOAI,"Tổ",KT_TO,IF(S40="x",$D40,S40),KT_NGAY,14)))</f>
        <v>0</v>
      </c>
      <c r="BA40" s="31" t="n">
        <f aca="false">IF(OR($B40="",T40=""),0,IF(AND($E40="Trưởng tổ",T40="x"),SUMIFS(KT_TRUONG,KT_LOAI,"Tổ",KT_TO,$D40,KT_NGAY,15),SUMIFS(KT_PHAN,KT_LOAI,"Tổ",KT_TO,IF(T40="x",$D40,T40),KT_NGAY,15)))</f>
        <v>0</v>
      </c>
      <c r="BB40" s="31" t="n">
        <f aca="false">IF(OR($B40="",U40=""),0,IF(AND($E40="Trưởng tổ",U40="x"),SUMIFS(KT_TRUONG,KT_LOAI,"Tổ",KT_TO,$D40,KT_NGAY,16),SUMIFS(KT_PHAN,KT_LOAI,"Tổ",KT_TO,IF(U40="x",$D40,U40),KT_NGAY,16)))</f>
        <v>0</v>
      </c>
      <c r="BC40" s="31" t="n">
        <f aca="false">IF(OR($B40="",V40=""),0,IF(AND($E40="Trưởng tổ",V40="x"),SUMIFS(KT_TRUONG,KT_LOAI,"Tổ",KT_TO,$D40,KT_NGAY,17),SUMIFS(KT_PHAN,KT_LOAI,"Tổ",KT_TO,IF(V40="x",$D40,V40),KT_NGAY,17)))</f>
        <v>0</v>
      </c>
      <c r="BD40" s="31" t="n">
        <f aca="false">IF(OR($B40="",W40=""),0,IF(AND($E40="Trưởng tổ",W40="x"),SUMIFS(KT_TRUONG,KT_LOAI,"Tổ",KT_TO,$D40,KT_NGAY,18),SUMIFS(KT_PHAN,KT_LOAI,"Tổ",KT_TO,IF(W40="x",$D40,W40),KT_NGAY,18)))</f>
        <v>439000</v>
      </c>
      <c r="BE40" s="31" t="n">
        <f aca="false">IF(OR($B40="",X40=""),0,IF(AND($E40="Trưởng tổ",X40="x"),SUMIFS(KT_TRUONG,KT_LOAI,"Tổ",KT_TO,$D40,KT_NGAY,19),SUMIFS(KT_PHAN,KT_LOAI,"Tổ",KT_TO,IF(X40="x",$D40,X40),KT_NGAY,19)))</f>
        <v>0</v>
      </c>
      <c r="BF40" s="31" t="n">
        <f aca="false">IF(OR($B40="",Y40=""),0,IF(AND($E40="Trưởng tổ",Y40="x"),SUMIFS(KT_TRUONG,KT_LOAI,"Tổ",KT_TO,$D40,KT_NGAY,20),SUMIFS(KT_PHAN,KT_LOAI,"Tổ",KT_TO,IF(Y40="x",$D40,Y40),KT_NGAY,20)))</f>
        <v>0</v>
      </c>
      <c r="BG40" s="31" t="n">
        <f aca="false">IF(OR($B40="",Z40=""),0,IF(AND($E40="Trưởng tổ",Z40="x"),SUMIFS(KT_TRUONG,KT_LOAI,"Tổ",KT_TO,$D40,KT_NGAY,21),SUMIFS(KT_PHAN,KT_LOAI,"Tổ",KT_TO,IF(Z40="x",$D40,Z40),KT_NGAY,21)))</f>
        <v>0</v>
      </c>
      <c r="BH40" s="31" t="n">
        <f aca="false">IF(OR($B40="",AA40=""),0,IF(AND($E40="Trưởng tổ",AA40="x"),SUMIFS(KT_TRUONG,KT_LOAI,"Tổ",KT_TO,$D40,KT_NGAY,22),SUMIFS(KT_PHAN,KT_LOAI,"Tổ",KT_TO,IF(AA40="x",$D40,AA40),KT_NGAY,22)))</f>
        <v>0</v>
      </c>
      <c r="BI40" s="31" t="n">
        <f aca="false">IF(OR($B40="",AB40=""),0,IF(AND($E40="Trưởng tổ",AB40="x"),SUMIFS(KT_TRUONG,KT_LOAI,"Tổ",KT_TO,$D40,KT_NGAY,23),SUMIFS(KT_PHAN,KT_LOAI,"Tổ",KT_TO,IF(AB40="x",$D40,AB40),KT_NGAY,23)))</f>
        <v>0</v>
      </c>
      <c r="BJ40" s="31" t="n">
        <f aca="false">IF(OR($B40="",AC40=""),0,IF(AND($E40="Trưởng tổ",AC40="x"),SUMIFS(KT_TRUONG,KT_LOAI,"Tổ",KT_TO,$D40,KT_NGAY,24),SUMIFS(KT_PHAN,KT_LOAI,"Tổ",KT_TO,IF(AC40="x",$D40,AC40),KT_NGAY,24)))</f>
        <v>0</v>
      </c>
      <c r="BK40" s="31" t="n">
        <f aca="false">IF(OR($B40="",AD40=""),0,IF(AND($E40="Trưởng tổ",AD40="x"),SUMIFS(KT_TRUONG,KT_LOAI,"Tổ",KT_TO,$D40,KT_NGAY,25),SUMIFS(KT_PHAN,KT_LOAI,"Tổ",KT_TO,IF(AD40="x",$D40,AD40),KT_NGAY,25)))</f>
        <v>0</v>
      </c>
      <c r="BL40" s="31" t="n">
        <f aca="false">IF(OR($B40="",AE40=""),0,IF(AND($E40="Trưởng tổ",AE40="x"),SUMIFS(KT_TRUONG,KT_LOAI,"Tổ",KT_TO,$D40,KT_NGAY,26),SUMIFS(KT_PHAN,KT_LOAI,"Tổ",KT_TO,IF(AE40="x",$D40,AE40),KT_NGAY,26)))</f>
        <v>294000</v>
      </c>
      <c r="BM40" s="31" t="n">
        <f aca="false">IF(OR($B40="",AF40=""),0,IF(AND($E40="Trưởng tổ",AF40="x"),SUMIFS(KT_TRUONG,KT_LOAI,"Tổ",KT_TO,$D40,KT_NGAY,27),SUMIFS(KT_PHAN,KT_LOAI,"Tổ",KT_TO,IF(AF40="x",$D40,AF40),KT_NGAY,27)))</f>
        <v>0</v>
      </c>
      <c r="BN40" s="31" t="n">
        <f aca="false">IF(OR($B40="",AG40=""),0,IF(AND($E40="Trưởng tổ",AG40="x"),SUMIFS(KT_TRUONG,KT_LOAI,"Tổ",KT_TO,$D40,KT_NGAY,28),SUMIFS(KT_PHAN,KT_LOAI,"Tổ",KT_TO,IF(AG40="x",$D40,AG40),KT_NGAY,28)))</f>
        <v>0</v>
      </c>
      <c r="BO40" s="31" t="n">
        <f aca="false">IF(OR($B40="",AH40=""),0,IF(AND($E40="Trưởng tổ",AH40="x"),SUMIFS(KT_TRUONG,KT_LOAI,"Tổ",KT_TO,$D40,KT_NGAY,29),SUMIFS(KT_PHAN,KT_LOAI,"Tổ",KT_TO,IF(AH40="x",$D40,AH40),KT_NGAY,29)))</f>
        <v>0</v>
      </c>
      <c r="BP40" s="31" t="n">
        <f aca="false">IF(OR($B40="",AI40=""),0,IF(AND($E40="Trưởng tổ",AI40="x"),SUMIFS(KT_TRUONG,KT_LOAI,"Tổ",KT_TO,$D40,KT_NGAY,30),SUMIFS(KT_PHAN,KT_LOAI,"Tổ",KT_TO,IF(AI40="x",$D40,AI40),KT_NGAY,30)))</f>
        <v>0</v>
      </c>
      <c r="BQ40" s="31" t="n">
        <f aca="false">IF(OR($B40="",AJ40=""),0,IF(AND($E40="Trưởng tổ",AJ40="x"),SUMIFS(KT_TRUONG,KT_LOAI,"Tổ",KT_TO,$D40,KT_NGAY,31),SUMIFS(KT_PHAN,KT_LOAI,"Tổ",KT_TO,IF(AJ40="x",$D40,AJ40),KT_NGAY,31)))</f>
        <v>0</v>
      </c>
    </row>
    <row r="41" customFormat="false" ht="15" hidden="false" customHeight="false" outlineLevel="0" collapsed="false">
      <c r="A41" s="17" t="n">
        <f aca="false">IF(B41="","",ROW()-5)</f>
        <v>36</v>
      </c>
      <c r="B41" s="29" t="str">
        <f aca="false">IF(OR(BCC!B41="",BCC!D41&lt;&gt;"Thời vụ HAQT"),"",BCC!B41)</f>
        <v>QT-10</v>
      </c>
      <c r="C41" s="17" t="str">
        <f aca="false">IF(B41="","",BCC!C41)</f>
        <v>Lê Thị Minh Thu</v>
      </c>
      <c r="D41" s="17" t="str">
        <f aca="false">IF(B41="","",IFERROR(INDEX(NV_TO,MATCH(B41,NV_MA,0)),""))</f>
        <v>Tổ 1</v>
      </c>
      <c r="E41" s="17" t="str">
        <f aca="false">IF(B41="","",IFERROR(INDEX(NV_VT,MATCH(B41,NV_MA,0)),""))</f>
        <v>Thành viên</v>
      </c>
      <c r="F41" s="21"/>
      <c r="G41" s="21"/>
      <c r="H41" s="21"/>
      <c r="I41" s="21"/>
      <c r="J41" s="21"/>
      <c r="K41" s="21"/>
      <c r="L41" s="21"/>
      <c r="M41" s="21"/>
      <c r="N41" s="21"/>
      <c r="O41" s="21"/>
      <c r="P41" s="21"/>
      <c r="Q41" s="21"/>
      <c r="R41" s="21"/>
      <c r="S41" s="21"/>
      <c r="T41" s="21"/>
      <c r="U41" s="21"/>
      <c r="V41" s="21"/>
      <c r="W41" s="21" t="s">
        <v>309</v>
      </c>
      <c r="X41" s="21"/>
      <c r="Y41" s="21"/>
      <c r="Z41" s="21"/>
      <c r="AA41" s="21"/>
      <c r="AB41" s="21"/>
      <c r="AC41" s="21"/>
      <c r="AD41" s="21"/>
      <c r="AE41" s="21"/>
      <c r="AF41" s="21"/>
      <c r="AG41" s="21"/>
      <c r="AH41" s="21"/>
      <c r="AI41" s="21"/>
      <c r="AJ41" s="21"/>
      <c r="AK41" s="17" t="n">
        <f aca="false">IF(B41="","",COUNTA(F41:AJ41))</f>
        <v>1</v>
      </c>
      <c r="AL41" s="30" t="n">
        <f aca="false">IF(B41="","",SUM(AM41:BQ41))</f>
        <v>439000</v>
      </c>
      <c r="AM41" s="31" t="n">
        <f aca="false">IF(OR($B41="",F41=""),0,IF(AND($E41="Trưởng tổ",F41="x"),SUMIFS(KT_TRUONG,KT_LOAI,"Tổ",KT_TO,$D41,KT_NGAY,1),SUMIFS(KT_PHAN,KT_LOAI,"Tổ",KT_TO,IF(F41="x",$D41,F41),KT_NGAY,1)))</f>
        <v>0</v>
      </c>
      <c r="AN41" s="31" t="n">
        <f aca="false">IF(OR($B41="",G41=""),0,IF(AND($E41="Trưởng tổ",G41="x"),SUMIFS(KT_TRUONG,KT_LOAI,"Tổ",KT_TO,$D41,KT_NGAY,2),SUMIFS(KT_PHAN,KT_LOAI,"Tổ",KT_TO,IF(G41="x",$D41,G41),KT_NGAY,2)))</f>
        <v>0</v>
      </c>
      <c r="AO41" s="31" t="n">
        <f aca="false">IF(OR($B41="",H41=""),0,IF(AND($E41="Trưởng tổ",H41="x"),SUMIFS(KT_TRUONG,KT_LOAI,"Tổ",KT_TO,$D41,KT_NGAY,3),SUMIFS(KT_PHAN,KT_LOAI,"Tổ",KT_TO,IF(H41="x",$D41,H41),KT_NGAY,3)))</f>
        <v>0</v>
      </c>
      <c r="AP41" s="31" t="n">
        <f aca="false">IF(OR($B41="",I41=""),0,IF(AND($E41="Trưởng tổ",I41="x"),SUMIFS(KT_TRUONG,KT_LOAI,"Tổ",KT_TO,$D41,KT_NGAY,4),SUMIFS(KT_PHAN,KT_LOAI,"Tổ",KT_TO,IF(I41="x",$D41,I41),KT_NGAY,4)))</f>
        <v>0</v>
      </c>
      <c r="AQ41" s="31" t="n">
        <f aca="false">IF(OR($B41="",J41=""),0,IF(AND($E41="Trưởng tổ",J41="x"),SUMIFS(KT_TRUONG,KT_LOAI,"Tổ",KT_TO,$D41,KT_NGAY,5),SUMIFS(KT_PHAN,KT_LOAI,"Tổ",KT_TO,IF(J41="x",$D41,J41),KT_NGAY,5)))</f>
        <v>0</v>
      </c>
      <c r="AR41" s="31" t="n">
        <f aca="false">IF(OR($B41="",K41=""),0,IF(AND($E41="Trưởng tổ",K41="x"),SUMIFS(KT_TRUONG,KT_LOAI,"Tổ",KT_TO,$D41,KT_NGAY,6),SUMIFS(KT_PHAN,KT_LOAI,"Tổ",KT_TO,IF(K41="x",$D41,K41),KT_NGAY,6)))</f>
        <v>0</v>
      </c>
      <c r="AS41" s="31" t="n">
        <f aca="false">IF(OR($B41="",L41=""),0,IF(AND($E41="Trưởng tổ",L41="x"),SUMIFS(KT_TRUONG,KT_LOAI,"Tổ",KT_TO,$D41,KT_NGAY,7),SUMIFS(KT_PHAN,KT_LOAI,"Tổ",KT_TO,IF(L41="x",$D41,L41),KT_NGAY,7)))</f>
        <v>0</v>
      </c>
      <c r="AT41" s="31" t="n">
        <f aca="false">IF(OR($B41="",M41=""),0,IF(AND($E41="Trưởng tổ",M41="x"),SUMIFS(KT_TRUONG,KT_LOAI,"Tổ",KT_TO,$D41,KT_NGAY,8),SUMIFS(KT_PHAN,KT_LOAI,"Tổ",KT_TO,IF(M41="x",$D41,M41),KT_NGAY,8)))</f>
        <v>0</v>
      </c>
      <c r="AU41" s="31" t="n">
        <f aca="false">IF(OR($B41="",N41=""),0,IF(AND($E41="Trưởng tổ",N41="x"),SUMIFS(KT_TRUONG,KT_LOAI,"Tổ",KT_TO,$D41,KT_NGAY,9),SUMIFS(KT_PHAN,KT_LOAI,"Tổ",KT_TO,IF(N41="x",$D41,N41),KT_NGAY,9)))</f>
        <v>0</v>
      </c>
      <c r="AV41" s="31" t="n">
        <f aca="false">IF(OR($B41="",O41=""),0,IF(AND($E41="Trưởng tổ",O41="x"),SUMIFS(KT_TRUONG,KT_LOAI,"Tổ",KT_TO,$D41,KT_NGAY,10),SUMIFS(KT_PHAN,KT_LOAI,"Tổ",KT_TO,IF(O41="x",$D41,O41),KT_NGAY,10)))</f>
        <v>0</v>
      </c>
      <c r="AW41" s="31" t="n">
        <f aca="false">IF(OR($B41="",P41=""),0,IF(AND($E41="Trưởng tổ",P41="x"),SUMIFS(KT_TRUONG,KT_LOAI,"Tổ",KT_TO,$D41,KT_NGAY,11),SUMIFS(KT_PHAN,KT_LOAI,"Tổ",KT_TO,IF(P41="x",$D41,P41),KT_NGAY,11)))</f>
        <v>0</v>
      </c>
      <c r="AX41" s="31" t="n">
        <f aca="false">IF(OR($B41="",Q41=""),0,IF(AND($E41="Trưởng tổ",Q41="x"),SUMIFS(KT_TRUONG,KT_LOAI,"Tổ",KT_TO,$D41,KT_NGAY,12),SUMIFS(KT_PHAN,KT_LOAI,"Tổ",KT_TO,IF(Q41="x",$D41,Q41),KT_NGAY,12)))</f>
        <v>0</v>
      </c>
      <c r="AY41" s="31" t="n">
        <f aca="false">IF(OR($B41="",R41=""),0,IF(AND($E41="Trưởng tổ",R41="x"),SUMIFS(KT_TRUONG,KT_LOAI,"Tổ",KT_TO,$D41,KT_NGAY,13),SUMIFS(KT_PHAN,KT_LOAI,"Tổ",KT_TO,IF(R41="x",$D41,R41),KT_NGAY,13)))</f>
        <v>0</v>
      </c>
      <c r="AZ41" s="31" t="n">
        <f aca="false">IF(OR($B41="",S41=""),0,IF(AND($E41="Trưởng tổ",S41="x"),SUMIFS(KT_TRUONG,KT_LOAI,"Tổ",KT_TO,$D41,KT_NGAY,14),SUMIFS(KT_PHAN,KT_LOAI,"Tổ",KT_TO,IF(S41="x",$D41,S41),KT_NGAY,14)))</f>
        <v>0</v>
      </c>
      <c r="BA41" s="31" t="n">
        <f aca="false">IF(OR($B41="",T41=""),0,IF(AND($E41="Trưởng tổ",T41="x"),SUMIFS(KT_TRUONG,KT_LOAI,"Tổ",KT_TO,$D41,KT_NGAY,15),SUMIFS(KT_PHAN,KT_LOAI,"Tổ",KT_TO,IF(T41="x",$D41,T41),KT_NGAY,15)))</f>
        <v>0</v>
      </c>
      <c r="BB41" s="31" t="n">
        <f aca="false">IF(OR($B41="",U41=""),0,IF(AND($E41="Trưởng tổ",U41="x"),SUMIFS(KT_TRUONG,KT_LOAI,"Tổ",KT_TO,$D41,KT_NGAY,16),SUMIFS(KT_PHAN,KT_LOAI,"Tổ",KT_TO,IF(U41="x",$D41,U41),KT_NGAY,16)))</f>
        <v>0</v>
      </c>
      <c r="BC41" s="31" t="n">
        <f aca="false">IF(OR($B41="",V41=""),0,IF(AND($E41="Trưởng tổ",V41="x"),SUMIFS(KT_TRUONG,KT_LOAI,"Tổ",KT_TO,$D41,KT_NGAY,17),SUMIFS(KT_PHAN,KT_LOAI,"Tổ",KT_TO,IF(V41="x",$D41,V41),KT_NGAY,17)))</f>
        <v>0</v>
      </c>
      <c r="BD41" s="31" t="n">
        <f aca="false">IF(OR($B41="",W41=""),0,IF(AND($E41="Trưởng tổ",W41="x"),SUMIFS(KT_TRUONG,KT_LOAI,"Tổ",KT_TO,$D41,KT_NGAY,18),SUMIFS(KT_PHAN,KT_LOAI,"Tổ",KT_TO,IF(W41="x",$D41,W41),KT_NGAY,18)))</f>
        <v>439000</v>
      </c>
      <c r="BE41" s="31" t="n">
        <f aca="false">IF(OR($B41="",X41=""),0,IF(AND($E41="Trưởng tổ",X41="x"),SUMIFS(KT_TRUONG,KT_LOAI,"Tổ",KT_TO,$D41,KT_NGAY,19),SUMIFS(KT_PHAN,KT_LOAI,"Tổ",KT_TO,IF(X41="x",$D41,X41),KT_NGAY,19)))</f>
        <v>0</v>
      </c>
      <c r="BF41" s="31" t="n">
        <f aca="false">IF(OR($B41="",Y41=""),0,IF(AND($E41="Trưởng tổ",Y41="x"),SUMIFS(KT_TRUONG,KT_LOAI,"Tổ",KT_TO,$D41,KT_NGAY,20),SUMIFS(KT_PHAN,KT_LOAI,"Tổ",KT_TO,IF(Y41="x",$D41,Y41),KT_NGAY,20)))</f>
        <v>0</v>
      </c>
      <c r="BG41" s="31" t="n">
        <f aca="false">IF(OR($B41="",Z41=""),0,IF(AND($E41="Trưởng tổ",Z41="x"),SUMIFS(KT_TRUONG,KT_LOAI,"Tổ",KT_TO,$D41,KT_NGAY,21),SUMIFS(KT_PHAN,KT_LOAI,"Tổ",KT_TO,IF(Z41="x",$D41,Z41),KT_NGAY,21)))</f>
        <v>0</v>
      </c>
      <c r="BH41" s="31" t="n">
        <f aca="false">IF(OR($B41="",AA41=""),0,IF(AND($E41="Trưởng tổ",AA41="x"),SUMIFS(KT_TRUONG,KT_LOAI,"Tổ",KT_TO,$D41,KT_NGAY,22),SUMIFS(KT_PHAN,KT_LOAI,"Tổ",KT_TO,IF(AA41="x",$D41,AA41),KT_NGAY,22)))</f>
        <v>0</v>
      </c>
      <c r="BI41" s="31" t="n">
        <f aca="false">IF(OR($B41="",AB41=""),0,IF(AND($E41="Trưởng tổ",AB41="x"),SUMIFS(KT_TRUONG,KT_LOAI,"Tổ",KT_TO,$D41,KT_NGAY,23),SUMIFS(KT_PHAN,KT_LOAI,"Tổ",KT_TO,IF(AB41="x",$D41,AB41),KT_NGAY,23)))</f>
        <v>0</v>
      </c>
      <c r="BJ41" s="31" t="n">
        <f aca="false">IF(OR($B41="",AC41=""),0,IF(AND($E41="Trưởng tổ",AC41="x"),SUMIFS(KT_TRUONG,KT_LOAI,"Tổ",KT_TO,$D41,KT_NGAY,24),SUMIFS(KT_PHAN,KT_LOAI,"Tổ",KT_TO,IF(AC41="x",$D41,AC41),KT_NGAY,24)))</f>
        <v>0</v>
      </c>
      <c r="BK41" s="31" t="n">
        <f aca="false">IF(OR($B41="",AD41=""),0,IF(AND($E41="Trưởng tổ",AD41="x"),SUMIFS(KT_TRUONG,KT_LOAI,"Tổ",KT_TO,$D41,KT_NGAY,25),SUMIFS(KT_PHAN,KT_LOAI,"Tổ",KT_TO,IF(AD41="x",$D41,AD41),KT_NGAY,25)))</f>
        <v>0</v>
      </c>
      <c r="BL41" s="31" t="n">
        <f aca="false">IF(OR($B41="",AE41=""),0,IF(AND($E41="Trưởng tổ",AE41="x"),SUMIFS(KT_TRUONG,KT_LOAI,"Tổ",KT_TO,$D41,KT_NGAY,26),SUMIFS(KT_PHAN,KT_LOAI,"Tổ",KT_TO,IF(AE41="x",$D41,AE41),KT_NGAY,26)))</f>
        <v>0</v>
      </c>
      <c r="BM41" s="31" t="n">
        <f aca="false">IF(OR($B41="",AF41=""),0,IF(AND($E41="Trưởng tổ",AF41="x"),SUMIFS(KT_TRUONG,KT_LOAI,"Tổ",KT_TO,$D41,KT_NGAY,27),SUMIFS(KT_PHAN,KT_LOAI,"Tổ",KT_TO,IF(AF41="x",$D41,AF41),KT_NGAY,27)))</f>
        <v>0</v>
      </c>
      <c r="BN41" s="31" t="n">
        <f aca="false">IF(OR($B41="",AG41=""),0,IF(AND($E41="Trưởng tổ",AG41="x"),SUMIFS(KT_TRUONG,KT_LOAI,"Tổ",KT_TO,$D41,KT_NGAY,28),SUMIFS(KT_PHAN,KT_LOAI,"Tổ",KT_TO,IF(AG41="x",$D41,AG41),KT_NGAY,28)))</f>
        <v>0</v>
      </c>
      <c r="BO41" s="31" t="n">
        <f aca="false">IF(OR($B41="",AH41=""),0,IF(AND($E41="Trưởng tổ",AH41="x"),SUMIFS(KT_TRUONG,KT_LOAI,"Tổ",KT_TO,$D41,KT_NGAY,29),SUMIFS(KT_PHAN,KT_LOAI,"Tổ",KT_TO,IF(AH41="x",$D41,AH41),KT_NGAY,29)))</f>
        <v>0</v>
      </c>
      <c r="BP41" s="31" t="n">
        <f aca="false">IF(OR($B41="",AI41=""),0,IF(AND($E41="Trưởng tổ",AI41="x"),SUMIFS(KT_TRUONG,KT_LOAI,"Tổ",KT_TO,$D41,KT_NGAY,30),SUMIFS(KT_PHAN,KT_LOAI,"Tổ",KT_TO,IF(AI41="x",$D41,AI41),KT_NGAY,30)))</f>
        <v>0</v>
      </c>
      <c r="BQ41" s="31" t="n">
        <f aca="false">IF(OR($B41="",AJ41=""),0,IF(AND($E41="Trưởng tổ",AJ41="x"),SUMIFS(KT_TRUONG,KT_LOAI,"Tổ",KT_TO,$D41,KT_NGAY,31),SUMIFS(KT_PHAN,KT_LOAI,"Tổ",KT_TO,IF(AJ41="x",$D41,AJ41),KT_NGAY,31)))</f>
        <v>0</v>
      </c>
    </row>
    <row r="42" customFormat="false" ht="15" hidden="false" customHeight="false" outlineLevel="0" collapsed="false">
      <c r="A42" s="17" t="n">
        <f aca="false">IF(B42="","",ROW()-5)</f>
        <v>37</v>
      </c>
      <c r="B42" s="29" t="str">
        <f aca="false">IF(OR(BCC!B42="",BCC!D42&lt;&gt;"Thời vụ HAQT"),"",BCC!B42)</f>
        <v>QT-11</v>
      </c>
      <c r="C42" s="17" t="str">
        <f aca="false">IF(B42="","",BCC!C42)</f>
        <v>Trần Viết Hải</v>
      </c>
      <c r="D42" s="17" t="str">
        <f aca="false">IF(B42="","",IFERROR(INDEX(NV_TO,MATCH(B42,NV_MA,0)),""))</f>
        <v>Tổ 2</v>
      </c>
      <c r="E42" s="17" t="str">
        <f aca="false">IF(B42="","",IFERROR(INDEX(NV_VT,MATCH(B42,NV_MA,0)),""))</f>
        <v>Trưởng tổ</v>
      </c>
      <c r="F42" s="21"/>
      <c r="G42" s="21"/>
      <c r="H42" s="21"/>
      <c r="I42" s="21"/>
      <c r="J42" s="21"/>
      <c r="K42" s="21"/>
      <c r="L42" s="21"/>
      <c r="M42" s="21"/>
      <c r="N42" s="21"/>
      <c r="O42" s="21"/>
      <c r="P42" s="21"/>
      <c r="Q42" s="21"/>
      <c r="R42" s="21"/>
      <c r="S42" s="21"/>
      <c r="T42" s="21"/>
      <c r="U42" s="21"/>
      <c r="V42" s="21"/>
      <c r="W42" s="21"/>
      <c r="X42" s="21" t="s">
        <v>309</v>
      </c>
      <c r="Y42" s="21"/>
      <c r="Z42" s="21"/>
      <c r="AA42" s="21"/>
      <c r="AB42" s="21"/>
      <c r="AC42" s="21" t="s">
        <v>309</v>
      </c>
      <c r="AD42" s="21"/>
      <c r="AE42" s="21" t="s">
        <v>309</v>
      </c>
      <c r="AF42" s="21"/>
      <c r="AG42" s="21"/>
      <c r="AH42" s="21"/>
      <c r="AI42" s="21"/>
      <c r="AJ42" s="21"/>
      <c r="AK42" s="17" t="n">
        <f aca="false">IF(B42="","",COUNTA(F42:AJ42))</f>
        <v>3</v>
      </c>
      <c r="AL42" s="30" t="n">
        <f aca="false">IF(B42="","",SUM(AM42:BQ42))</f>
        <v>935832.5</v>
      </c>
      <c r="AM42" s="31" t="n">
        <f aca="false">IF(OR($B42="",F42=""),0,IF(AND($E42="Trưởng tổ",F42="x"),SUMIFS(KT_TRUONG,KT_LOAI,"Tổ",KT_TO,$D42,KT_NGAY,1),SUMIFS(KT_PHAN,KT_LOAI,"Tổ",KT_TO,IF(F42="x",$D42,F42),KT_NGAY,1)))</f>
        <v>0</v>
      </c>
      <c r="AN42" s="31" t="n">
        <f aca="false">IF(OR($B42="",G42=""),0,IF(AND($E42="Trưởng tổ",G42="x"),SUMIFS(KT_TRUONG,KT_LOAI,"Tổ",KT_TO,$D42,KT_NGAY,2),SUMIFS(KT_PHAN,KT_LOAI,"Tổ",KT_TO,IF(G42="x",$D42,G42),KT_NGAY,2)))</f>
        <v>0</v>
      </c>
      <c r="AO42" s="31" t="n">
        <f aca="false">IF(OR($B42="",H42=""),0,IF(AND($E42="Trưởng tổ",H42="x"),SUMIFS(KT_TRUONG,KT_LOAI,"Tổ",KT_TO,$D42,KT_NGAY,3),SUMIFS(KT_PHAN,KT_LOAI,"Tổ",KT_TO,IF(H42="x",$D42,H42),KT_NGAY,3)))</f>
        <v>0</v>
      </c>
      <c r="AP42" s="31" t="n">
        <f aca="false">IF(OR($B42="",I42=""),0,IF(AND($E42="Trưởng tổ",I42="x"),SUMIFS(KT_TRUONG,KT_LOAI,"Tổ",KT_TO,$D42,KT_NGAY,4),SUMIFS(KT_PHAN,KT_LOAI,"Tổ",KT_TO,IF(I42="x",$D42,I42),KT_NGAY,4)))</f>
        <v>0</v>
      </c>
      <c r="AQ42" s="31" t="n">
        <f aca="false">IF(OR($B42="",J42=""),0,IF(AND($E42="Trưởng tổ",J42="x"),SUMIFS(KT_TRUONG,KT_LOAI,"Tổ",KT_TO,$D42,KT_NGAY,5),SUMIFS(KT_PHAN,KT_LOAI,"Tổ",KT_TO,IF(J42="x",$D42,J42),KT_NGAY,5)))</f>
        <v>0</v>
      </c>
      <c r="AR42" s="31" t="n">
        <f aca="false">IF(OR($B42="",K42=""),0,IF(AND($E42="Trưởng tổ",K42="x"),SUMIFS(KT_TRUONG,KT_LOAI,"Tổ",KT_TO,$D42,KT_NGAY,6),SUMIFS(KT_PHAN,KT_LOAI,"Tổ",KT_TO,IF(K42="x",$D42,K42),KT_NGAY,6)))</f>
        <v>0</v>
      </c>
      <c r="AS42" s="31" t="n">
        <f aca="false">IF(OR($B42="",L42=""),0,IF(AND($E42="Trưởng tổ",L42="x"),SUMIFS(KT_TRUONG,KT_LOAI,"Tổ",KT_TO,$D42,KT_NGAY,7),SUMIFS(KT_PHAN,KT_LOAI,"Tổ",KT_TO,IF(L42="x",$D42,L42),KT_NGAY,7)))</f>
        <v>0</v>
      </c>
      <c r="AT42" s="31" t="n">
        <f aca="false">IF(OR($B42="",M42=""),0,IF(AND($E42="Trưởng tổ",M42="x"),SUMIFS(KT_TRUONG,KT_LOAI,"Tổ",KT_TO,$D42,KT_NGAY,8),SUMIFS(KT_PHAN,KT_LOAI,"Tổ",KT_TO,IF(M42="x",$D42,M42),KT_NGAY,8)))</f>
        <v>0</v>
      </c>
      <c r="AU42" s="31" t="n">
        <f aca="false">IF(OR($B42="",N42=""),0,IF(AND($E42="Trưởng tổ",N42="x"),SUMIFS(KT_TRUONG,KT_LOAI,"Tổ",KT_TO,$D42,KT_NGAY,9),SUMIFS(KT_PHAN,KT_LOAI,"Tổ",KT_TO,IF(N42="x",$D42,N42),KT_NGAY,9)))</f>
        <v>0</v>
      </c>
      <c r="AV42" s="31" t="n">
        <f aca="false">IF(OR($B42="",O42=""),0,IF(AND($E42="Trưởng tổ",O42="x"),SUMIFS(KT_TRUONG,KT_LOAI,"Tổ",KT_TO,$D42,KT_NGAY,10),SUMIFS(KT_PHAN,KT_LOAI,"Tổ",KT_TO,IF(O42="x",$D42,O42),KT_NGAY,10)))</f>
        <v>0</v>
      </c>
      <c r="AW42" s="31" t="n">
        <f aca="false">IF(OR($B42="",P42=""),0,IF(AND($E42="Trưởng tổ",P42="x"),SUMIFS(KT_TRUONG,KT_LOAI,"Tổ",KT_TO,$D42,KT_NGAY,11),SUMIFS(KT_PHAN,KT_LOAI,"Tổ",KT_TO,IF(P42="x",$D42,P42),KT_NGAY,11)))</f>
        <v>0</v>
      </c>
      <c r="AX42" s="31" t="n">
        <f aca="false">IF(OR($B42="",Q42=""),0,IF(AND($E42="Trưởng tổ",Q42="x"),SUMIFS(KT_TRUONG,KT_LOAI,"Tổ",KT_TO,$D42,KT_NGAY,12),SUMIFS(KT_PHAN,KT_LOAI,"Tổ",KT_TO,IF(Q42="x",$D42,Q42),KT_NGAY,12)))</f>
        <v>0</v>
      </c>
      <c r="AY42" s="31" t="n">
        <f aca="false">IF(OR($B42="",R42=""),0,IF(AND($E42="Trưởng tổ",R42="x"),SUMIFS(KT_TRUONG,KT_LOAI,"Tổ",KT_TO,$D42,KT_NGAY,13),SUMIFS(KT_PHAN,KT_LOAI,"Tổ",KT_TO,IF(R42="x",$D42,R42),KT_NGAY,13)))</f>
        <v>0</v>
      </c>
      <c r="AZ42" s="31" t="n">
        <f aca="false">IF(OR($B42="",S42=""),0,IF(AND($E42="Trưởng tổ",S42="x"),SUMIFS(KT_TRUONG,KT_LOAI,"Tổ",KT_TO,$D42,KT_NGAY,14),SUMIFS(KT_PHAN,KT_LOAI,"Tổ",KT_TO,IF(S42="x",$D42,S42),KT_NGAY,14)))</f>
        <v>0</v>
      </c>
      <c r="BA42" s="31" t="n">
        <f aca="false">IF(OR($B42="",T42=""),0,IF(AND($E42="Trưởng tổ",T42="x"),SUMIFS(KT_TRUONG,KT_LOAI,"Tổ",KT_TO,$D42,KT_NGAY,15),SUMIFS(KT_PHAN,KT_LOAI,"Tổ",KT_TO,IF(T42="x",$D42,T42),KT_NGAY,15)))</f>
        <v>0</v>
      </c>
      <c r="BB42" s="31" t="n">
        <f aca="false">IF(OR($B42="",U42=""),0,IF(AND($E42="Trưởng tổ",U42="x"),SUMIFS(KT_TRUONG,KT_LOAI,"Tổ",KT_TO,$D42,KT_NGAY,16),SUMIFS(KT_PHAN,KT_LOAI,"Tổ",KT_TO,IF(U42="x",$D42,U42),KT_NGAY,16)))</f>
        <v>0</v>
      </c>
      <c r="BC42" s="31" t="n">
        <f aca="false">IF(OR($B42="",V42=""),0,IF(AND($E42="Trưởng tổ",V42="x"),SUMIFS(KT_TRUONG,KT_LOAI,"Tổ",KT_TO,$D42,KT_NGAY,17),SUMIFS(KT_PHAN,KT_LOAI,"Tổ",KT_TO,IF(V42="x",$D42,V42),KT_NGAY,17)))</f>
        <v>0</v>
      </c>
      <c r="BD42" s="31" t="n">
        <f aca="false">IF(OR($B42="",W42=""),0,IF(AND($E42="Trưởng tổ",W42="x"),SUMIFS(KT_TRUONG,KT_LOAI,"Tổ",KT_TO,$D42,KT_NGAY,18),SUMIFS(KT_PHAN,KT_LOAI,"Tổ",KT_TO,IF(W42="x",$D42,W42),KT_NGAY,18)))</f>
        <v>0</v>
      </c>
      <c r="BE42" s="31" t="n">
        <f aca="false">IF(OR($B42="",X42=""),0,IF(AND($E42="Trưởng tổ",X42="x"),SUMIFS(KT_TRUONG,KT_LOAI,"Tổ",KT_TO,$D42,KT_NGAY,19),SUMIFS(KT_PHAN,KT_LOAI,"Tổ",KT_TO,IF(X42="x",$D42,X42),KT_NGAY,19)))</f>
        <v>491832.5</v>
      </c>
      <c r="BF42" s="31" t="n">
        <f aca="false">IF(OR($B42="",Y42=""),0,IF(AND($E42="Trưởng tổ",Y42="x"),SUMIFS(KT_TRUONG,KT_LOAI,"Tổ",KT_TO,$D42,KT_NGAY,20),SUMIFS(KT_PHAN,KT_LOAI,"Tổ",KT_TO,IF(Y42="x",$D42,Y42),KT_NGAY,20)))</f>
        <v>0</v>
      </c>
      <c r="BG42" s="31" t="n">
        <f aca="false">IF(OR($B42="",Z42=""),0,IF(AND($E42="Trưởng tổ",Z42="x"),SUMIFS(KT_TRUONG,KT_LOAI,"Tổ",KT_TO,$D42,KT_NGAY,21),SUMIFS(KT_PHAN,KT_LOAI,"Tổ",KT_TO,IF(Z42="x",$D42,Z42),KT_NGAY,21)))</f>
        <v>0</v>
      </c>
      <c r="BH42" s="31" t="n">
        <f aca="false">IF(OR($B42="",AA42=""),0,IF(AND($E42="Trưởng tổ",AA42="x"),SUMIFS(KT_TRUONG,KT_LOAI,"Tổ",KT_TO,$D42,KT_NGAY,22),SUMIFS(KT_PHAN,KT_LOAI,"Tổ",KT_TO,IF(AA42="x",$D42,AA42),KT_NGAY,22)))</f>
        <v>0</v>
      </c>
      <c r="BI42" s="31" t="n">
        <f aca="false">IF(OR($B42="",AB42=""),0,IF(AND($E42="Trưởng tổ",AB42="x"),SUMIFS(KT_TRUONG,KT_LOAI,"Tổ",KT_TO,$D42,KT_NGAY,23),SUMIFS(KT_PHAN,KT_LOAI,"Tổ",KT_TO,IF(AB42="x",$D42,AB42),KT_NGAY,23)))</f>
        <v>0</v>
      </c>
      <c r="BJ42" s="31" t="n">
        <f aca="false">IF(OR($B42="",AC42=""),0,IF(AND($E42="Trưởng tổ",AC42="x"),SUMIFS(KT_TRUONG,KT_LOAI,"Tổ",KT_TO,$D42,KT_NGAY,24),SUMIFS(KT_PHAN,KT_LOAI,"Tổ",KT_TO,IF(AC42="x",$D42,AC42),KT_NGAY,24)))</f>
        <v>444000</v>
      </c>
      <c r="BK42" s="31" t="n">
        <f aca="false">IF(OR($B42="",AD42=""),0,IF(AND($E42="Trưởng tổ",AD42="x"),SUMIFS(KT_TRUONG,KT_LOAI,"Tổ",KT_TO,$D42,KT_NGAY,25),SUMIFS(KT_PHAN,KT_LOAI,"Tổ",KT_TO,IF(AD42="x",$D42,AD42),KT_NGAY,25)))</f>
        <v>0</v>
      </c>
      <c r="BL42" s="31" t="n">
        <f aca="false">IF(OR($B42="",AE42=""),0,IF(AND($E42="Trưởng tổ",AE42="x"),SUMIFS(KT_TRUONG,KT_LOAI,"Tổ",KT_TO,$D42,KT_NGAY,26),SUMIFS(KT_PHAN,KT_LOAI,"Tổ",KT_TO,IF(AE42="x",$D42,AE42),KT_NGAY,26)))</f>
        <v>0</v>
      </c>
      <c r="BM42" s="31" t="n">
        <f aca="false">IF(OR($B42="",AF42=""),0,IF(AND($E42="Trưởng tổ",AF42="x"),SUMIFS(KT_TRUONG,KT_LOAI,"Tổ",KT_TO,$D42,KT_NGAY,27),SUMIFS(KT_PHAN,KT_LOAI,"Tổ",KT_TO,IF(AF42="x",$D42,AF42),KT_NGAY,27)))</f>
        <v>0</v>
      </c>
      <c r="BN42" s="31" t="n">
        <f aca="false">IF(OR($B42="",AG42=""),0,IF(AND($E42="Trưởng tổ",AG42="x"),SUMIFS(KT_TRUONG,KT_LOAI,"Tổ",KT_TO,$D42,KT_NGAY,28),SUMIFS(KT_PHAN,KT_LOAI,"Tổ",KT_TO,IF(AG42="x",$D42,AG42),KT_NGAY,28)))</f>
        <v>0</v>
      </c>
      <c r="BO42" s="31" t="n">
        <f aca="false">IF(OR($B42="",AH42=""),0,IF(AND($E42="Trưởng tổ",AH42="x"),SUMIFS(KT_TRUONG,KT_LOAI,"Tổ",KT_TO,$D42,KT_NGAY,29),SUMIFS(KT_PHAN,KT_LOAI,"Tổ",KT_TO,IF(AH42="x",$D42,AH42),KT_NGAY,29)))</f>
        <v>0</v>
      </c>
      <c r="BP42" s="31" t="n">
        <f aca="false">IF(OR($B42="",AI42=""),0,IF(AND($E42="Trưởng tổ",AI42="x"),SUMIFS(KT_TRUONG,KT_LOAI,"Tổ",KT_TO,$D42,KT_NGAY,30),SUMIFS(KT_PHAN,KT_LOAI,"Tổ",KT_TO,IF(AI42="x",$D42,AI42),KT_NGAY,30)))</f>
        <v>0</v>
      </c>
      <c r="BQ42" s="31" t="n">
        <f aca="false">IF(OR($B42="",AJ42=""),0,IF(AND($E42="Trưởng tổ",AJ42="x"),SUMIFS(KT_TRUONG,KT_LOAI,"Tổ",KT_TO,$D42,KT_NGAY,31),SUMIFS(KT_PHAN,KT_LOAI,"Tổ",KT_TO,IF(AJ42="x",$D42,AJ42),KT_NGAY,31)))</f>
        <v>0</v>
      </c>
    </row>
    <row r="43" customFormat="false" ht="15" hidden="false" customHeight="false" outlineLevel="0" collapsed="false">
      <c r="A43" s="17" t="n">
        <f aca="false">IF(B43="","",ROW()-5)</f>
        <v>38</v>
      </c>
      <c r="B43" s="29" t="str">
        <f aca="false">IF(OR(BCC!B43="",BCC!D43&lt;&gt;"Thời vụ HAQT"),"",BCC!B43)</f>
        <v>QT-12</v>
      </c>
      <c r="C43" s="17" t="str">
        <f aca="false">IF(B43="","",BCC!C43)</f>
        <v>Phạm Gia Hiếu</v>
      </c>
      <c r="D43" s="17" t="str">
        <f aca="false">IF(B43="","",IFERROR(INDEX(NV_TO,MATCH(B43,NV_MA,0)),""))</f>
        <v>Tổ 3</v>
      </c>
      <c r="E43" s="17" t="str">
        <f aca="false">IF(B43="","",IFERROR(INDEX(NV_VT,MATCH(B43,NV_MA,0)),""))</f>
        <v>Thành viên</v>
      </c>
      <c r="F43" s="21"/>
      <c r="G43" s="21"/>
      <c r="H43" s="21"/>
      <c r="I43" s="21"/>
      <c r="J43" s="21"/>
      <c r="K43" s="21"/>
      <c r="L43" s="21"/>
      <c r="M43" s="21"/>
      <c r="N43" s="21"/>
      <c r="O43" s="21"/>
      <c r="P43" s="21"/>
      <c r="Q43" s="21"/>
      <c r="R43" s="21"/>
      <c r="S43" s="21"/>
      <c r="T43" s="21"/>
      <c r="U43" s="21"/>
      <c r="V43" s="21"/>
      <c r="W43" s="21"/>
      <c r="X43" s="21"/>
      <c r="Y43" s="21" t="s">
        <v>309</v>
      </c>
      <c r="Z43" s="21"/>
      <c r="AA43" s="21"/>
      <c r="AB43" s="21"/>
      <c r="AC43" s="21"/>
      <c r="AD43" s="21" t="s">
        <v>309</v>
      </c>
      <c r="AE43" s="21"/>
      <c r="AF43" s="21"/>
      <c r="AG43" s="21"/>
      <c r="AH43" s="21"/>
      <c r="AI43" s="21"/>
      <c r="AJ43" s="21"/>
      <c r="AK43" s="17" t="n">
        <f aca="false">IF(B43="","",COUNTA(F43:AJ43))</f>
        <v>2</v>
      </c>
      <c r="AL43" s="30" t="n">
        <f aca="false">IF(B43="","",SUM(AM43:BQ43))</f>
        <v>865000</v>
      </c>
      <c r="AM43" s="31" t="n">
        <f aca="false">IF(OR($B43="",F43=""),0,IF(AND($E43="Trưởng tổ",F43="x"),SUMIFS(KT_TRUONG,KT_LOAI,"Tổ",KT_TO,$D43,KT_NGAY,1),SUMIFS(KT_PHAN,KT_LOAI,"Tổ",KT_TO,IF(F43="x",$D43,F43),KT_NGAY,1)))</f>
        <v>0</v>
      </c>
      <c r="AN43" s="31" t="n">
        <f aca="false">IF(OR($B43="",G43=""),0,IF(AND($E43="Trưởng tổ",G43="x"),SUMIFS(KT_TRUONG,KT_LOAI,"Tổ",KT_TO,$D43,KT_NGAY,2),SUMIFS(KT_PHAN,KT_LOAI,"Tổ",KT_TO,IF(G43="x",$D43,G43),KT_NGAY,2)))</f>
        <v>0</v>
      </c>
      <c r="AO43" s="31" t="n">
        <f aca="false">IF(OR($B43="",H43=""),0,IF(AND($E43="Trưởng tổ",H43="x"),SUMIFS(KT_TRUONG,KT_LOAI,"Tổ",KT_TO,$D43,KT_NGAY,3),SUMIFS(KT_PHAN,KT_LOAI,"Tổ",KT_TO,IF(H43="x",$D43,H43),KT_NGAY,3)))</f>
        <v>0</v>
      </c>
      <c r="AP43" s="31" t="n">
        <f aca="false">IF(OR($B43="",I43=""),0,IF(AND($E43="Trưởng tổ",I43="x"),SUMIFS(KT_TRUONG,KT_LOAI,"Tổ",KT_TO,$D43,KT_NGAY,4),SUMIFS(KT_PHAN,KT_LOAI,"Tổ",KT_TO,IF(I43="x",$D43,I43),KT_NGAY,4)))</f>
        <v>0</v>
      </c>
      <c r="AQ43" s="31" t="n">
        <f aca="false">IF(OR($B43="",J43=""),0,IF(AND($E43="Trưởng tổ",J43="x"),SUMIFS(KT_TRUONG,KT_LOAI,"Tổ",KT_TO,$D43,KT_NGAY,5),SUMIFS(KT_PHAN,KT_LOAI,"Tổ",KT_TO,IF(J43="x",$D43,J43),KT_NGAY,5)))</f>
        <v>0</v>
      </c>
      <c r="AR43" s="31" t="n">
        <f aca="false">IF(OR($B43="",K43=""),0,IF(AND($E43="Trưởng tổ",K43="x"),SUMIFS(KT_TRUONG,KT_LOAI,"Tổ",KT_TO,$D43,KT_NGAY,6),SUMIFS(KT_PHAN,KT_LOAI,"Tổ",KT_TO,IF(K43="x",$D43,K43),KT_NGAY,6)))</f>
        <v>0</v>
      </c>
      <c r="AS43" s="31" t="n">
        <f aca="false">IF(OR($B43="",L43=""),0,IF(AND($E43="Trưởng tổ",L43="x"),SUMIFS(KT_TRUONG,KT_LOAI,"Tổ",KT_TO,$D43,KT_NGAY,7),SUMIFS(KT_PHAN,KT_LOAI,"Tổ",KT_TO,IF(L43="x",$D43,L43),KT_NGAY,7)))</f>
        <v>0</v>
      </c>
      <c r="AT43" s="31" t="n">
        <f aca="false">IF(OR($B43="",M43=""),0,IF(AND($E43="Trưởng tổ",M43="x"),SUMIFS(KT_TRUONG,KT_LOAI,"Tổ",KT_TO,$D43,KT_NGAY,8),SUMIFS(KT_PHAN,KT_LOAI,"Tổ",KT_TO,IF(M43="x",$D43,M43),KT_NGAY,8)))</f>
        <v>0</v>
      </c>
      <c r="AU43" s="31" t="n">
        <f aca="false">IF(OR($B43="",N43=""),0,IF(AND($E43="Trưởng tổ",N43="x"),SUMIFS(KT_TRUONG,KT_LOAI,"Tổ",KT_TO,$D43,KT_NGAY,9),SUMIFS(KT_PHAN,KT_LOAI,"Tổ",KT_TO,IF(N43="x",$D43,N43),KT_NGAY,9)))</f>
        <v>0</v>
      </c>
      <c r="AV43" s="31" t="n">
        <f aca="false">IF(OR($B43="",O43=""),0,IF(AND($E43="Trưởng tổ",O43="x"),SUMIFS(KT_TRUONG,KT_LOAI,"Tổ",KT_TO,$D43,KT_NGAY,10),SUMIFS(KT_PHAN,KT_LOAI,"Tổ",KT_TO,IF(O43="x",$D43,O43),KT_NGAY,10)))</f>
        <v>0</v>
      </c>
      <c r="AW43" s="31" t="n">
        <f aca="false">IF(OR($B43="",P43=""),0,IF(AND($E43="Trưởng tổ",P43="x"),SUMIFS(KT_TRUONG,KT_LOAI,"Tổ",KT_TO,$D43,KT_NGAY,11),SUMIFS(KT_PHAN,KT_LOAI,"Tổ",KT_TO,IF(P43="x",$D43,P43),KT_NGAY,11)))</f>
        <v>0</v>
      </c>
      <c r="AX43" s="31" t="n">
        <f aca="false">IF(OR($B43="",Q43=""),0,IF(AND($E43="Trưởng tổ",Q43="x"),SUMIFS(KT_TRUONG,KT_LOAI,"Tổ",KT_TO,$D43,KT_NGAY,12),SUMIFS(KT_PHAN,KT_LOAI,"Tổ",KT_TO,IF(Q43="x",$D43,Q43),KT_NGAY,12)))</f>
        <v>0</v>
      </c>
      <c r="AY43" s="31" t="n">
        <f aca="false">IF(OR($B43="",R43=""),0,IF(AND($E43="Trưởng tổ",R43="x"),SUMIFS(KT_TRUONG,KT_LOAI,"Tổ",KT_TO,$D43,KT_NGAY,13),SUMIFS(KT_PHAN,KT_LOAI,"Tổ",KT_TO,IF(R43="x",$D43,R43),KT_NGAY,13)))</f>
        <v>0</v>
      </c>
      <c r="AZ43" s="31" t="n">
        <f aca="false">IF(OR($B43="",S43=""),0,IF(AND($E43="Trưởng tổ",S43="x"),SUMIFS(KT_TRUONG,KT_LOAI,"Tổ",KT_TO,$D43,KT_NGAY,14),SUMIFS(KT_PHAN,KT_LOAI,"Tổ",KT_TO,IF(S43="x",$D43,S43),KT_NGAY,14)))</f>
        <v>0</v>
      </c>
      <c r="BA43" s="31" t="n">
        <f aca="false">IF(OR($B43="",T43=""),0,IF(AND($E43="Trưởng tổ",T43="x"),SUMIFS(KT_TRUONG,KT_LOAI,"Tổ",KT_TO,$D43,KT_NGAY,15),SUMIFS(KT_PHAN,KT_LOAI,"Tổ",KT_TO,IF(T43="x",$D43,T43),KT_NGAY,15)))</f>
        <v>0</v>
      </c>
      <c r="BB43" s="31" t="n">
        <f aca="false">IF(OR($B43="",U43=""),0,IF(AND($E43="Trưởng tổ",U43="x"),SUMIFS(KT_TRUONG,KT_LOAI,"Tổ",KT_TO,$D43,KT_NGAY,16),SUMIFS(KT_PHAN,KT_LOAI,"Tổ",KT_TO,IF(U43="x",$D43,U43),KT_NGAY,16)))</f>
        <v>0</v>
      </c>
      <c r="BC43" s="31" t="n">
        <f aca="false">IF(OR($B43="",V43=""),0,IF(AND($E43="Trưởng tổ",V43="x"),SUMIFS(KT_TRUONG,KT_LOAI,"Tổ",KT_TO,$D43,KT_NGAY,17),SUMIFS(KT_PHAN,KT_LOAI,"Tổ",KT_TO,IF(V43="x",$D43,V43),KT_NGAY,17)))</f>
        <v>0</v>
      </c>
      <c r="BD43" s="31" t="n">
        <f aca="false">IF(OR($B43="",W43=""),0,IF(AND($E43="Trưởng tổ",W43="x"),SUMIFS(KT_TRUONG,KT_LOAI,"Tổ",KT_TO,$D43,KT_NGAY,18),SUMIFS(KT_PHAN,KT_LOAI,"Tổ",KT_TO,IF(W43="x",$D43,W43),KT_NGAY,18)))</f>
        <v>0</v>
      </c>
      <c r="BE43" s="31" t="n">
        <f aca="false">IF(OR($B43="",X43=""),0,IF(AND($E43="Trưởng tổ",X43="x"),SUMIFS(KT_TRUONG,KT_LOAI,"Tổ",KT_TO,$D43,KT_NGAY,19),SUMIFS(KT_PHAN,KT_LOAI,"Tổ",KT_TO,IF(X43="x",$D43,X43),KT_NGAY,19)))</f>
        <v>0</v>
      </c>
      <c r="BF43" s="31" t="n">
        <f aca="false">IF(OR($B43="",Y43=""),0,IF(AND($E43="Trưởng tổ",Y43="x"),SUMIFS(KT_TRUONG,KT_LOAI,"Tổ",KT_TO,$D43,KT_NGAY,20),SUMIFS(KT_PHAN,KT_LOAI,"Tổ",KT_TO,IF(Y43="x",$D43,Y43),KT_NGAY,20)))</f>
        <v>485000</v>
      </c>
      <c r="BG43" s="31" t="n">
        <f aca="false">IF(OR($B43="",Z43=""),0,IF(AND($E43="Trưởng tổ",Z43="x"),SUMIFS(KT_TRUONG,KT_LOAI,"Tổ",KT_TO,$D43,KT_NGAY,21),SUMIFS(KT_PHAN,KT_LOAI,"Tổ",KT_TO,IF(Z43="x",$D43,Z43),KT_NGAY,21)))</f>
        <v>0</v>
      </c>
      <c r="BH43" s="31" t="n">
        <f aca="false">IF(OR($B43="",AA43=""),0,IF(AND($E43="Trưởng tổ",AA43="x"),SUMIFS(KT_TRUONG,KT_LOAI,"Tổ",KT_TO,$D43,KT_NGAY,22),SUMIFS(KT_PHAN,KT_LOAI,"Tổ",KT_TO,IF(AA43="x",$D43,AA43),KT_NGAY,22)))</f>
        <v>0</v>
      </c>
      <c r="BI43" s="31" t="n">
        <f aca="false">IF(OR($B43="",AB43=""),0,IF(AND($E43="Trưởng tổ",AB43="x"),SUMIFS(KT_TRUONG,KT_LOAI,"Tổ",KT_TO,$D43,KT_NGAY,23),SUMIFS(KT_PHAN,KT_LOAI,"Tổ",KT_TO,IF(AB43="x",$D43,AB43),KT_NGAY,23)))</f>
        <v>0</v>
      </c>
      <c r="BJ43" s="31" t="n">
        <f aca="false">IF(OR($B43="",AC43=""),0,IF(AND($E43="Trưởng tổ",AC43="x"),SUMIFS(KT_TRUONG,KT_LOAI,"Tổ",KT_TO,$D43,KT_NGAY,24),SUMIFS(KT_PHAN,KT_LOAI,"Tổ",KT_TO,IF(AC43="x",$D43,AC43),KT_NGAY,24)))</f>
        <v>0</v>
      </c>
      <c r="BK43" s="31" t="n">
        <f aca="false">IF(OR($B43="",AD43=""),0,IF(AND($E43="Trưởng tổ",AD43="x"),SUMIFS(KT_TRUONG,KT_LOAI,"Tổ",KT_TO,$D43,KT_NGAY,25),SUMIFS(KT_PHAN,KT_LOAI,"Tổ",KT_TO,IF(AD43="x",$D43,AD43),KT_NGAY,25)))</f>
        <v>380000</v>
      </c>
      <c r="BL43" s="31" t="n">
        <f aca="false">IF(OR($B43="",AE43=""),0,IF(AND($E43="Trưởng tổ",AE43="x"),SUMIFS(KT_TRUONG,KT_LOAI,"Tổ",KT_TO,$D43,KT_NGAY,26),SUMIFS(KT_PHAN,KT_LOAI,"Tổ",KT_TO,IF(AE43="x",$D43,AE43),KT_NGAY,26)))</f>
        <v>0</v>
      </c>
      <c r="BM43" s="31" t="n">
        <f aca="false">IF(OR($B43="",AF43=""),0,IF(AND($E43="Trưởng tổ",AF43="x"),SUMIFS(KT_TRUONG,KT_LOAI,"Tổ",KT_TO,$D43,KT_NGAY,27),SUMIFS(KT_PHAN,KT_LOAI,"Tổ",KT_TO,IF(AF43="x",$D43,AF43),KT_NGAY,27)))</f>
        <v>0</v>
      </c>
      <c r="BN43" s="31" t="n">
        <f aca="false">IF(OR($B43="",AG43=""),0,IF(AND($E43="Trưởng tổ",AG43="x"),SUMIFS(KT_TRUONG,KT_LOAI,"Tổ",KT_TO,$D43,KT_NGAY,28),SUMIFS(KT_PHAN,KT_LOAI,"Tổ",KT_TO,IF(AG43="x",$D43,AG43),KT_NGAY,28)))</f>
        <v>0</v>
      </c>
      <c r="BO43" s="31" t="n">
        <f aca="false">IF(OR($B43="",AH43=""),0,IF(AND($E43="Trưởng tổ",AH43="x"),SUMIFS(KT_TRUONG,KT_LOAI,"Tổ",KT_TO,$D43,KT_NGAY,29),SUMIFS(KT_PHAN,KT_LOAI,"Tổ",KT_TO,IF(AH43="x",$D43,AH43),KT_NGAY,29)))</f>
        <v>0</v>
      </c>
      <c r="BP43" s="31" t="n">
        <f aca="false">IF(OR($B43="",AI43=""),0,IF(AND($E43="Trưởng tổ",AI43="x"),SUMIFS(KT_TRUONG,KT_LOAI,"Tổ",KT_TO,$D43,KT_NGAY,30),SUMIFS(KT_PHAN,KT_LOAI,"Tổ",KT_TO,IF(AI43="x",$D43,AI43),KT_NGAY,30)))</f>
        <v>0</v>
      </c>
      <c r="BQ43" s="31" t="n">
        <f aca="false">IF(OR($B43="",AJ43=""),0,IF(AND($E43="Trưởng tổ",AJ43="x"),SUMIFS(KT_TRUONG,KT_LOAI,"Tổ",KT_TO,$D43,KT_NGAY,31),SUMIFS(KT_PHAN,KT_LOAI,"Tổ",KT_TO,IF(AJ43="x",$D43,AJ43),KT_NGAY,31)))</f>
        <v>0</v>
      </c>
    </row>
    <row r="44" customFormat="false" ht="15" hidden="false" customHeight="false" outlineLevel="0" collapsed="false">
      <c r="A44" s="17" t="n">
        <f aca="false">IF(B44="","",ROW()-5)</f>
        <v>39</v>
      </c>
      <c r="B44" s="29" t="str">
        <f aca="false">IF(OR(BCC!B44="",BCC!D44&lt;&gt;"Thời vụ HAQT"),"",BCC!B44)</f>
        <v>QT-13</v>
      </c>
      <c r="C44" s="17" t="str">
        <f aca="false">IF(B44="","",BCC!C44)</f>
        <v>Nguyễn Thọ Lộc</v>
      </c>
      <c r="D44" s="17" t="str">
        <f aca="false">IF(B44="","",IFERROR(INDEX(NV_TO,MATCH(B44,NV_MA,0)),""))</f>
        <v>Tổ 2</v>
      </c>
      <c r="E44" s="17" t="str">
        <f aca="false">IF(B44="","",IFERROR(INDEX(NV_VT,MATCH(B44,NV_MA,0)),""))</f>
        <v>Thành viên</v>
      </c>
      <c r="F44" s="21"/>
      <c r="G44" s="21"/>
      <c r="H44" s="21"/>
      <c r="I44" s="21"/>
      <c r="J44" s="21"/>
      <c r="K44" s="21"/>
      <c r="L44" s="21"/>
      <c r="M44" s="21"/>
      <c r="N44" s="21"/>
      <c r="O44" s="21"/>
      <c r="P44" s="21"/>
      <c r="Q44" s="21"/>
      <c r="R44" s="21"/>
      <c r="S44" s="21"/>
      <c r="T44" s="21"/>
      <c r="U44" s="21"/>
      <c r="V44" s="21"/>
      <c r="W44" s="21"/>
      <c r="X44" s="21" t="s">
        <v>309</v>
      </c>
      <c r="Y44" s="21"/>
      <c r="Z44" s="21"/>
      <c r="AA44" s="21"/>
      <c r="AB44" s="21"/>
      <c r="AC44" s="21"/>
      <c r="AD44" s="21"/>
      <c r="AE44" s="21"/>
      <c r="AF44" s="21"/>
      <c r="AG44" s="21"/>
      <c r="AH44" s="21"/>
      <c r="AI44" s="21"/>
      <c r="AJ44" s="21"/>
      <c r="AK44" s="17" t="n">
        <f aca="false">IF(B44="","",COUNTA(F44:AJ44))</f>
        <v>1</v>
      </c>
      <c r="AL44" s="30" t="n">
        <f aca="false">IF(B44="","",SUM(AM44:BQ44))</f>
        <v>485000</v>
      </c>
      <c r="AM44" s="31" t="n">
        <f aca="false">IF(OR($B44="",F44=""),0,IF(AND($E44="Trưởng tổ",F44="x"),SUMIFS(KT_TRUONG,KT_LOAI,"Tổ",KT_TO,$D44,KT_NGAY,1),SUMIFS(KT_PHAN,KT_LOAI,"Tổ",KT_TO,IF(F44="x",$D44,F44),KT_NGAY,1)))</f>
        <v>0</v>
      </c>
      <c r="AN44" s="31" t="n">
        <f aca="false">IF(OR($B44="",G44=""),0,IF(AND($E44="Trưởng tổ",G44="x"),SUMIFS(KT_TRUONG,KT_LOAI,"Tổ",KT_TO,$D44,KT_NGAY,2),SUMIFS(KT_PHAN,KT_LOAI,"Tổ",KT_TO,IF(G44="x",$D44,G44),KT_NGAY,2)))</f>
        <v>0</v>
      </c>
      <c r="AO44" s="31" t="n">
        <f aca="false">IF(OR($B44="",H44=""),0,IF(AND($E44="Trưởng tổ",H44="x"),SUMIFS(KT_TRUONG,KT_LOAI,"Tổ",KT_TO,$D44,KT_NGAY,3),SUMIFS(KT_PHAN,KT_LOAI,"Tổ",KT_TO,IF(H44="x",$D44,H44),KT_NGAY,3)))</f>
        <v>0</v>
      </c>
      <c r="AP44" s="31" t="n">
        <f aca="false">IF(OR($B44="",I44=""),0,IF(AND($E44="Trưởng tổ",I44="x"),SUMIFS(KT_TRUONG,KT_LOAI,"Tổ",KT_TO,$D44,KT_NGAY,4),SUMIFS(KT_PHAN,KT_LOAI,"Tổ",KT_TO,IF(I44="x",$D44,I44),KT_NGAY,4)))</f>
        <v>0</v>
      </c>
      <c r="AQ44" s="31" t="n">
        <f aca="false">IF(OR($B44="",J44=""),0,IF(AND($E44="Trưởng tổ",J44="x"),SUMIFS(KT_TRUONG,KT_LOAI,"Tổ",KT_TO,$D44,KT_NGAY,5),SUMIFS(KT_PHAN,KT_LOAI,"Tổ",KT_TO,IF(J44="x",$D44,J44),KT_NGAY,5)))</f>
        <v>0</v>
      </c>
      <c r="AR44" s="31" t="n">
        <f aca="false">IF(OR($B44="",K44=""),0,IF(AND($E44="Trưởng tổ",K44="x"),SUMIFS(KT_TRUONG,KT_LOAI,"Tổ",KT_TO,$D44,KT_NGAY,6),SUMIFS(KT_PHAN,KT_LOAI,"Tổ",KT_TO,IF(K44="x",$D44,K44),KT_NGAY,6)))</f>
        <v>0</v>
      </c>
      <c r="AS44" s="31" t="n">
        <f aca="false">IF(OR($B44="",L44=""),0,IF(AND($E44="Trưởng tổ",L44="x"),SUMIFS(KT_TRUONG,KT_LOAI,"Tổ",KT_TO,$D44,KT_NGAY,7),SUMIFS(KT_PHAN,KT_LOAI,"Tổ",KT_TO,IF(L44="x",$D44,L44),KT_NGAY,7)))</f>
        <v>0</v>
      </c>
      <c r="AT44" s="31" t="n">
        <f aca="false">IF(OR($B44="",M44=""),0,IF(AND($E44="Trưởng tổ",M44="x"),SUMIFS(KT_TRUONG,KT_LOAI,"Tổ",KT_TO,$D44,KT_NGAY,8),SUMIFS(KT_PHAN,KT_LOAI,"Tổ",KT_TO,IF(M44="x",$D44,M44),KT_NGAY,8)))</f>
        <v>0</v>
      </c>
      <c r="AU44" s="31" t="n">
        <f aca="false">IF(OR($B44="",N44=""),0,IF(AND($E44="Trưởng tổ",N44="x"),SUMIFS(KT_TRUONG,KT_LOAI,"Tổ",KT_TO,$D44,KT_NGAY,9),SUMIFS(KT_PHAN,KT_LOAI,"Tổ",KT_TO,IF(N44="x",$D44,N44),KT_NGAY,9)))</f>
        <v>0</v>
      </c>
      <c r="AV44" s="31" t="n">
        <f aca="false">IF(OR($B44="",O44=""),0,IF(AND($E44="Trưởng tổ",O44="x"),SUMIFS(KT_TRUONG,KT_LOAI,"Tổ",KT_TO,$D44,KT_NGAY,10),SUMIFS(KT_PHAN,KT_LOAI,"Tổ",KT_TO,IF(O44="x",$D44,O44),KT_NGAY,10)))</f>
        <v>0</v>
      </c>
      <c r="AW44" s="31" t="n">
        <f aca="false">IF(OR($B44="",P44=""),0,IF(AND($E44="Trưởng tổ",P44="x"),SUMIFS(KT_TRUONG,KT_LOAI,"Tổ",KT_TO,$D44,KT_NGAY,11),SUMIFS(KT_PHAN,KT_LOAI,"Tổ",KT_TO,IF(P44="x",$D44,P44),KT_NGAY,11)))</f>
        <v>0</v>
      </c>
      <c r="AX44" s="31" t="n">
        <f aca="false">IF(OR($B44="",Q44=""),0,IF(AND($E44="Trưởng tổ",Q44="x"),SUMIFS(KT_TRUONG,KT_LOAI,"Tổ",KT_TO,$D44,KT_NGAY,12),SUMIFS(KT_PHAN,KT_LOAI,"Tổ",KT_TO,IF(Q44="x",$D44,Q44),KT_NGAY,12)))</f>
        <v>0</v>
      </c>
      <c r="AY44" s="31" t="n">
        <f aca="false">IF(OR($B44="",R44=""),0,IF(AND($E44="Trưởng tổ",R44="x"),SUMIFS(KT_TRUONG,KT_LOAI,"Tổ",KT_TO,$D44,KT_NGAY,13),SUMIFS(KT_PHAN,KT_LOAI,"Tổ",KT_TO,IF(R44="x",$D44,R44),KT_NGAY,13)))</f>
        <v>0</v>
      </c>
      <c r="AZ44" s="31" t="n">
        <f aca="false">IF(OR($B44="",S44=""),0,IF(AND($E44="Trưởng tổ",S44="x"),SUMIFS(KT_TRUONG,KT_LOAI,"Tổ",KT_TO,$D44,KT_NGAY,14),SUMIFS(KT_PHAN,KT_LOAI,"Tổ",KT_TO,IF(S44="x",$D44,S44),KT_NGAY,14)))</f>
        <v>0</v>
      </c>
      <c r="BA44" s="31" t="n">
        <f aca="false">IF(OR($B44="",T44=""),0,IF(AND($E44="Trưởng tổ",T44="x"),SUMIFS(KT_TRUONG,KT_LOAI,"Tổ",KT_TO,$D44,KT_NGAY,15),SUMIFS(KT_PHAN,KT_LOAI,"Tổ",KT_TO,IF(T44="x",$D44,T44),KT_NGAY,15)))</f>
        <v>0</v>
      </c>
      <c r="BB44" s="31" t="n">
        <f aca="false">IF(OR($B44="",U44=""),0,IF(AND($E44="Trưởng tổ",U44="x"),SUMIFS(KT_TRUONG,KT_LOAI,"Tổ",KT_TO,$D44,KT_NGAY,16),SUMIFS(KT_PHAN,KT_LOAI,"Tổ",KT_TO,IF(U44="x",$D44,U44),KT_NGAY,16)))</f>
        <v>0</v>
      </c>
      <c r="BC44" s="31" t="n">
        <f aca="false">IF(OR($B44="",V44=""),0,IF(AND($E44="Trưởng tổ",V44="x"),SUMIFS(KT_TRUONG,KT_LOAI,"Tổ",KT_TO,$D44,KT_NGAY,17),SUMIFS(KT_PHAN,KT_LOAI,"Tổ",KT_TO,IF(V44="x",$D44,V44),KT_NGAY,17)))</f>
        <v>0</v>
      </c>
      <c r="BD44" s="31" t="n">
        <f aca="false">IF(OR($B44="",W44=""),0,IF(AND($E44="Trưởng tổ",W44="x"),SUMIFS(KT_TRUONG,KT_LOAI,"Tổ",KT_TO,$D44,KT_NGAY,18),SUMIFS(KT_PHAN,KT_LOAI,"Tổ",KT_TO,IF(W44="x",$D44,W44),KT_NGAY,18)))</f>
        <v>0</v>
      </c>
      <c r="BE44" s="31" t="n">
        <f aca="false">IF(OR($B44="",X44=""),0,IF(AND($E44="Trưởng tổ",X44="x"),SUMIFS(KT_TRUONG,KT_LOAI,"Tổ",KT_TO,$D44,KT_NGAY,19),SUMIFS(KT_PHAN,KT_LOAI,"Tổ",KT_TO,IF(X44="x",$D44,X44),KT_NGAY,19)))</f>
        <v>485000</v>
      </c>
      <c r="BF44" s="31" t="n">
        <f aca="false">IF(OR($B44="",Y44=""),0,IF(AND($E44="Trưởng tổ",Y44="x"),SUMIFS(KT_TRUONG,KT_LOAI,"Tổ",KT_TO,$D44,KT_NGAY,20),SUMIFS(KT_PHAN,KT_LOAI,"Tổ",KT_TO,IF(Y44="x",$D44,Y44),KT_NGAY,20)))</f>
        <v>0</v>
      </c>
      <c r="BG44" s="31" t="n">
        <f aca="false">IF(OR($B44="",Z44=""),0,IF(AND($E44="Trưởng tổ",Z44="x"),SUMIFS(KT_TRUONG,KT_LOAI,"Tổ",KT_TO,$D44,KT_NGAY,21),SUMIFS(KT_PHAN,KT_LOAI,"Tổ",KT_TO,IF(Z44="x",$D44,Z44),KT_NGAY,21)))</f>
        <v>0</v>
      </c>
      <c r="BH44" s="31" t="n">
        <f aca="false">IF(OR($B44="",AA44=""),0,IF(AND($E44="Trưởng tổ",AA44="x"),SUMIFS(KT_TRUONG,KT_LOAI,"Tổ",KT_TO,$D44,KT_NGAY,22),SUMIFS(KT_PHAN,KT_LOAI,"Tổ",KT_TO,IF(AA44="x",$D44,AA44),KT_NGAY,22)))</f>
        <v>0</v>
      </c>
      <c r="BI44" s="31" t="n">
        <f aca="false">IF(OR($B44="",AB44=""),0,IF(AND($E44="Trưởng tổ",AB44="x"),SUMIFS(KT_TRUONG,KT_LOAI,"Tổ",KT_TO,$D44,KT_NGAY,23),SUMIFS(KT_PHAN,KT_LOAI,"Tổ",KT_TO,IF(AB44="x",$D44,AB44),KT_NGAY,23)))</f>
        <v>0</v>
      </c>
      <c r="BJ44" s="31" t="n">
        <f aca="false">IF(OR($B44="",AC44=""),0,IF(AND($E44="Trưởng tổ",AC44="x"),SUMIFS(KT_TRUONG,KT_LOAI,"Tổ",KT_TO,$D44,KT_NGAY,24),SUMIFS(KT_PHAN,KT_LOAI,"Tổ",KT_TO,IF(AC44="x",$D44,AC44),KT_NGAY,24)))</f>
        <v>0</v>
      </c>
      <c r="BK44" s="31" t="n">
        <f aca="false">IF(OR($B44="",AD44=""),0,IF(AND($E44="Trưởng tổ",AD44="x"),SUMIFS(KT_TRUONG,KT_LOAI,"Tổ",KT_TO,$D44,KT_NGAY,25),SUMIFS(KT_PHAN,KT_LOAI,"Tổ",KT_TO,IF(AD44="x",$D44,AD44),KT_NGAY,25)))</f>
        <v>0</v>
      </c>
      <c r="BL44" s="31" t="n">
        <f aca="false">IF(OR($B44="",AE44=""),0,IF(AND($E44="Trưởng tổ",AE44="x"),SUMIFS(KT_TRUONG,KT_LOAI,"Tổ",KT_TO,$D44,KT_NGAY,26),SUMIFS(KT_PHAN,KT_LOAI,"Tổ",KT_TO,IF(AE44="x",$D44,AE44),KT_NGAY,26)))</f>
        <v>0</v>
      </c>
      <c r="BM44" s="31" t="n">
        <f aca="false">IF(OR($B44="",AF44=""),0,IF(AND($E44="Trưởng tổ",AF44="x"),SUMIFS(KT_TRUONG,KT_LOAI,"Tổ",KT_TO,$D44,KT_NGAY,27),SUMIFS(KT_PHAN,KT_LOAI,"Tổ",KT_TO,IF(AF44="x",$D44,AF44),KT_NGAY,27)))</f>
        <v>0</v>
      </c>
      <c r="BN44" s="31" t="n">
        <f aca="false">IF(OR($B44="",AG44=""),0,IF(AND($E44="Trưởng tổ",AG44="x"),SUMIFS(KT_TRUONG,KT_LOAI,"Tổ",KT_TO,$D44,KT_NGAY,28),SUMIFS(KT_PHAN,KT_LOAI,"Tổ",KT_TO,IF(AG44="x",$D44,AG44),KT_NGAY,28)))</f>
        <v>0</v>
      </c>
      <c r="BO44" s="31" t="n">
        <f aca="false">IF(OR($B44="",AH44=""),0,IF(AND($E44="Trưởng tổ",AH44="x"),SUMIFS(KT_TRUONG,KT_LOAI,"Tổ",KT_TO,$D44,KT_NGAY,29),SUMIFS(KT_PHAN,KT_LOAI,"Tổ",KT_TO,IF(AH44="x",$D44,AH44),KT_NGAY,29)))</f>
        <v>0</v>
      </c>
      <c r="BP44" s="31" t="n">
        <f aca="false">IF(OR($B44="",AI44=""),0,IF(AND($E44="Trưởng tổ",AI44="x"),SUMIFS(KT_TRUONG,KT_LOAI,"Tổ",KT_TO,$D44,KT_NGAY,30),SUMIFS(KT_PHAN,KT_LOAI,"Tổ",KT_TO,IF(AI44="x",$D44,AI44),KT_NGAY,30)))</f>
        <v>0</v>
      </c>
      <c r="BQ44" s="31" t="n">
        <f aca="false">IF(OR($B44="",AJ44=""),0,IF(AND($E44="Trưởng tổ",AJ44="x"),SUMIFS(KT_TRUONG,KT_LOAI,"Tổ",KT_TO,$D44,KT_NGAY,31),SUMIFS(KT_PHAN,KT_LOAI,"Tổ",KT_TO,IF(AJ44="x",$D44,AJ44),KT_NGAY,31)))</f>
        <v>0</v>
      </c>
    </row>
    <row r="45" customFormat="false" ht="15" hidden="false" customHeight="false" outlineLevel="0" collapsed="false">
      <c r="A45" s="17" t="n">
        <f aca="false">IF(B45="","",ROW()-5)</f>
        <v>40</v>
      </c>
      <c r="B45" s="29" t="str">
        <f aca="false">IF(OR(BCC!B45="",BCC!D45&lt;&gt;"Thời vụ HAQT"),"",BCC!B45)</f>
        <v>QT-14</v>
      </c>
      <c r="C45" s="17" t="str">
        <f aca="false">IF(B45="","",BCC!C45)</f>
        <v>Nguyễn Phước Thành</v>
      </c>
      <c r="D45" s="17" t="str">
        <f aca="false">IF(B45="","",IFERROR(INDEX(NV_TO,MATCH(B45,NV_MA,0)),""))</f>
        <v>Tổ 2</v>
      </c>
      <c r="E45" s="17" t="str">
        <f aca="false">IF(B45="","",IFERROR(INDEX(NV_VT,MATCH(B45,NV_MA,0)),""))</f>
        <v>Thành viên</v>
      </c>
      <c r="F45" s="21"/>
      <c r="G45" s="21"/>
      <c r="H45" s="21"/>
      <c r="I45" s="21"/>
      <c r="J45" s="21"/>
      <c r="K45" s="21"/>
      <c r="L45" s="21"/>
      <c r="M45" s="21"/>
      <c r="N45" s="21"/>
      <c r="O45" s="21"/>
      <c r="P45" s="21"/>
      <c r="Q45" s="21"/>
      <c r="R45" s="21"/>
      <c r="S45" s="21"/>
      <c r="T45" s="21"/>
      <c r="U45" s="21"/>
      <c r="V45" s="21"/>
      <c r="W45" s="21"/>
      <c r="X45" s="21" t="s">
        <v>309</v>
      </c>
      <c r="Y45" s="21"/>
      <c r="Z45" s="21"/>
      <c r="AA45" s="21"/>
      <c r="AB45" s="21"/>
      <c r="AC45" s="21" t="s">
        <v>309</v>
      </c>
      <c r="AD45" s="21"/>
      <c r="AE45" s="21" t="s">
        <v>309</v>
      </c>
      <c r="AF45" s="21"/>
      <c r="AG45" s="21"/>
      <c r="AH45" s="21"/>
      <c r="AI45" s="21"/>
      <c r="AJ45" s="21"/>
      <c r="AK45" s="17" t="n">
        <f aca="false">IF(B45="","",COUNTA(F45:AJ45))</f>
        <v>3</v>
      </c>
      <c r="AL45" s="30" t="n">
        <f aca="false">IF(B45="","",SUM(AM45:BQ45))</f>
        <v>924000</v>
      </c>
      <c r="AM45" s="31" t="n">
        <f aca="false">IF(OR($B45="",F45=""),0,IF(AND($E45="Trưởng tổ",F45="x"),SUMIFS(KT_TRUONG,KT_LOAI,"Tổ",KT_TO,$D45,KT_NGAY,1),SUMIFS(KT_PHAN,KT_LOAI,"Tổ",KT_TO,IF(F45="x",$D45,F45),KT_NGAY,1)))</f>
        <v>0</v>
      </c>
      <c r="AN45" s="31" t="n">
        <f aca="false">IF(OR($B45="",G45=""),0,IF(AND($E45="Trưởng tổ",G45="x"),SUMIFS(KT_TRUONG,KT_LOAI,"Tổ",KT_TO,$D45,KT_NGAY,2),SUMIFS(KT_PHAN,KT_LOAI,"Tổ",KT_TO,IF(G45="x",$D45,G45),KT_NGAY,2)))</f>
        <v>0</v>
      </c>
      <c r="AO45" s="31" t="n">
        <f aca="false">IF(OR($B45="",H45=""),0,IF(AND($E45="Trưởng tổ",H45="x"),SUMIFS(KT_TRUONG,KT_LOAI,"Tổ",KT_TO,$D45,KT_NGAY,3),SUMIFS(KT_PHAN,KT_LOAI,"Tổ",KT_TO,IF(H45="x",$D45,H45),KT_NGAY,3)))</f>
        <v>0</v>
      </c>
      <c r="AP45" s="31" t="n">
        <f aca="false">IF(OR($B45="",I45=""),0,IF(AND($E45="Trưởng tổ",I45="x"),SUMIFS(KT_TRUONG,KT_LOAI,"Tổ",KT_TO,$D45,KT_NGAY,4),SUMIFS(KT_PHAN,KT_LOAI,"Tổ",KT_TO,IF(I45="x",$D45,I45),KT_NGAY,4)))</f>
        <v>0</v>
      </c>
      <c r="AQ45" s="31" t="n">
        <f aca="false">IF(OR($B45="",J45=""),0,IF(AND($E45="Trưởng tổ",J45="x"),SUMIFS(KT_TRUONG,KT_LOAI,"Tổ",KT_TO,$D45,KT_NGAY,5),SUMIFS(KT_PHAN,KT_LOAI,"Tổ",KT_TO,IF(J45="x",$D45,J45),KT_NGAY,5)))</f>
        <v>0</v>
      </c>
      <c r="AR45" s="31" t="n">
        <f aca="false">IF(OR($B45="",K45=""),0,IF(AND($E45="Trưởng tổ",K45="x"),SUMIFS(KT_TRUONG,KT_LOAI,"Tổ",KT_TO,$D45,KT_NGAY,6),SUMIFS(KT_PHAN,KT_LOAI,"Tổ",KT_TO,IF(K45="x",$D45,K45),KT_NGAY,6)))</f>
        <v>0</v>
      </c>
      <c r="AS45" s="31" t="n">
        <f aca="false">IF(OR($B45="",L45=""),0,IF(AND($E45="Trưởng tổ",L45="x"),SUMIFS(KT_TRUONG,KT_LOAI,"Tổ",KT_TO,$D45,KT_NGAY,7),SUMIFS(KT_PHAN,KT_LOAI,"Tổ",KT_TO,IF(L45="x",$D45,L45),KT_NGAY,7)))</f>
        <v>0</v>
      </c>
      <c r="AT45" s="31" t="n">
        <f aca="false">IF(OR($B45="",M45=""),0,IF(AND($E45="Trưởng tổ",M45="x"),SUMIFS(KT_TRUONG,KT_LOAI,"Tổ",KT_TO,$D45,KT_NGAY,8),SUMIFS(KT_PHAN,KT_LOAI,"Tổ",KT_TO,IF(M45="x",$D45,M45),KT_NGAY,8)))</f>
        <v>0</v>
      </c>
      <c r="AU45" s="31" t="n">
        <f aca="false">IF(OR($B45="",N45=""),0,IF(AND($E45="Trưởng tổ",N45="x"),SUMIFS(KT_TRUONG,KT_LOAI,"Tổ",KT_TO,$D45,KT_NGAY,9),SUMIFS(KT_PHAN,KT_LOAI,"Tổ",KT_TO,IF(N45="x",$D45,N45),KT_NGAY,9)))</f>
        <v>0</v>
      </c>
      <c r="AV45" s="31" t="n">
        <f aca="false">IF(OR($B45="",O45=""),0,IF(AND($E45="Trưởng tổ",O45="x"),SUMIFS(KT_TRUONG,KT_LOAI,"Tổ",KT_TO,$D45,KT_NGAY,10),SUMIFS(KT_PHAN,KT_LOAI,"Tổ",KT_TO,IF(O45="x",$D45,O45),KT_NGAY,10)))</f>
        <v>0</v>
      </c>
      <c r="AW45" s="31" t="n">
        <f aca="false">IF(OR($B45="",P45=""),0,IF(AND($E45="Trưởng tổ",P45="x"),SUMIFS(KT_TRUONG,KT_LOAI,"Tổ",KT_TO,$D45,KT_NGAY,11),SUMIFS(KT_PHAN,KT_LOAI,"Tổ",KT_TO,IF(P45="x",$D45,P45),KT_NGAY,11)))</f>
        <v>0</v>
      </c>
      <c r="AX45" s="31" t="n">
        <f aca="false">IF(OR($B45="",Q45=""),0,IF(AND($E45="Trưởng tổ",Q45="x"),SUMIFS(KT_TRUONG,KT_LOAI,"Tổ",KT_TO,$D45,KT_NGAY,12),SUMIFS(KT_PHAN,KT_LOAI,"Tổ",KT_TO,IF(Q45="x",$D45,Q45),KT_NGAY,12)))</f>
        <v>0</v>
      </c>
      <c r="AY45" s="31" t="n">
        <f aca="false">IF(OR($B45="",R45=""),0,IF(AND($E45="Trưởng tổ",R45="x"),SUMIFS(KT_TRUONG,KT_LOAI,"Tổ",KT_TO,$D45,KT_NGAY,13),SUMIFS(KT_PHAN,KT_LOAI,"Tổ",KT_TO,IF(R45="x",$D45,R45),KT_NGAY,13)))</f>
        <v>0</v>
      </c>
      <c r="AZ45" s="31" t="n">
        <f aca="false">IF(OR($B45="",S45=""),0,IF(AND($E45="Trưởng tổ",S45="x"),SUMIFS(KT_TRUONG,KT_LOAI,"Tổ",KT_TO,$D45,KT_NGAY,14),SUMIFS(KT_PHAN,KT_LOAI,"Tổ",KT_TO,IF(S45="x",$D45,S45),KT_NGAY,14)))</f>
        <v>0</v>
      </c>
      <c r="BA45" s="31" t="n">
        <f aca="false">IF(OR($B45="",T45=""),0,IF(AND($E45="Trưởng tổ",T45="x"),SUMIFS(KT_TRUONG,KT_LOAI,"Tổ",KT_TO,$D45,KT_NGAY,15),SUMIFS(KT_PHAN,KT_LOAI,"Tổ",KT_TO,IF(T45="x",$D45,T45),KT_NGAY,15)))</f>
        <v>0</v>
      </c>
      <c r="BB45" s="31" t="n">
        <f aca="false">IF(OR($B45="",U45=""),0,IF(AND($E45="Trưởng tổ",U45="x"),SUMIFS(KT_TRUONG,KT_LOAI,"Tổ",KT_TO,$D45,KT_NGAY,16),SUMIFS(KT_PHAN,KT_LOAI,"Tổ",KT_TO,IF(U45="x",$D45,U45),KT_NGAY,16)))</f>
        <v>0</v>
      </c>
      <c r="BC45" s="31" t="n">
        <f aca="false">IF(OR($B45="",V45=""),0,IF(AND($E45="Trưởng tổ",V45="x"),SUMIFS(KT_TRUONG,KT_LOAI,"Tổ",KT_TO,$D45,KT_NGAY,17),SUMIFS(KT_PHAN,KT_LOAI,"Tổ",KT_TO,IF(V45="x",$D45,V45),KT_NGAY,17)))</f>
        <v>0</v>
      </c>
      <c r="BD45" s="31" t="n">
        <f aca="false">IF(OR($B45="",W45=""),0,IF(AND($E45="Trưởng tổ",W45="x"),SUMIFS(KT_TRUONG,KT_LOAI,"Tổ",KT_TO,$D45,KT_NGAY,18),SUMIFS(KT_PHAN,KT_LOAI,"Tổ",KT_TO,IF(W45="x",$D45,W45),KT_NGAY,18)))</f>
        <v>0</v>
      </c>
      <c r="BE45" s="31" t="n">
        <f aca="false">IF(OR($B45="",X45=""),0,IF(AND($E45="Trưởng tổ",X45="x"),SUMIFS(KT_TRUONG,KT_LOAI,"Tổ",KT_TO,$D45,KT_NGAY,19),SUMIFS(KT_PHAN,KT_LOAI,"Tổ",KT_TO,IF(X45="x",$D45,X45),KT_NGAY,19)))</f>
        <v>485000</v>
      </c>
      <c r="BF45" s="31" t="n">
        <f aca="false">IF(OR($B45="",Y45=""),0,IF(AND($E45="Trưởng tổ",Y45="x"),SUMIFS(KT_TRUONG,KT_LOAI,"Tổ",KT_TO,$D45,KT_NGAY,20),SUMIFS(KT_PHAN,KT_LOAI,"Tổ",KT_TO,IF(Y45="x",$D45,Y45),KT_NGAY,20)))</f>
        <v>0</v>
      </c>
      <c r="BG45" s="31" t="n">
        <f aca="false">IF(OR($B45="",Z45=""),0,IF(AND($E45="Trưởng tổ",Z45="x"),SUMIFS(KT_TRUONG,KT_LOAI,"Tổ",KT_TO,$D45,KT_NGAY,21),SUMIFS(KT_PHAN,KT_LOAI,"Tổ",KT_TO,IF(Z45="x",$D45,Z45),KT_NGAY,21)))</f>
        <v>0</v>
      </c>
      <c r="BH45" s="31" t="n">
        <f aca="false">IF(OR($B45="",AA45=""),0,IF(AND($E45="Trưởng tổ",AA45="x"),SUMIFS(KT_TRUONG,KT_LOAI,"Tổ",KT_TO,$D45,KT_NGAY,22),SUMIFS(KT_PHAN,KT_LOAI,"Tổ",KT_TO,IF(AA45="x",$D45,AA45),KT_NGAY,22)))</f>
        <v>0</v>
      </c>
      <c r="BI45" s="31" t="n">
        <f aca="false">IF(OR($B45="",AB45=""),0,IF(AND($E45="Trưởng tổ",AB45="x"),SUMIFS(KT_TRUONG,KT_LOAI,"Tổ",KT_TO,$D45,KT_NGAY,23),SUMIFS(KT_PHAN,KT_LOAI,"Tổ",KT_TO,IF(AB45="x",$D45,AB45),KT_NGAY,23)))</f>
        <v>0</v>
      </c>
      <c r="BJ45" s="31" t="n">
        <f aca="false">IF(OR($B45="",AC45=""),0,IF(AND($E45="Trưởng tổ",AC45="x"),SUMIFS(KT_TRUONG,KT_LOAI,"Tổ",KT_TO,$D45,KT_NGAY,24),SUMIFS(KT_PHAN,KT_LOAI,"Tổ",KT_TO,IF(AC45="x",$D45,AC45),KT_NGAY,24)))</f>
        <v>439000</v>
      </c>
      <c r="BK45" s="31" t="n">
        <f aca="false">IF(OR($B45="",AD45=""),0,IF(AND($E45="Trưởng tổ",AD45="x"),SUMIFS(KT_TRUONG,KT_LOAI,"Tổ",KT_TO,$D45,KT_NGAY,25),SUMIFS(KT_PHAN,KT_LOAI,"Tổ",KT_TO,IF(AD45="x",$D45,AD45),KT_NGAY,25)))</f>
        <v>0</v>
      </c>
      <c r="BL45" s="31" t="n">
        <f aca="false">IF(OR($B45="",AE45=""),0,IF(AND($E45="Trưởng tổ",AE45="x"),SUMIFS(KT_TRUONG,KT_LOAI,"Tổ",KT_TO,$D45,KT_NGAY,26),SUMIFS(KT_PHAN,KT_LOAI,"Tổ",KT_TO,IF(AE45="x",$D45,AE45),KT_NGAY,26)))</f>
        <v>0</v>
      </c>
      <c r="BM45" s="31" t="n">
        <f aca="false">IF(OR($B45="",AF45=""),0,IF(AND($E45="Trưởng tổ",AF45="x"),SUMIFS(KT_TRUONG,KT_LOAI,"Tổ",KT_TO,$D45,KT_NGAY,27),SUMIFS(KT_PHAN,KT_LOAI,"Tổ",KT_TO,IF(AF45="x",$D45,AF45),KT_NGAY,27)))</f>
        <v>0</v>
      </c>
      <c r="BN45" s="31" t="n">
        <f aca="false">IF(OR($B45="",AG45=""),0,IF(AND($E45="Trưởng tổ",AG45="x"),SUMIFS(KT_TRUONG,KT_LOAI,"Tổ",KT_TO,$D45,KT_NGAY,28),SUMIFS(KT_PHAN,KT_LOAI,"Tổ",KT_TO,IF(AG45="x",$D45,AG45),KT_NGAY,28)))</f>
        <v>0</v>
      </c>
      <c r="BO45" s="31" t="n">
        <f aca="false">IF(OR($B45="",AH45=""),0,IF(AND($E45="Trưởng tổ",AH45="x"),SUMIFS(KT_TRUONG,KT_LOAI,"Tổ",KT_TO,$D45,KT_NGAY,29),SUMIFS(KT_PHAN,KT_LOAI,"Tổ",KT_TO,IF(AH45="x",$D45,AH45),KT_NGAY,29)))</f>
        <v>0</v>
      </c>
      <c r="BP45" s="31" t="n">
        <f aca="false">IF(OR($B45="",AI45=""),0,IF(AND($E45="Trưởng tổ",AI45="x"),SUMIFS(KT_TRUONG,KT_LOAI,"Tổ",KT_TO,$D45,KT_NGAY,30),SUMIFS(KT_PHAN,KT_LOAI,"Tổ",KT_TO,IF(AI45="x",$D45,AI45),KT_NGAY,30)))</f>
        <v>0</v>
      </c>
      <c r="BQ45" s="31" t="n">
        <f aca="false">IF(OR($B45="",AJ45=""),0,IF(AND($E45="Trưởng tổ",AJ45="x"),SUMIFS(KT_TRUONG,KT_LOAI,"Tổ",KT_TO,$D45,KT_NGAY,31),SUMIFS(KT_PHAN,KT_LOAI,"Tổ",KT_TO,IF(AJ45="x",$D45,AJ45),KT_NGAY,31)))</f>
        <v>0</v>
      </c>
    </row>
    <row r="46" customFormat="false" ht="15" hidden="false" customHeight="false" outlineLevel="0" collapsed="false">
      <c r="A46" s="17" t="n">
        <f aca="false">IF(B46="","",ROW()-5)</f>
        <v>41</v>
      </c>
      <c r="B46" s="29" t="str">
        <f aca="false">IF(OR(BCC!B46="",BCC!D46&lt;&gt;"Thời vụ HAQT"),"",BCC!B46)</f>
        <v>QT-15</v>
      </c>
      <c r="C46" s="17" t="str">
        <f aca="false">IF(B46="","",BCC!C46)</f>
        <v>Nguyễn Thị X Thành</v>
      </c>
      <c r="D46" s="27" t="n">
        <f aca="false">IF(B46="","",IFERROR(INDEX(NV_TO,MATCH(B46,NV_MA,0)),""))</f>
        <v>0</v>
      </c>
      <c r="E46" s="17" t="n">
        <f aca="false">IF(B46="","",IFERROR(INDEX(NV_VT,MATCH(B46,NV_MA,0)),""))</f>
        <v>0</v>
      </c>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17" t="n">
        <f aca="false">IF(B46="","",COUNTA(F46:AJ46))</f>
        <v>0</v>
      </c>
      <c r="AL46" s="30" t="n">
        <f aca="false">IF(B46="","",SUM(AM46:BQ46))</f>
        <v>0</v>
      </c>
      <c r="AM46" s="31" t="n">
        <f aca="false">IF(OR($B46="",F46=""),0,IF(AND($E46="Trưởng tổ",F46="x"),SUMIFS(KT_TRUONG,KT_LOAI,"Tổ",KT_TO,$D46,KT_NGAY,1),SUMIFS(KT_PHAN,KT_LOAI,"Tổ",KT_TO,IF(F46="x",$D46,F46),KT_NGAY,1)))</f>
        <v>0</v>
      </c>
      <c r="AN46" s="31" t="n">
        <f aca="false">IF(OR($B46="",G46=""),0,IF(AND($E46="Trưởng tổ",G46="x"),SUMIFS(KT_TRUONG,KT_LOAI,"Tổ",KT_TO,$D46,KT_NGAY,2),SUMIFS(KT_PHAN,KT_LOAI,"Tổ",KT_TO,IF(G46="x",$D46,G46),KT_NGAY,2)))</f>
        <v>0</v>
      </c>
      <c r="AO46" s="31" t="n">
        <f aca="false">IF(OR($B46="",H46=""),0,IF(AND($E46="Trưởng tổ",H46="x"),SUMIFS(KT_TRUONG,KT_LOAI,"Tổ",KT_TO,$D46,KT_NGAY,3),SUMIFS(KT_PHAN,KT_LOAI,"Tổ",KT_TO,IF(H46="x",$D46,H46),KT_NGAY,3)))</f>
        <v>0</v>
      </c>
      <c r="AP46" s="31" t="n">
        <f aca="false">IF(OR($B46="",I46=""),0,IF(AND($E46="Trưởng tổ",I46="x"),SUMIFS(KT_TRUONG,KT_LOAI,"Tổ",KT_TO,$D46,KT_NGAY,4),SUMIFS(KT_PHAN,KT_LOAI,"Tổ",KT_TO,IF(I46="x",$D46,I46),KT_NGAY,4)))</f>
        <v>0</v>
      </c>
      <c r="AQ46" s="31" t="n">
        <f aca="false">IF(OR($B46="",J46=""),0,IF(AND($E46="Trưởng tổ",J46="x"),SUMIFS(KT_TRUONG,KT_LOAI,"Tổ",KT_TO,$D46,KT_NGAY,5),SUMIFS(KT_PHAN,KT_LOAI,"Tổ",KT_TO,IF(J46="x",$D46,J46),KT_NGAY,5)))</f>
        <v>0</v>
      </c>
      <c r="AR46" s="31" t="n">
        <f aca="false">IF(OR($B46="",K46=""),0,IF(AND($E46="Trưởng tổ",K46="x"),SUMIFS(KT_TRUONG,KT_LOAI,"Tổ",KT_TO,$D46,KT_NGAY,6),SUMIFS(KT_PHAN,KT_LOAI,"Tổ",KT_TO,IF(K46="x",$D46,K46),KT_NGAY,6)))</f>
        <v>0</v>
      </c>
      <c r="AS46" s="31" t="n">
        <f aca="false">IF(OR($B46="",L46=""),0,IF(AND($E46="Trưởng tổ",L46="x"),SUMIFS(KT_TRUONG,KT_LOAI,"Tổ",KT_TO,$D46,KT_NGAY,7),SUMIFS(KT_PHAN,KT_LOAI,"Tổ",KT_TO,IF(L46="x",$D46,L46),KT_NGAY,7)))</f>
        <v>0</v>
      </c>
      <c r="AT46" s="31" t="n">
        <f aca="false">IF(OR($B46="",M46=""),0,IF(AND($E46="Trưởng tổ",M46="x"),SUMIFS(KT_TRUONG,KT_LOAI,"Tổ",KT_TO,$D46,KT_NGAY,8),SUMIFS(KT_PHAN,KT_LOAI,"Tổ",KT_TO,IF(M46="x",$D46,M46),KT_NGAY,8)))</f>
        <v>0</v>
      </c>
      <c r="AU46" s="31" t="n">
        <f aca="false">IF(OR($B46="",N46=""),0,IF(AND($E46="Trưởng tổ",N46="x"),SUMIFS(KT_TRUONG,KT_LOAI,"Tổ",KT_TO,$D46,KT_NGAY,9),SUMIFS(KT_PHAN,KT_LOAI,"Tổ",KT_TO,IF(N46="x",$D46,N46),KT_NGAY,9)))</f>
        <v>0</v>
      </c>
      <c r="AV46" s="31" t="n">
        <f aca="false">IF(OR($B46="",O46=""),0,IF(AND($E46="Trưởng tổ",O46="x"),SUMIFS(KT_TRUONG,KT_LOAI,"Tổ",KT_TO,$D46,KT_NGAY,10),SUMIFS(KT_PHAN,KT_LOAI,"Tổ",KT_TO,IF(O46="x",$D46,O46),KT_NGAY,10)))</f>
        <v>0</v>
      </c>
      <c r="AW46" s="31" t="n">
        <f aca="false">IF(OR($B46="",P46=""),0,IF(AND($E46="Trưởng tổ",P46="x"),SUMIFS(KT_TRUONG,KT_LOAI,"Tổ",KT_TO,$D46,KT_NGAY,11),SUMIFS(KT_PHAN,KT_LOAI,"Tổ",KT_TO,IF(P46="x",$D46,P46),KT_NGAY,11)))</f>
        <v>0</v>
      </c>
      <c r="AX46" s="31" t="n">
        <f aca="false">IF(OR($B46="",Q46=""),0,IF(AND($E46="Trưởng tổ",Q46="x"),SUMIFS(KT_TRUONG,KT_LOAI,"Tổ",KT_TO,$D46,KT_NGAY,12),SUMIFS(KT_PHAN,KT_LOAI,"Tổ",KT_TO,IF(Q46="x",$D46,Q46),KT_NGAY,12)))</f>
        <v>0</v>
      </c>
      <c r="AY46" s="31" t="n">
        <f aca="false">IF(OR($B46="",R46=""),0,IF(AND($E46="Trưởng tổ",R46="x"),SUMIFS(KT_TRUONG,KT_LOAI,"Tổ",KT_TO,$D46,KT_NGAY,13),SUMIFS(KT_PHAN,KT_LOAI,"Tổ",KT_TO,IF(R46="x",$D46,R46),KT_NGAY,13)))</f>
        <v>0</v>
      </c>
      <c r="AZ46" s="31" t="n">
        <f aca="false">IF(OR($B46="",S46=""),0,IF(AND($E46="Trưởng tổ",S46="x"),SUMIFS(KT_TRUONG,KT_LOAI,"Tổ",KT_TO,$D46,KT_NGAY,14),SUMIFS(KT_PHAN,KT_LOAI,"Tổ",KT_TO,IF(S46="x",$D46,S46),KT_NGAY,14)))</f>
        <v>0</v>
      </c>
      <c r="BA46" s="31" t="n">
        <f aca="false">IF(OR($B46="",T46=""),0,IF(AND($E46="Trưởng tổ",T46="x"),SUMIFS(KT_TRUONG,KT_LOAI,"Tổ",KT_TO,$D46,KT_NGAY,15),SUMIFS(KT_PHAN,KT_LOAI,"Tổ",KT_TO,IF(T46="x",$D46,T46),KT_NGAY,15)))</f>
        <v>0</v>
      </c>
      <c r="BB46" s="31" t="n">
        <f aca="false">IF(OR($B46="",U46=""),0,IF(AND($E46="Trưởng tổ",U46="x"),SUMIFS(KT_TRUONG,KT_LOAI,"Tổ",KT_TO,$D46,KT_NGAY,16),SUMIFS(KT_PHAN,KT_LOAI,"Tổ",KT_TO,IF(U46="x",$D46,U46),KT_NGAY,16)))</f>
        <v>0</v>
      </c>
      <c r="BC46" s="31" t="n">
        <f aca="false">IF(OR($B46="",V46=""),0,IF(AND($E46="Trưởng tổ",V46="x"),SUMIFS(KT_TRUONG,KT_LOAI,"Tổ",KT_TO,$D46,KT_NGAY,17),SUMIFS(KT_PHAN,KT_LOAI,"Tổ",KT_TO,IF(V46="x",$D46,V46),KT_NGAY,17)))</f>
        <v>0</v>
      </c>
      <c r="BD46" s="31" t="n">
        <f aca="false">IF(OR($B46="",W46=""),0,IF(AND($E46="Trưởng tổ",W46="x"),SUMIFS(KT_TRUONG,KT_LOAI,"Tổ",KT_TO,$D46,KT_NGAY,18),SUMIFS(KT_PHAN,KT_LOAI,"Tổ",KT_TO,IF(W46="x",$D46,W46),KT_NGAY,18)))</f>
        <v>0</v>
      </c>
      <c r="BE46" s="31" t="n">
        <f aca="false">IF(OR($B46="",X46=""),0,IF(AND($E46="Trưởng tổ",X46="x"),SUMIFS(KT_TRUONG,KT_LOAI,"Tổ",KT_TO,$D46,KT_NGAY,19),SUMIFS(KT_PHAN,KT_LOAI,"Tổ",KT_TO,IF(X46="x",$D46,X46),KT_NGAY,19)))</f>
        <v>0</v>
      </c>
      <c r="BF46" s="31" t="n">
        <f aca="false">IF(OR($B46="",Y46=""),0,IF(AND($E46="Trưởng tổ",Y46="x"),SUMIFS(KT_TRUONG,KT_LOAI,"Tổ",KT_TO,$D46,KT_NGAY,20),SUMIFS(KT_PHAN,KT_LOAI,"Tổ",KT_TO,IF(Y46="x",$D46,Y46),KT_NGAY,20)))</f>
        <v>0</v>
      </c>
      <c r="BG46" s="31" t="n">
        <f aca="false">IF(OR($B46="",Z46=""),0,IF(AND($E46="Trưởng tổ",Z46="x"),SUMIFS(KT_TRUONG,KT_LOAI,"Tổ",KT_TO,$D46,KT_NGAY,21),SUMIFS(KT_PHAN,KT_LOAI,"Tổ",KT_TO,IF(Z46="x",$D46,Z46),KT_NGAY,21)))</f>
        <v>0</v>
      </c>
      <c r="BH46" s="31" t="n">
        <f aca="false">IF(OR($B46="",AA46=""),0,IF(AND($E46="Trưởng tổ",AA46="x"),SUMIFS(KT_TRUONG,KT_LOAI,"Tổ",KT_TO,$D46,KT_NGAY,22),SUMIFS(KT_PHAN,KT_LOAI,"Tổ",KT_TO,IF(AA46="x",$D46,AA46),KT_NGAY,22)))</f>
        <v>0</v>
      </c>
      <c r="BI46" s="31" t="n">
        <f aca="false">IF(OR($B46="",AB46=""),0,IF(AND($E46="Trưởng tổ",AB46="x"),SUMIFS(KT_TRUONG,KT_LOAI,"Tổ",KT_TO,$D46,KT_NGAY,23),SUMIFS(KT_PHAN,KT_LOAI,"Tổ",KT_TO,IF(AB46="x",$D46,AB46),KT_NGAY,23)))</f>
        <v>0</v>
      </c>
      <c r="BJ46" s="31" t="n">
        <f aca="false">IF(OR($B46="",AC46=""),0,IF(AND($E46="Trưởng tổ",AC46="x"),SUMIFS(KT_TRUONG,KT_LOAI,"Tổ",KT_TO,$D46,KT_NGAY,24),SUMIFS(KT_PHAN,KT_LOAI,"Tổ",KT_TO,IF(AC46="x",$D46,AC46),KT_NGAY,24)))</f>
        <v>0</v>
      </c>
      <c r="BK46" s="31" t="n">
        <f aca="false">IF(OR($B46="",AD46=""),0,IF(AND($E46="Trưởng tổ",AD46="x"),SUMIFS(KT_TRUONG,KT_LOAI,"Tổ",KT_TO,$D46,KT_NGAY,25),SUMIFS(KT_PHAN,KT_LOAI,"Tổ",KT_TO,IF(AD46="x",$D46,AD46),KT_NGAY,25)))</f>
        <v>0</v>
      </c>
      <c r="BL46" s="31" t="n">
        <f aca="false">IF(OR($B46="",AE46=""),0,IF(AND($E46="Trưởng tổ",AE46="x"),SUMIFS(KT_TRUONG,KT_LOAI,"Tổ",KT_TO,$D46,KT_NGAY,26),SUMIFS(KT_PHAN,KT_LOAI,"Tổ",KT_TO,IF(AE46="x",$D46,AE46),KT_NGAY,26)))</f>
        <v>0</v>
      </c>
      <c r="BM46" s="31" t="n">
        <f aca="false">IF(OR($B46="",AF46=""),0,IF(AND($E46="Trưởng tổ",AF46="x"),SUMIFS(KT_TRUONG,KT_LOAI,"Tổ",KT_TO,$D46,KT_NGAY,27),SUMIFS(KT_PHAN,KT_LOAI,"Tổ",KT_TO,IF(AF46="x",$D46,AF46),KT_NGAY,27)))</f>
        <v>0</v>
      </c>
      <c r="BN46" s="31" t="n">
        <f aca="false">IF(OR($B46="",AG46=""),0,IF(AND($E46="Trưởng tổ",AG46="x"),SUMIFS(KT_TRUONG,KT_LOAI,"Tổ",KT_TO,$D46,KT_NGAY,28),SUMIFS(KT_PHAN,KT_LOAI,"Tổ",KT_TO,IF(AG46="x",$D46,AG46),KT_NGAY,28)))</f>
        <v>0</v>
      </c>
      <c r="BO46" s="31" t="n">
        <f aca="false">IF(OR($B46="",AH46=""),0,IF(AND($E46="Trưởng tổ",AH46="x"),SUMIFS(KT_TRUONG,KT_LOAI,"Tổ",KT_TO,$D46,KT_NGAY,29),SUMIFS(KT_PHAN,KT_LOAI,"Tổ",KT_TO,IF(AH46="x",$D46,AH46),KT_NGAY,29)))</f>
        <v>0</v>
      </c>
      <c r="BP46" s="31" t="n">
        <f aca="false">IF(OR($B46="",AI46=""),0,IF(AND($E46="Trưởng tổ",AI46="x"),SUMIFS(KT_TRUONG,KT_LOAI,"Tổ",KT_TO,$D46,KT_NGAY,30),SUMIFS(KT_PHAN,KT_LOAI,"Tổ",KT_TO,IF(AI46="x",$D46,AI46),KT_NGAY,30)))</f>
        <v>0</v>
      </c>
      <c r="BQ46" s="31" t="n">
        <f aca="false">IF(OR($B46="",AJ46=""),0,IF(AND($E46="Trưởng tổ",AJ46="x"),SUMIFS(KT_TRUONG,KT_LOAI,"Tổ",KT_TO,$D46,KT_NGAY,31),SUMIFS(KT_PHAN,KT_LOAI,"Tổ",KT_TO,IF(AJ46="x",$D46,AJ46),KT_NGAY,31)))</f>
        <v>0</v>
      </c>
    </row>
    <row r="47" customFormat="false" ht="15" hidden="false" customHeight="false" outlineLevel="0" collapsed="false">
      <c r="A47" s="17" t="n">
        <f aca="false">IF(B47="","",ROW()-5)</f>
        <v>42</v>
      </c>
      <c r="B47" s="29" t="str">
        <f aca="false">IF(OR(BCC!B47="",BCC!D47&lt;&gt;"Thời vụ HAQT"),"",BCC!B47)</f>
        <v>QT-16</v>
      </c>
      <c r="C47" s="17" t="str">
        <f aca="false">IF(B47="","",BCC!C47)</f>
        <v>Nguyễn Thị Mai</v>
      </c>
      <c r="D47" s="17" t="str">
        <f aca="false">IF(B47="","",IFERROR(INDEX(NV_TO,MATCH(B47,NV_MA,0)),""))</f>
        <v>Tổ 2</v>
      </c>
      <c r="E47" s="17" t="str">
        <f aca="false">IF(B47="","",IFERROR(INDEX(NV_VT,MATCH(B47,NV_MA,0)),""))</f>
        <v>Thành viên</v>
      </c>
      <c r="F47" s="21"/>
      <c r="G47" s="21"/>
      <c r="H47" s="21"/>
      <c r="I47" s="21"/>
      <c r="J47" s="21"/>
      <c r="K47" s="21"/>
      <c r="L47" s="21"/>
      <c r="M47" s="21"/>
      <c r="N47" s="21"/>
      <c r="O47" s="21"/>
      <c r="P47" s="21"/>
      <c r="Q47" s="21"/>
      <c r="R47" s="21"/>
      <c r="S47" s="21"/>
      <c r="T47" s="21"/>
      <c r="U47" s="21"/>
      <c r="V47" s="21"/>
      <c r="W47" s="21"/>
      <c r="X47" s="21" t="s">
        <v>309</v>
      </c>
      <c r="Y47" s="21"/>
      <c r="Z47" s="21"/>
      <c r="AA47" s="21"/>
      <c r="AB47" s="21"/>
      <c r="AC47" s="21"/>
      <c r="AD47" s="21"/>
      <c r="AE47" s="21"/>
      <c r="AF47" s="21"/>
      <c r="AG47" s="21"/>
      <c r="AH47" s="21"/>
      <c r="AI47" s="21"/>
      <c r="AJ47" s="21"/>
      <c r="AK47" s="17" t="n">
        <f aca="false">IF(B47="","",COUNTA(F47:AJ47))</f>
        <v>1</v>
      </c>
      <c r="AL47" s="30" t="n">
        <f aca="false">IF(B47="","",SUM(AM47:BQ47))</f>
        <v>485000</v>
      </c>
      <c r="AM47" s="31" t="n">
        <f aca="false">IF(OR($B47="",F47=""),0,IF(AND($E47="Trưởng tổ",F47="x"),SUMIFS(KT_TRUONG,KT_LOAI,"Tổ",KT_TO,$D47,KT_NGAY,1),SUMIFS(KT_PHAN,KT_LOAI,"Tổ",KT_TO,IF(F47="x",$D47,F47),KT_NGAY,1)))</f>
        <v>0</v>
      </c>
      <c r="AN47" s="31" t="n">
        <f aca="false">IF(OR($B47="",G47=""),0,IF(AND($E47="Trưởng tổ",G47="x"),SUMIFS(KT_TRUONG,KT_LOAI,"Tổ",KT_TO,$D47,KT_NGAY,2),SUMIFS(KT_PHAN,KT_LOAI,"Tổ",KT_TO,IF(G47="x",$D47,G47),KT_NGAY,2)))</f>
        <v>0</v>
      </c>
      <c r="AO47" s="31" t="n">
        <f aca="false">IF(OR($B47="",H47=""),0,IF(AND($E47="Trưởng tổ",H47="x"),SUMIFS(KT_TRUONG,KT_LOAI,"Tổ",KT_TO,$D47,KT_NGAY,3),SUMIFS(KT_PHAN,KT_LOAI,"Tổ",KT_TO,IF(H47="x",$D47,H47),KT_NGAY,3)))</f>
        <v>0</v>
      </c>
      <c r="AP47" s="31" t="n">
        <f aca="false">IF(OR($B47="",I47=""),0,IF(AND($E47="Trưởng tổ",I47="x"),SUMIFS(KT_TRUONG,KT_LOAI,"Tổ",KT_TO,$D47,KT_NGAY,4),SUMIFS(KT_PHAN,KT_LOAI,"Tổ",KT_TO,IF(I47="x",$D47,I47),KT_NGAY,4)))</f>
        <v>0</v>
      </c>
      <c r="AQ47" s="31" t="n">
        <f aca="false">IF(OR($B47="",J47=""),0,IF(AND($E47="Trưởng tổ",J47="x"),SUMIFS(KT_TRUONG,KT_LOAI,"Tổ",KT_TO,$D47,KT_NGAY,5),SUMIFS(KT_PHAN,KT_LOAI,"Tổ",KT_TO,IF(J47="x",$D47,J47),KT_NGAY,5)))</f>
        <v>0</v>
      </c>
      <c r="AR47" s="31" t="n">
        <f aca="false">IF(OR($B47="",K47=""),0,IF(AND($E47="Trưởng tổ",K47="x"),SUMIFS(KT_TRUONG,KT_LOAI,"Tổ",KT_TO,$D47,KT_NGAY,6),SUMIFS(KT_PHAN,KT_LOAI,"Tổ",KT_TO,IF(K47="x",$D47,K47),KT_NGAY,6)))</f>
        <v>0</v>
      </c>
      <c r="AS47" s="31" t="n">
        <f aca="false">IF(OR($B47="",L47=""),0,IF(AND($E47="Trưởng tổ",L47="x"),SUMIFS(KT_TRUONG,KT_LOAI,"Tổ",KT_TO,$D47,KT_NGAY,7),SUMIFS(KT_PHAN,KT_LOAI,"Tổ",KT_TO,IF(L47="x",$D47,L47),KT_NGAY,7)))</f>
        <v>0</v>
      </c>
      <c r="AT47" s="31" t="n">
        <f aca="false">IF(OR($B47="",M47=""),0,IF(AND($E47="Trưởng tổ",M47="x"),SUMIFS(KT_TRUONG,KT_LOAI,"Tổ",KT_TO,$D47,KT_NGAY,8),SUMIFS(KT_PHAN,KT_LOAI,"Tổ",KT_TO,IF(M47="x",$D47,M47),KT_NGAY,8)))</f>
        <v>0</v>
      </c>
      <c r="AU47" s="31" t="n">
        <f aca="false">IF(OR($B47="",N47=""),0,IF(AND($E47="Trưởng tổ",N47="x"),SUMIFS(KT_TRUONG,KT_LOAI,"Tổ",KT_TO,$D47,KT_NGAY,9),SUMIFS(KT_PHAN,KT_LOAI,"Tổ",KT_TO,IF(N47="x",$D47,N47),KT_NGAY,9)))</f>
        <v>0</v>
      </c>
      <c r="AV47" s="31" t="n">
        <f aca="false">IF(OR($B47="",O47=""),0,IF(AND($E47="Trưởng tổ",O47="x"),SUMIFS(KT_TRUONG,KT_LOAI,"Tổ",KT_TO,$D47,KT_NGAY,10),SUMIFS(KT_PHAN,KT_LOAI,"Tổ",KT_TO,IF(O47="x",$D47,O47),KT_NGAY,10)))</f>
        <v>0</v>
      </c>
      <c r="AW47" s="31" t="n">
        <f aca="false">IF(OR($B47="",P47=""),0,IF(AND($E47="Trưởng tổ",P47="x"),SUMIFS(KT_TRUONG,KT_LOAI,"Tổ",KT_TO,$D47,KT_NGAY,11),SUMIFS(KT_PHAN,KT_LOAI,"Tổ",KT_TO,IF(P47="x",$D47,P47),KT_NGAY,11)))</f>
        <v>0</v>
      </c>
      <c r="AX47" s="31" t="n">
        <f aca="false">IF(OR($B47="",Q47=""),0,IF(AND($E47="Trưởng tổ",Q47="x"),SUMIFS(KT_TRUONG,KT_LOAI,"Tổ",KT_TO,$D47,KT_NGAY,12),SUMIFS(KT_PHAN,KT_LOAI,"Tổ",KT_TO,IF(Q47="x",$D47,Q47),KT_NGAY,12)))</f>
        <v>0</v>
      </c>
      <c r="AY47" s="31" t="n">
        <f aca="false">IF(OR($B47="",R47=""),0,IF(AND($E47="Trưởng tổ",R47="x"),SUMIFS(KT_TRUONG,KT_LOAI,"Tổ",KT_TO,$D47,KT_NGAY,13),SUMIFS(KT_PHAN,KT_LOAI,"Tổ",KT_TO,IF(R47="x",$D47,R47),KT_NGAY,13)))</f>
        <v>0</v>
      </c>
      <c r="AZ47" s="31" t="n">
        <f aca="false">IF(OR($B47="",S47=""),0,IF(AND($E47="Trưởng tổ",S47="x"),SUMIFS(KT_TRUONG,KT_LOAI,"Tổ",KT_TO,$D47,KT_NGAY,14),SUMIFS(KT_PHAN,KT_LOAI,"Tổ",KT_TO,IF(S47="x",$D47,S47),KT_NGAY,14)))</f>
        <v>0</v>
      </c>
      <c r="BA47" s="31" t="n">
        <f aca="false">IF(OR($B47="",T47=""),0,IF(AND($E47="Trưởng tổ",T47="x"),SUMIFS(KT_TRUONG,KT_LOAI,"Tổ",KT_TO,$D47,KT_NGAY,15),SUMIFS(KT_PHAN,KT_LOAI,"Tổ",KT_TO,IF(T47="x",$D47,T47),KT_NGAY,15)))</f>
        <v>0</v>
      </c>
      <c r="BB47" s="31" t="n">
        <f aca="false">IF(OR($B47="",U47=""),0,IF(AND($E47="Trưởng tổ",U47="x"),SUMIFS(KT_TRUONG,KT_LOAI,"Tổ",KT_TO,$D47,KT_NGAY,16),SUMIFS(KT_PHAN,KT_LOAI,"Tổ",KT_TO,IF(U47="x",$D47,U47),KT_NGAY,16)))</f>
        <v>0</v>
      </c>
      <c r="BC47" s="31" t="n">
        <f aca="false">IF(OR($B47="",V47=""),0,IF(AND($E47="Trưởng tổ",V47="x"),SUMIFS(KT_TRUONG,KT_LOAI,"Tổ",KT_TO,$D47,KT_NGAY,17),SUMIFS(KT_PHAN,KT_LOAI,"Tổ",KT_TO,IF(V47="x",$D47,V47),KT_NGAY,17)))</f>
        <v>0</v>
      </c>
      <c r="BD47" s="31" t="n">
        <f aca="false">IF(OR($B47="",W47=""),0,IF(AND($E47="Trưởng tổ",W47="x"),SUMIFS(KT_TRUONG,KT_LOAI,"Tổ",KT_TO,$D47,KT_NGAY,18),SUMIFS(KT_PHAN,KT_LOAI,"Tổ",KT_TO,IF(W47="x",$D47,W47),KT_NGAY,18)))</f>
        <v>0</v>
      </c>
      <c r="BE47" s="31" t="n">
        <f aca="false">IF(OR($B47="",X47=""),0,IF(AND($E47="Trưởng tổ",X47="x"),SUMIFS(KT_TRUONG,KT_LOAI,"Tổ",KT_TO,$D47,KT_NGAY,19),SUMIFS(KT_PHAN,KT_LOAI,"Tổ",KT_TO,IF(X47="x",$D47,X47),KT_NGAY,19)))</f>
        <v>485000</v>
      </c>
      <c r="BF47" s="31" t="n">
        <f aca="false">IF(OR($B47="",Y47=""),0,IF(AND($E47="Trưởng tổ",Y47="x"),SUMIFS(KT_TRUONG,KT_LOAI,"Tổ",KT_TO,$D47,KT_NGAY,20),SUMIFS(KT_PHAN,KT_LOAI,"Tổ",KT_TO,IF(Y47="x",$D47,Y47),KT_NGAY,20)))</f>
        <v>0</v>
      </c>
      <c r="BG47" s="31" t="n">
        <f aca="false">IF(OR($B47="",Z47=""),0,IF(AND($E47="Trưởng tổ",Z47="x"),SUMIFS(KT_TRUONG,KT_LOAI,"Tổ",KT_TO,$D47,KT_NGAY,21),SUMIFS(KT_PHAN,KT_LOAI,"Tổ",KT_TO,IF(Z47="x",$D47,Z47),KT_NGAY,21)))</f>
        <v>0</v>
      </c>
      <c r="BH47" s="31" t="n">
        <f aca="false">IF(OR($B47="",AA47=""),0,IF(AND($E47="Trưởng tổ",AA47="x"),SUMIFS(KT_TRUONG,KT_LOAI,"Tổ",KT_TO,$D47,KT_NGAY,22),SUMIFS(KT_PHAN,KT_LOAI,"Tổ",KT_TO,IF(AA47="x",$D47,AA47),KT_NGAY,22)))</f>
        <v>0</v>
      </c>
      <c r="BI47" s="31" t="n">
        <f aca="false">IF(OR($B47="",AB47=""),0,IF(AND($E47="Trưởng tổ",AB47="x"),SUMIFS(KT_TRUONG,KT_LOAI,"Tổ",KT_TO,$D47,KT_NGAY,23),SUMIFS(KT_PHAN,KT_LOAI,"Tổ",KT_TO,IF(AB47="x",$D47,AB47),KT_NGAY,23)))</f>
        <v>0</v>
      </c>
      <c r="BJ47" s="31" t="n">
        <f aca="false">IF(OR($B47="",AC47=""),0,IF(AND($E47="Trưởng tổ",AC47="x"),SUMIFS(KT_TRUONG,KT_LOAI,"Tổ",KT_TO,$D47,KT_NGAY,24),SUMIFS(KT_PHAN,KT_LOAI,"Tổ",KT_TO,IF(AC47="x",$D47,AC47),KT_NGAY,24)))</f>
        <v>0</v>
      </c>
      <c r="BK47" s="31" t="n">
        <f aca="false">IF(OR($B47="",AD47=""),0,IF(AND($E47="Trưởng tổ",AD47="x"),SUMIFS(KT_TRUONG,KT_LOAI,"Tổ",KT_TO,$D47,KT_NGAY,25),SUMIFS(KT_PHAN,KT_LOAI,"Tổ",KT_TO,IF(AD47="x",$D47,AD47),KT_NGAY,25)))</f>
        <v>0</v>
      </c>
      <c r="BL47" s="31" t="n">
        <f aca="false">IF(OR($B47="",AE47=""),0,IF(AND($E47="Trưởng tổ",AE47="x"),SUMIFS(KT_TRUONG,KT_LOAI,"Tổ",KT_TO,$D47,KT_NGAY,26),SUMIFS(KT_PHAN,KT_LOAI,"Tổ",KT_TO,IF(AE47="x",$D47,AE47),KT_NGAY,26)))</f>
        <v>0</v>
      </c>
      <c r="BM47" s="31" t="n">
        <f aca="false">IF(OR($B47="",AF47=""),0,IF(AND($E47="Trưởng tổ",AF47="x"),SUMIFS(KT_TRUONG,KT_LOAI,"Tổ",KT_TO,$D47,KT_NGAY,27),SUMIFS(KT_PHAN,KT_LOAI,"Tổ",KT_TO,IF(AF47="x",$D47,AF47),KT_NGAY,27)))</f>
        <v>0</v>
      </c>
      <c r="BN47" s="31" t="n">
        <f aca="false">IF(OR($B47="",AG47=""),0,IF(AND($E47="Trưởng tổ",AG47="x"),SUMIFS(KT_TRUONG,KT_LOAI,"Tổ",KT_TO,$D47,KT_NGAY,28),SUMIFS(KT_PHAN,KT_LOAI,"Tổ",KT_TO,IF(AG47="x",$D47,AG47),KT_NGAY,28)))</f>
        <v>0</v>
      </c>
      <c r="BO47" s="31" t="n">
        <f aca="false">IF(OR($B47="",AH47=""),0,IF(AND($E47="Trưởng tổ",AH47="x"),SUMIFS(KT_TRUONG,KT_LOAI,"Tổ",KT_TO,$D47,KT_NGAY,29),SUMIFS(KT_PHAN,KT_LOAI,"Tổ",KT_TO,IF(AH47="x",$D47,AH47),KT_NGAY,29)))</f>
        <v>0</v>
      </c>
      <c r="BP47" s="31" t="n">
        <f aca="false">IF(OR($B47="",AI47=""),0,IF(AND($E47="Trưởng tổ",AI47="x"),SUMIFS(KT_TRUONG,KT_LOAI,"Tổ",KT_TO,$D47,KT_NGAY,30),SUMIFS(KT_PHAN,KT_LOAI,"Tổ",KT_TO,IF(AI47="x",$D47,AI47),KT_NGAY,30)))</f>
        <v>0</v>
      </c>
      <c r="BQ47" s="31" t="n">
        <f aca="false">IF(OR($B47="",AJ47=""),0,IF(AND($E47="Trưởng tổ",AJ47="x"),SUMIFS(KT_TRUONG,KT_LOAI,"Tổ",KT_TO,$D47,KT_NGAY,31),SUMIFS(KT_PHAN,KT_LOAI,"Tổ",KT_TO,IF(AJ47="x",$D47,AJ47),KT_NGAY,31)))</f>
        <v>0</v>
      </c>
    </row>
    <row r="48" customFormat="false" ht="15" hidden="false" customHeight="false" outlineLevel="0" collapsed="false">
      <c r="A48" s="17" t="n">
        <f aca="false">IF(B48="","",ROW()-5)</f>
        <v>43</v>
      </c>
      <c r="B48" s="29" t="str">
        <f aca="false">IF(OR(BCC!B48="",BCC!D48&lt;&gt;"Thời vụ HAQT"),"",BCC!B48)</f>
        <v>QT-17</v>
      </c>
      <c r="C48" s="17" t="str">
        <f aca="false">IF(B48="","",BCC!C48)</f>
        <v>Nguyễn Thị Điệp</v>
      </c>
      <c r="D48" s="17" t="str">
        <f aca="false">IF(B48="","",IFERROR(INDEX(NV_TO,MATCH(B48,NV_MA,0)),""))</f>
        <v>Tổ 2</v>
      </c>
      <c r="E48" s="17" t="str">
        <f aca="false">IF(B48="","",IFERROR(INDEX(NV_VT,MATCH(B48,NV_MA,0)),""))</f>
        <v>Thành viên</v>
      </c>
      <c r="F48" s="21"/>
      <c r="G48" s="21"/>
      <c r="H48" s="21"/>
      <c r="I48" s="21"/>
      <c r="J48" s="21"/>
      <c r="K48" s="21"/>
      <c r="L48" s="21"/>
      <c r="M48" s="21"/>
      <c r="N48" s="21"/>
      <c r="O48" s="21"/>
      <c r="P48" s="21"/>
      <c r="Q48" s="21"/>
      <c r="R48" s="21"/>
      <c r="S48" s="21"/>
      <c r="T48" s="21"/>
      <c r="U48" s="21"/>
      <c r="V48" s="21"/>
      <c r="W48" s="21"/>
      <c r="X48" s="21" t="s">
        <v>309</v>
      </c>
      <c r="Y48" s="21"/>
      <c r="Z48" s="21"/>
      <c r="AA48" s="21"/>
      <c r="AB48" s="21"/>
      <c r="AC48" s="21" t="s">
        <v>309</v>
      </c>
      <c r="AD48" s="21"/>
      <c r="AE48" s="21"/>
      <c r="AF48" s="21"/>
      <c r="AG48" s="21"/>
      <c r="AH48" s="21"/>
      <c r="AI48" s="21"/>
      <c r="AJ48" s="21"/>
      <c r="AK48" s="17" t="n">
        <f aca="false">IF(B48="","",COUNTA(F48:AJ48))</f>
        <v>2</v>
      </c>
      <c r="AL48" s="30" t="n">
        <f aca="false">IF(B48="","",SUM(AM48:BQ48))</f>
        <v>924000</v>
      </c>
      <c r="AM48" s="31" t="n">
        <f aca="false">IF(OR($B48="",F48=""),0,IF(AND($E48="Trưởng tổ",F48="x"),SUMIFS(KT_TRUONG,KT_LOAI,"Tổ",KT_TO,$D48,KT_NGAY,1),SUMIFS(KT_PHAN,KT_LOAI,"Tổ",KT_TO,IF(F48="x",$D48,F48),KT_NGAY,1)))</f>
        <v>0</v>
      </c>
      <c r="AN48" s="31" t="n">
        <f aca="false">IF(OR($B48="",G48=""),0,IF(AND($E48="Trưởng tổ",G48="x"),SUMIFS(KT_TRUONG,KT_LOAI,"Tổ",KT_TO,$D48,KT_NGAY,2),SUMIFS(KT_PHAN,KT_LOAI,"Tổ",KT_TO,IF(G48="x",$D48,G48),KT_NGAY,2)))</f>
        <v>0</v>
      </c>
      <c r="AO48" s="31" t="n">
        <f aca="false">IF(OR($B48="",H48=""),0,IF(AND($E48="Trưởng tổ",H48="x"),SUMIFS(KT_TRUONG,KT_LOAI,"Tổ",KT_TO,$D48,KT_NGAY,3),SUMIFS(KT_PHAN,KT_LOAI,"Tổ",KT_TO,IF(H48="x",$D48,H48),KT_NGAY,3)))</f>
        <v>0</v>
      </c>
      <c r="AP48" s="31" t="n">
        <f aca="false">IF(OR($B48="",I48=""),0,IF(AND($E48="Trưởng tổ",I48="x"),SUMIFS(KT_TRUONG,KT_LOAI,"Tổ",KT_TO,$D48,KT_NGAY,4),SUMIFS(KT_PHAN,KT_LOAI,"Tổ",KT_TO,IF(I48="x",$D48,I48),KT_NGAY,4)))</f>
        <v>0</v>
      </c>
      <c r="AQ48" s="31" t="n">
        <f aca="false">IF(OR($B48="",J48=""),0,IF(AND($E48="Trưởng tổ",J48="x"),SUMIFS(KT_TRUONG,KT_LOAI,"Tổ",KT_TO,$D48,KT_NGAY,5),SUMIFS(KT_PHAN,KT_LOAI,"Tổ",KT_TO,IF(J48="x",$D48,J48),KT_NGAY,5)))</f>
        <v>0</v>
      </c>
      <c r="AR48" s="31" t="n">
        <f aca="false">IF(OR($B48="",K48=""),0,IF(AND($E48="Trưởng tổ",K48="x"),SUMIFS(KT_TRUONG,KT_LOAI,"Tổ",KT_TO,$D48,KT_NGAY,6),SUMIFS(KT_PHAN,KT_LOAI,"Tổ",KT_TO,IF(K48="x",$D48,K48),KT_NGAY,6)))</f>
        <v>0</v>
      </c>
      <c r="AS48" s="31" t="n">
        <f aca="false">IF(OR($B48="",L48=""),0,IF(AND($E48="Trưởng tổ",L48="x"),SUMIFS(KT_TRUONG,KT_LOAI,"Tổ",KT_TO,$D48,KT_NGAY,7),SUMIFS(KT_PHAN,KT_LOAI,"Tổ",KT_TO,IF(L48="x",$D48,L48),KT_NGAY,7)))</f>
        <v>0</v>
      </c>
      <c r="AT48" s="31" t="n">
        <f aca="false">IF(OR($B48="",M48=""),0,IF(AND($E48="Trưởng tổ",M48="x"),SUMIFS(KT_TRUONG,KT_LOAI,"Tổ",KT_TO,$D48,KT_NGAY,8),SUMIFS(KT_PHAN,KT_LOAI,"Tổ",KT_TO,IF(M48="x",$D48,M48),KT_NGAY,8)))</f>
        <v>0</v>
      </c>
      <c r="AU48" s="31" t="n">
        <f aca="false">IF(OR($B48="",N48=""),0,IF(AND($E48="Trưởng tổ",N48="x"),SUMIFS(KT_TRUONG,KT_LOAI,"Tổ",KT_TO,$D48,KT_NGAY,9),SUMIFS(KT_PHAN,KT_LOAI,"Tổ",KT_TO,IF(N48="x",$D48,N48),KT_NGAY,9)))</f>
        <v>0</v>
      </c>
      <c r="AV48" s="31" t="n">
        <f aca="false">IF(OR($B48="",O48=""),0,IF(AND($E48="Trưởng tổ",O48="x"),SUMIFS(KT_TRUONG,KT_LOAI,"Tổ",KT_TO,$D48,KT_NGAY,10),SUMIFS(KT_PHAN,KT_LOAI,"Tổ",KT_TO,IF(O48="x",$D48,O48),KT_NGAY,10)))</f>
        <v>0</v>
      </c>
      <c r="AW48" s="31" t="n">
        <f aca="false">IF(OR($B48="",P48=""),0,IF(AND($E48="Trưởng tổ",P48="x"),SUMIFS(KT_TRUONG,KT_LOAI,"Tổ",KT_TO,$D48,KT_NGAY,11),SUMIFS(KT_PHAN,KT_LOAI,"Tổ",KT_TO,IF(P48="x",$D48,P48),KT_NGAY,11)))</f>
        <v>0</v>
      </c>
      <c r="AX48" s="31" t="n">
        <f aca="false">IF(OR($B48="",Q48=""),0,IF(AND($E48="Trưởng tổ",Q48="x"),SUMIFS(KT_TRUONG,KT_LOAI,"Tổ",KT_TO,$D48,KT_NGAY,12),SUMIFS(KT_PHAN,KT_LOAI,"Tổ",KT_TO,IF(Q48="x",$D48,Q48),KT_NGAY,12)))</f>
        <v>0</v>
      </c>
      <c r="AY48" s="31" t="n">
        <f aca="false">IF(OR($B48="",R48=""),0,IF(AND($E48="Trưởng tổ",R48="x"),SUMIFS(KT_TRUONG,KT_LOAI,"Tổ",KT_TO,$D48,KT_NGAY,13),SUMIFS(KT_PHAN,KT_LOAI,"Tổ",KT_TO,IF(R48="x",$D48,R48),KT_NGAY,13)))</f>
        <v>0</v>
      </c>
      <c r="AZ48" s="31" t="n">
        <f aca="false">IF(OR($B48="",S48=""),0,IF(AND($E48="Trưởng tổ",S48="x"),SUMIFS(KT_TRUONG,KT_LOAI,"Tổ",KT_TO,$D48,KT_NGAY,14),SUMIFS(KT_PHAN,KT_LOAI,"Tổ",KT_TO,IF(S48="x",$D48,S48),KT_NGAY,14)))</f>
        <v>0</v>
      </c>
      <c r="BA48" s="31" t="n">
        <f aca="false">IF(OR($B48="",T48=""),0,IF(AND($E48="Trưởng tổ",T48="x"),SUMIFS(KT_TRUONG,KT_LOAI,"Tổ",KT_TO,$D48,KT_NGAY,15),SUMIFS(KT_PHAN,KT_LOAI,"Tổ",KT_TO,IF(T48="x",$D48,T48),KT_NGAY,15)))</f>
        <v>0</v>
      </c>
      <c r="BB48" s="31" t="n">
        <f aca="false">IF(OR($B48="",U48=""),0,IF(AND($E48="Trưởng tổ",U48="x"),SUMIFS(KT_TRUONG,KT_LOAI,"Tổ",KT_TO,$D48,KT_NGAY,16),SUMIFS(KT_PHAN,KT_LOAI,"Tổ",KT_TO,IF(U48="x",$D48,U48),KT_NGAY,16)))</f>
        <v>0</v>
      </c>
      <c r="BC48" s="31" t="n">
        <f aca="false">IF(OR($B48="",V48=""),0,IF(AND($E48="Trưởng tổ",V48="x"),SUMIFS(KT_TRUONG,KT_LOAI,"Tổ",KT_TO,$D48,KT_NGAY,17),SUMIFS(KT_PHAN,KT_LOAI,"Tổ",KT_TO,IF(V48="x",$D48,V48),KT_NGAY,17)))</f>
        <v>0</v>
      </c>
      <c r="BD48" s="31" t="n">
        <f aca="false">IF(OR($B48="",W48=""),0,IF(AND($E48="Trưởng tổ",W48="x"),SUMIFS(KT_TRUONG,KT_LOAI,"Tổ",KT_TO,$D48,KT_NGAY,18),SUMIFS(KT_PHAN,KT_LOAI,"Tổ",KT_TO,IF(W48="x",$D48,W48),KT_NGAY,18)))</f>
        <v>0</v>
      </c>
      <c r="BE48" s="31" t="n">
        <f aca="false">IF(OR($B48="",X48=""),0,IF(AND($E48="Trưởng tổ",X48="x"),SUMIFS(KT_TRUONG,KT_LOAI,"Tổ",KT_TO,$D48,KT_NGAY,19),SUMIFS(KT_PHAN,KT_LOAI,"Tổ",KT_TO,IF(X48="x",$D48,X48),KT_NGAY,19)))</f>
        <v>485000</v>
      </c>
      <c r="BF48" s="31" t="n">
        <f aca="false">IF(OR($B48="",Y48=""),0,IF(AND($E48="Trưởng tổ",Y48="x"),SUMIFS(KT_TRUONG,KT_LOAI,"Tổ",KT_TO,$D48,KT_NGAY,20),SUMIFS(KT_PHAN,KT_LOAI,"Tổ",KT_TO,IF(Y48="x",$D48,Y48),KT_NGAY,20)))</f>
        <v>0</v>
      </c>
      <c r="BG48" s="31" t="n">
        <f aca="false">IF(OR($B48="",Z48=""),0,IF(AND($E48="Trưởng tổ",Z48="x"),SUMIFS(KT_TRUONG,KT_LOAI,"Tổ",KT_TO,$D48,KT_NGAY,21),SUMIFS(KT_PHAN,KT_LOAI,"Tổ",KT_TO,IF(Z48="x",$D48,Z48),KT_NGAY,21)))</f>
        <v>0</v>
      </c>
      <c r="BH48" s="31" t="n">
        <f aca="false">IF(OR($B48="",AA48=""),0,IF(AND($E48="Trưởng tổ",AA48="x"),SUMIFS(KT_TRUONG,KT_LOAI,"Tổ",KT_TO,$D48,KT_NGAY,22),SUMIFS(KT_PHAN,KT_LOAI,"Tổ",KT_TO,IF(AA48="x",$D48,AA48),KT_NGAY,22)))</f>
        <v>0</v>
      </c>
      <c r="BI48" s="31" t="n">
        <f aca="false">IF(OR($B48="",AB48=""),0,IF(AND($E48="Trưởng tổ",AB48="x"),SUMIFS(KT_TRUONG,KT_LOAI,"Tổ",KT_TO,$D48,KT_NGAY,23),SUMIFS(KT_PHAN,KT_LOAI,"Tổ",KT_TO,IF(AB48="x",$D48,AB48),KT_NGAY,23)))</f>
        <v>0</v>
      </c>
      <c r="BJ48" s="31" t="n">
        <f aca="false">IF(OR($B48="",AC48=""),0,IF(AND($E48="Trưởng tổ",AC48="x"),SUMIFS(KT_TRUONG,KT_LOAI,"Tổ",KT_TO,$D48,KT_NGAY,24),SUMIFS(KT_PHAN,KT_LOAI,"Tổ",KT_TO,IF(AC48="x",$D48,AC48),KT_NGAY,24)))</f>
        <v>439000</v>
      </c>
      <c r="BK48" s="31" t="n">
        <f aca="false">IF(OR($B48="",AD48=""),0,IF(AND($E48="Trưởng tổ",AD48="x"),SUMIFS(KT_TRUONG,KT_LOAI,"Tổ",KT_TO,$D48,KT_NGAY,25),SUMIFS(KT_PHAN,KT_LOAI,"Tổ",KT_TO,IF(AD48="x",$D48,AD48),KT_NGAY,25)))</f>
        <v>0</v>
      </c>
      <c r="BL48" s="31" t="n">
        <f aca="false">IF(OR($B48="",AE48=""),0,IF(AND($E48="Trưởng tổ",AE48="x"),SUMIFS(KT_TRUONG,KT_LOAI,"Tổ",KT_TO,$D48,KT_NGAY,26),SUMIFS(KT_PHAN,KT_LOAI,"Tổ",KT_TO,IF(AE48="x",$D48,AE48),KT_NGAY,26)))</f>
        <v>0</v>
      </c>
      <c r="BM48" s="31" t="n">
        <f aca="false">IF(OR($B48="",AF48=""),0,IF(AND($E48="Trưởng tổ",AF48="x"),SUMIFS(KT_TRUONG,KT_LOAI,"Tổ",KT_TO,$D48,KT_NGAY,27),SUMIFS(KT_PHAN,KT_LOAI,"Tổ",KT_TO,IF(AF48="x",$D48,AF48),KT_NGAY,27)))</f>
        <v>0</v>
      </c>
      <c r="BN48" s="31" t="n">
        <f aca="false">IF(OR($B48="",AG48=""),0,IF(AND($E48="Trưởng tổ",AG48="x"),SUMIFS(KT_TRUONG,KT_LOAI,"Tổ",KT_TO,$D48,KT_NGAY,28),SUMIFS(KT_PHAN,KT_LOAI,"Tổ",KT_TO,IF(AG48="x",$D48,AG48),KT_NGAY,28)))</f>
        <v>0</v>
      </c>
      <c r="BO48" s="31" t="n">
        <f aca="false">IF(OR($B48="",AH48=""),0,IF(AND($E48="Trưởng tổ",AH48="x"),SUMIFS(KT_TRUONG,KT_LOAI,"Tổ",KT_TO,$D48,KT_NGAY,29),SUMIFS(KT_PHAN,KT_LOAI,"Tổ",KT_TO,IF(AH48="x",$D48,AH48),KT_NGAY,29)))</f>
        <v>0</v>
      </c>
      <c r="BP48" s="31" t="n">
        <f aca="false">IF(OR($B48="",AI48=""),0,IF(AND($E48="Trưởng tổ",AI48="x"),SUMIFS(KT_TRUONG,KT_LOAI,"Tổ",KT_TO,$D48,KT_NGAY,30),SUMIFS(KT_PHAN,KT_LOAI,"Tổ",KT_TO,IF(AI48="x",$D48,AI48),KT_NGAY,30)))</f>
        <v>0</v>
      </c>
      <c r="BQ48" s="31" t="n">
        <f aca="false">IF(OR($B48="",AJ48=""),0,IF(AND($E48="Trưởng tổ",AJ48="x"),SUMIFS(KT_TRUONG,KT_LOAI,"Tổ",KT_TO,$D48,KT_NGAY,31),SUMIFS(KT_PHAN,KT_LOAI,"Tổ",KT_TO,IF(AJ48="x",$D48,AJ48),KT_NGAY,31)))</f>
        <v>0</v>
      </c>
    </row>
    <row r="49" customFormat="false" ht="15" hidden="false" customHeight="false" outlineLevel="0" collapsed="false">
      <c r="A49" s="17" t="n">
        <f aca="false">IF(B49="","",ROW()-5)</f>
        <v>44</v>
      </c>
      <c r="B49" s="29" t="str">
        <f aca="false">IF(OR(BCC!B49="",BCC!D49&lt;&gt;"Thời vụ HAQT"),"",BCC!B49)</f>
        <v>QT-18</v>
      </c>
      <c r="C49" s="17" t="str">
        <f aca="false">IF(B49="","",BCC!C49)</f>
        <v>Trần Thị Thắm</v>
      </c>
      <c r="D49" s="17" t="str">
        <f aca="false">IF(B49="","",IFERROR(INDEX(NV_TO,MATCH(B49,NV_MA,0)),""))</f>
        <v>Tổ 2</v>
      </c>
      <c r="E49" s="17" t="str">
        <f aca="false">IF(B49="","",IFERROR(INDEX(NV_VT,MATCH(B49,NV_MA,0)),""))</f>
        <v>Thành viên</v>
      </c>
      <c r="F49" s="21"/>
      <c r="G49" s="21"/>
      <c r="H49" s="21"/>
      <c r="I49" s="21"/>
      <c r="J49" s="21"/>
      <c r="K49" s="21"/>
      <c r="L49" s="21"/>
      <c r="M49" s="21"/>
      <c r="N49" s="21"/>
      <c r="O49" s="21"/>
      <c r="P49" s="21"/>
      <c r="Q49" s="21"/>
      <c r="R49" s="21"/>
      <c r="S49" s="21"/>
      <c r="T49" s="21"/>
      <c r="U49" s="21"/>
      <c r="V49" s="21"/>
      <c r="W49" s="21"/>
      <c r="X49" s="21" t="s">
        <v>309</v>
      </c>
      <c r="Y49" s="21"/>
      <c r="Z49" s="21"/>
      <c r="AA49" s="21"/>
      <c r="AB49" s="21"/>
      <c r="AC49" s="21"/>
      <c r="AD49" s="21"/>
      <c r="AE49" s="21"/>
      <c r="AF49" s="21"/>
      <c r="AG49" s="21"/>
      <c r="AH49" s="21"/>
      <c r="AI49" s="21"/>
      <c r="AJ49" s="21"/>
      <c r="AK49" s="17" t="n">
        <f aca="false">IF(B49="","",COUNTA(F49:AJ49))</f>
        <v>1</v>
      </c>
      <c r="AL49" s="30" t="n">
        <f aca="false">IF(B49="","",SUM(AM49:BQ49))</f>
        <v>485000</v>
      </c>
      <c r="AM49" s="31" t="n">
        <f aca="false">IF(OR($B49="",F49=""),0,IF(AND($E49="Trưởng tổ",F49="x"),SUMIFS(KT_TRUONG,KT_LOAI,"Tổ",KT_TO,$D49,KT_NGAY,1),SUMIFS(KT_PHAN,KT_LOAI,"Tổ",KT_TO,IF(F49="x",$D49,F49),KT_NGAY,1)))</f>
        <v>0</v>
      </c>
      <c r="AN49" s="31" t="n">
        <f aca="false">IF(OR($B49="",G49=""),0,IF(AND($E49="Trưởng tổ",G49="x"),SUMIFS(KT_TRUONG,KT_LOAI,"Tổ",KT_TO,$D49,KT_NGAY,2),SUMIFS(KT_PHAN,KT_LOAI,"Tổ",KT_TO,IF(G49="x",$D49,G49),KT_NGAY,2)))</f>
        <v>0</v>
      </c>
      <c r="AO49" s="31" t="n">
        <f aca="false">IF(OR($B49="",H49=""),0,IF(AND($E49="Trưởng tổ",H49="x"),SUMIFS(KT_TRUONG,KT_LOAI,"Tổ",KT_TO,$D49,KT_NGAY,3),SUMIFS(KT_PHAN,KT_LOAI,"Tổ",KT_TO,IF(H49="x",$D49,H49),KT_NGAY,3)))</f>
        <v>0</v>
      </c>
      <c r="AP49" s="31" t="n">
        <f aca="false">IF(OR($B49="",I49=""),0,IF(AND($E49="Trưởng tổ",I49="x"),SUMIFS(KT_TRUONG,KT_LOAI,"Tổ",KT_TO,$D49,KT_NGAY,4),SUMIFS(KT_PHAN,KT_LOAI,"Tổ",KT_TO,IF(I49="x",$D49,I49),KT_NGAY,4)))</f>
        <v>0</v>
      </c>
      <c r="AQ49" s="31" t="n">
        <f aca="false">IF(OR($B49="",J49=""),0,IF(AND($E49="Trưởng tổ",J49="x"),SUMIFS(KT_TRUONG,KT_LOAI,"Tổ",KT_TO,$D49,KT_NGAY,5),SUMIFS(KT_PHAN,KT_LOAI,"Tổ",KT_TO,IF(J49="x",$D49,J49),KT_NGAY,5)))</f>
        <v>0</v>
      </c>
      <c r="AR49" s="31" t="n">
        <f aca="false">IF(OR($B49="",K49=""),0,IF(AND($E49="Trưởng tổ",K49="x"),SUMIFS(KT_TRUONG,KT_LOAI,"Tổ",KT_TO,$D49,KT_NGAY,6),SUMIFS(KT_PHAN,KT_LOAI,"Tổ",KT_TO,IF(K49="x",$D49,K49),KT_NGAY,6)))</f>
        <v>0</v>
      </c>
      <c r="AS49" s="31" t="n">
        <f aca="false">IF(OR($B49="",L49=""),0,IF(AND($E49="Trưởng tổ",L49="x"),SUMIFS(KT_TRUONG,KT_LOAI,"Tổ",KT_TO,$D49,KT_NGAY,7),SUMIFS(KT_PHAN,KT_LOAI,"Tổ",KT_TO,IF(L49="x",$D49,L49),KT_NGAY,7)))</f>
        <v>0</v>
      </c>
      <c r="AT49" s="31" t="n">
        <f aca="false">IF(OR($B49="",M49=""),0,IF(AND($E49="Trưởng tổ",M49="x"),SUMIFS(KT_TRUONG,KT_LOAI,"Tổ",KT_TO,$D49,KT_NGAY,8),SUMIFS(KT_PHAN,KT_LOAI,"Tổ",KT_TO,IF(M49="x",$D49,M49),KT_NGAY,8)))</f>
        <v>0</v>
      </c>
      <c r="AU49" s="31" t="n">
        <f aca="false">IF(OR($B49="",N49=""),0,IF(AND($E49="Trưởng tổ",N49="x"),SUMIFS(KT_TRUONG,KT_LOAI,"Tổ",KT_TO,$D49,KT_NGAY,9),SUMIFS(KT_PHAN,KT_LOAI,"Tổ",KT_TO,IF(N49="x",$D49,N49),KT_NGAY,9)))</f>
        <v>0</v>
      </c>
      <c r="AV49" s="31" t="n">
        <f aca="false">IF(OR($B49="",O49=""),0,IF(AND($E49="Trưởng tổ",O49="x"),SUMIFS(KT_TRUONG,KT_LOAI,"Tổ",KT_TO,$D49,KT_NGAY,10),SUMIFS(KT_PHAN,KT_LOAI,"Tổ",KT_TO,IF(O49="x",$D49,O49),KT_NGAY,10)))</f>
        <v>0</v>
      </c>
      <c r="AW49" s="31" t="n">
        <f aca="false">IF(OR($B49="",P49=""),0,IF(AND($E49="Trưởng tổ",P49="x"),SUMIFS(KT_TRUONG,KT_LOAI,"Tổ",KT_TO,$D49,KT_NGAY,11),SUMIFS(KT_PHAN,KT_LOAI,"Tổ",KT_TO,IF(P49="x",$D49,P49),KT_NGAY,11)))</f>
        <v>0</v>
      </c>
      <c r="AX49" s="31" t="n">
        <f aca="false">IF(OR($B49="",Q49=""),0,IF(AND($E49="Trưởng tổ",Q49="x"),SUMIFS(KT_TRUONG,KT_LOAI,"Tổ",KT_TO,$D49,KT_NGAY,12),SUMIFS(KT_PHAN,KT_LOAI,"Tổ",KT_TO,IF(Q49="x",$D49,Q49),KT_NGAY,12)))</f>
        <v>0</v>
      </c>
      <c r="AY49" s="31" t="n">
        <f aca="false">IF(OR($B49="",R49=""),0,IF(AND($E49="Trưởng tổ",R49="x"),SUMIFS(KT_TRUONG,KT_LOAI,"Tổ",KT_TO,$D49,KT_NGAY,13),SUMIFS(KT_PHAN,KT_LOAI,"Tổ",KT_TO,IF(R49="x",$D49,R49),KT_NGAY,13)))</f>
        <v>0</v>
      </c>
      <c r="AZ49" s="31" t="n">
        <f aca="false">IF(OR($B49="",S49=""),0,IF(AND($E49="Trưởng tổ",S49="x"),SUMIFS(KT_TRUONG,KT_LOAI,"Tổ",KT_TO,$D49,KT_NGAY,14),SUMIFS(KT_PHAN,KT_LOAI,"Tổ",KT_TO,IF(S49="x",$D49,S49),KT_NGAY,14)))</f>
        <v>0</v>
      </c>
      <c r="BA49" s="31" t="n">
        <f aca="false">IF(OR($B49="",T49=""),0,IF(AND($E49="Trưởng tổ",T49="x"),SUMIFS(KT_TRUONG,KT_LOAI,"Tổ",KT_TO,$D49,KT_NGAY,15),SUMIFS(KT_PHAN,KT_LOAI,"Tổ",KT_TO,IF(T49="x",$D49,T49),KT_NGAY,15)))</f>
        <v>0</v>
      </c>
      <c r="BB49" s="31" t="n">
        <f aca="false">IF(OR($B49="",U49=""),0,IF(AND($E49="Trưởng tổ",U49="x"),SUMIFS(KT_TRUONG,KT_LOAI,"Tổ",KT_TO,$D49,KT_NGAY,16),SUMIFS(KT_PHAN,KT_LOAI,"Tổ",KT_TO,IF(U49="x",$D49,U49),KT_NGAY,16)))</f>
        <v>0</v>
      </c>
      <c r="BC49" s="31" t="n">
        <f aca="false">IF(OR($B49="",V49=""),0,IF(AND($E49="Trưởng tổ",V49="x"),SUMIFS(KT_TRUONG,KT_LOAI,"Tổ",KT_TO,$D49,KT_NGAY,17),SUMIFS(KT_PHAN,KT_LOAI,"Tổ",KT_TO,IF(V49="x",$D49,V49),KT_NGAY,17)))</f>
        <v>0</v>
      </c>
      <c r="BD49" s="31" t="n">
        <f aca="false">IF(OR($B49="",W49=""),0,IF(AND($E49="Trưởng tổ",W49="x"),SUMIFS(KT_TRUONG,KT_LOAI,"Tổ",KT_TO,$D49,KT_NGAY,18),SUMIFS(KT_PHAN,KT_LOAI,"Tổ",KT_TO,IF(W49="x",$D49,W49),KT_NGAY,18)))</f>
        <v>0</v>
      </c>
      <c r="BE49" s="31" t="n">
        <f aca="false">IF(OR($B49="",X49=""),0,IF(AND($E49="Trưởng tổ",X49="x"),SUMIFS(KT_TRUONG,KT_LOAI,"Tổ",KT_TO,$D49,KT_NGAY,19),SUMIFS(KT_PHAN,KT_LOAI,"Tổ",KT_TO,IF(X49="x",$D49,X49),KT_NGAY,19)))</f>
        <v>485000</v>
      </c>
      <c r="BF49" s="31" t="n">
        <f aca="false">IF(OR($B49="",Y49=""),0,IF(AND($E49="Trưởng tổ",Y49="x"),SUMIFS(KT_TRUONG,KT_LOAI,"Tổ",KT_TO,$D49,KT_NGAY,20),SUMIFS(KT_PHAN,KT_LOAI,"Tổ",KT_TO,IF(Y49="x",$D49,Y49),KT_NGAY,20)))</f>
        <v>0</v>
      </c>
      <c r="BG49" s="31" t="n">
        <f aca="false">IF(OR($B49="",Z49=""),0,IF(AND($E49="Trưởng tổ",Z49="x"),SUMIFS(KT_TRUONG,KT_LOAI,"Tổ",KT_TO,$D49,KT_NGAY,21),SUMIFS(KT_PHAN,KT_LOAI,"Tổ",KT_TO,IF(Z49="x",$D49,Z49),KT_NGAY,21)))</f>
        <v>0</v>
      </c>
      <c r="BH49" s="31" t="n">
        <f aca="false">IF(OR($B49="",AA49=""),0,IF(AND($E49="Trưởng tổ",AA49="x"),SUMIFS(KT_TRUONG,KT_LOAI,"Tổ",KT_TO,$D49,KT_NGAY,22),SUMIFS(KT_PHAN,KT_LOAI,"Tổ",KT_TO,IF(AA49="x",$D49,AA49),KT_NGAY,22)))</f>
        <v>0</v>
      </c>
      <c r="BI49" s="31" t="n">
        <f aca="false">IF(OR($B49="",AB49=""),0,IF(AND($E49="Trưởng tổ",AB49="x"),SUMIFS(KT_TRUONG,KT_LOAI,"Tổ",KT_TO,$D49,KT_NGAY,23),SUMIFS(KT_PHAN,KT_LOAI,"Tổ",KT_TO,IF(AB49="x",$D49,AB49),KT_NGAY,23)))</f>
        <v>0</v>
      </c>
      <c r="BJ49" s="31" t="n">
        <f aca="false">IF(OR($B49="",AC49=""),0,IF(AND($E49="Trưởng tổ",AC49="x"),SUMIFS(KT_TRUONG,KT_LOAI,"Tổ",KT_TO,$D49,KT_NGAY,24),SUMIFS(KT_PHAN,KT_LOAI,"Tổ",KT_TO,IF(AC49="x",$D49,AC49),KT_NGAY,24)))</f>
        <v>0</v>
      </c>
      <c r="BK49" s="31" t="n">
        <f aca="false">IF(OR($B49="",AD49=""),0,IF(AND($E49="Trưởng tổ",AD49="x"),SUMIFS(KT_TRUONG,KT_LOAI,"Tổ",KT_TO,$D49,KT_NGAY,25),SUMIFS(KT_PHAN,KT_LOAI,"Tổ",KT_TO,IF(AD49="x",$D49,AD49),KT_NGAY,25)))</f>
        <v>0</v>
      </c>
      <c r="BL49" s="31" t="n">
        <f aca="false">IF(OR($B49="",AE49=""),0,IF(AND($E49="Trưởng tổ",AE49="x"),SUMIFS(KT_TRUONG,KT_LOAI,"Tổ",KT_TO,$D49,KT_NGAY,26),SUMIFS(KT_PHAN,KT_LOAI,"Tổ",KT_TO,IF(AE49="x",$D49,AE49),KT_NGAY,26)))</f>
        <v>0</v>
      </c>
      <c r="BM49" s="31" t="n">
        <f aca="false">IF(OR($B49="",AF49=""),0,IF(AND($E49="Trưởng tổ",AF49="x"),SUMIFS(KT_TRUONG,KT_LOAI,"Tổ",KT_TO,$D49,KT_NGAY,27),SUMIFS(KT_PHAN,KT_LOAI,"Tổ",KT_TO,IF(AF49="x",$D49,AF49),KT_NGAY,27)))</f>
        <v>0</v>
      </c>
      <c r="BN49" s="31" t="n">
        <f aca="false">IF(OR($B49="",AG49=""),0,IF(AND($E49="Trưởng tổ",AG49="x"),SUMIFS(KT_TRUONG,KT_LOAI,"Tổ",KT_TO,$D49,KT_NGAY,28),SUMIFS(KT_PHAN,KT_LOAI,"Tổ",KT_TO,IF(AG49="x",$D49,AG49),KT_NGAY,28)))</f>
        <v>0</v>
      </c>
      <c r="BO49" s="31" t="n">
        <f aca="false">IF(OR($B49="",AH49=""),0,IF(AND($E49="Trưởng tổ",AH49="x"),SUMIFS(KT_TRUONG,KT_LOAI,"Tổ",KT_TO,$D49,KT_NGAY,29),SUMIFS(KT_PHAN,KT_LOAI,"Tổ",KT_TO,IF(AH49="x",$D49,AH49),KT_NGAY,29)))</f>
        <v>0</v>
      </c>
      <c r="BP49" s="31" t="n">
        <f aca="false">IF(OR($B49="",AI49=""),0,IF(AND($E49="Trưởng tổ",AI49="x"),SUMIFS(KT_TRUONG,KT_LOAI,"Tổ",KT_TO,$D49,KT_NGAY,30),SUMIFS(KT_PHAN,KT_LOAI,"Tổ",KT_TO,IF(AI49="x",$D49,AI49),KT_NGAY,30)))</f>
        <v>0</v>
      </c>
      <c r="BQ49" s="31" t="n">
        <f aca="false">IF(OR($B49="",AJ49=""),0,IF(AND($E49="Trưởng tổ",AJ49="x"),SUMIFS(KT_TRUONG,KT_LOAI,"Tổ",KT_TO,$D49,KT_NGAY,31),SUMIFS(KT_PHAN,KT_LOAI,"Tổ",KT_TO,IF(AJ49="x",$D49,AJ49),KT_NGAY,31)))</f>
        <v>0</v>
      </c>
    </row>
    <row r="50" customFormat="false" ht="15" hidden="false" customHeight="false" outlineLevel="0" collapsed="false">
      <c r="A50" s="17" t="n">
        <f aca="false">IF(B50="","",ROW()-5)</f>
        <v>45</v>
      </c>
      <c r="B50" s="29" t="str">
        <f aca="false">IF(OR(BCC!B50="",BCC!D50&lt;&gt;"Thời vụ HAQT"),"",BCC!B50)</f>
        <v>QT-19</v>
      </c>
      <c r="C50" s="17" t="str">
        <f aca="false">IF(B50="","",BCC!C50)</f>
        <v>Lê Thị Thủy</v>
      </c>
      <c r="D50" s="17" t="str">
        <f aca="false">IF(B50="","",IFERROR(INDEX(NV_TO,MATCH(B50,NV_MA,0)),""))</f>
        <v>Tổ 2</v>
      </c>
      <c r="E50" s="17" t="str">
        <f aca="false">IF(B50="","",IFERROR(INDEX(NV_VT,MATCH(B50,NV_MA,0)),""))</f>
        <v>Thành viên</v>
      </c>
      <c r="F50" s="21"/>
      <c r="G50" s="21"/>
      <c r="H50" s="21"/>
      <c r="I50" s="21"/>
      <c r="J50" s="21"/>
      <c r="K50" s="21"/>
      <c r="L50" s="21"/>
      <c r="M50" s="21"/>
      <c r="N50" s="21"/>
      <c r="O50" s="21"/>
      <c r="P50" s="21"/>
      <c r="Q50" s="21"/>
      <c r="R50" s="21"/>
      <c r="S50" s="21"/>
      <c r="T50" s="21"/>
      <c r="U50" s="21"/>
      <c r="V50" s="21"/>
      <c r="W50" s="21"/>
      <c r="X50" s="21" t="s">
        <v>309</v>
      </c>
      <c r="Y50" s="21"/>
      <c r="Z50" s="21"/>
      <c r="AA50" s="21"/>
      <c r="AB50" s="21"/>
      <c r="AC50" s="21" t="s">
        <v>309</v>
      </c>
      <c r="AD50" s="21"/>
      <c r="AE50" s="21"/>
      <c r="AF50" s="21"/>
      <c r="AG50" s="21"/>
      <c r="AH50" s="21"/>
      <c r="AI50" s="21"/>
      <c r="AJ50" s="21"/>
      <c r="AK50" s="17" t="n">
        <f aca="false">IF(B50="","",COUNTA(F50:AJ50))</f>
        <v>2</v>
      </c>
      <c r="AL50" s="30" t="n">
        <f aca="false">IF(B50="","",SUM(AM50:BQ50))</f>
        <v>924000</v>
      </c>
      <c r="AM50" s="31" t="n">
        <f aca="false">IF(OR($B50="",F50=""),0,IF(AND($E50="Trưởng tổ",F50="x"),SUMIFS(KT_TRUONG,KT_LOAI,"Tổ",KT_TO,$D50,KT_NGAY,1),SUMIFS(KT_PHAN,KT_LOAI,"Tổ",KT_TO,IF(F50="x",$D50,F50),KT_NGAY,1)))</f>
        <v>0</v>
      </c>
      <c r="AN50" s="31" t="n">
        <f aca="false">IF(OR($B50="",G50=""),0,IF(AND($E50="Trưởng tổ",G50="x"),SUMIFS(KT_TRUONG,KT_LOAI,"Tổ",KT_TO,$D50,KT_NGAY,2),SUMIFS(KT_PHAN,KT_LOAI,"Tổ",KT_TO,IF(G50="x",$D50,G50),KT_NGAY,2)))</f>
        <v>0</v>
      </c>
      <c r="AO50" s="31" t="n">
        <f aca="false">IF(OR($B50="",H50=""),0,IF(AND($E50="Trưởng tổ",H50="x"),SUMIFS(KT_TRUONG,KT_LOAI,"Tổ",KT_TO,$D50,KT_NGAY,3),SUMIFS(KT_PHAN,KT_LOAI,"Tổ",KT_TO,IF(H50="x",$D50,H50),KT_NGAY,3)))</f>
        <v>0</v>
      </c>
      <c r="AP50" s="31" t="n">
        <f aca="false">IF(OR($B50="",I50=""),0,IF(AND($E50="Trưởng tổ",I50="x"),SUMIFS(KT_TRUONG,KT_LOAI,"Tổ",KT_TO,$D50,KT_NGAY,4),SUMIFS(KT_PHAN,KT_LOAI,"Tổ",KT_TO,IF(I50="x",$D50,I50),KT_NGAY,4)))</f>
        <v>0</v>
      </c>
      <c r="AQ50" s="31" t="n">
        <f aca="false">IF(OR($B50="",J50=""),0,IF(AND($E50="Trưởng tổ",J50="x"),SUMIFS(KT_TRUONG,KT_LOAI,"Tổ",KT_TO,$D50,KT_NGAY,5),SUMIFS(KT_PHAN,KT_LOAI,"Tổ",KT_TO,IF(J50="x",$D50,J50),KT_NGAY,5)))</f>
        <v>0</v>
      </c>
      <c r="AR50" s="31" t="n">
        <f aca="false">IF(OR($B50="",K50=""),0,IF(AND($E50="Trưởng tổ",K50="x"),SUMIFS(KT_TRUONG,KT_LOAI,"Tổ",KT_TO,$D50,KT_NGAY,6),SUMIFS(KT_PHAN,KT_LOAI,"Tổ",KT_TO,IF(K50="x",$D50,K50),KT_NGAY,6)))</f>
        <v>0</v>
      </c>
      <c r="AS50" s="31" t="n">
        <f aca="false">IF(OR($B50="",L50=""),0,IF(AND($E50="Trưởng tổ",L50="x"),SUMIFS(KT_TRUONG,KT_LOAI,"Tổ",KT_TO,$D50,KT_NGAY,7),SUMIFS(KT_PHAN,KT_LOAI,"Tổ",KT_TO,IF(L50="x",$D50,L50),KT_NGAY,7)))</f>
        <v>0</v>
      </c>
      <c r="AT50" s="31" t="n">
        <f aca="false">IF(OR($B50="",M50=""),0,IF(AND($E50="Trưởng tổ",M50="x"),SUMIFS(KT_TRUONG,KT_LOAI,"Tổ",KT_TO,$D50,KT_NGAY,8),SUMIFS(KT_PHAN,KT_LOAI,"Tổ",KT_TO,IF(M50="x",$D50,M50),KT_NGAY,8)))</f>
        <v>0</v>
      </c>
      <c r="AU50" s="31" t="n">
        <f aca="false">IF(OR($B50="",N50=""),0,IF(AND($E50="Trưởng tổ",N50="x"),SUMIFS(KT_TRUONG,KT_LOAI,"Tổ",KT_TO,$D50,KT_NGAY,9),SUMIFS(KT_PHAN,KT_LOAI,"Tổ",KT_TO,IF(N50="x",$D50,N50),KT_NGAY,9)))</f>
        <v>0</v>
      </c>
      <c r="AV50" s="31" t="n">
        <f aca="false">IF(OR($B50="",O50=""),0,IF(AND($E50="Trưởng tổ",O50="x"),SUMIFS(KT_TRUONG,KT_LOAI,"Tổ",KT_TO,$D50,KT_NGAY,10),SUMIFS(KT_PHAN,KT_LOAI,"Tổ",KT_TO,IF(O50="x",$D50,O50),KT_NGAY,10)))</f>
        <v>0</v>
      </c>
      <c r="AW50" s="31" t="n">
        <f aca="false">IF(OR($B50="",P50=""),0,IF(AND($E50="Trưởng tổ",P50="x"),SUMIFS(KT_TRUONG,KT_LOAI,"Tổ",KT_TO,$D50,KT_NGAY,11),SUMIFS(KT_PHAN,KT_LOAI,"Tổ",KT_TO,IF(P50="x",$D50,P50),KT_NGAY,11)))</f>
        <v>0</v>
      </c>
      <c r="AX50" s="31" t="n">
        <f aca="false">IF(OR($B50="",Q50=""),0,IF(AND($E50="Trưởng tổ",Q50="x"),SUMIFS(KT_TRUONG,KT_LOAI,"Tổ",KT_TO,$D50,KT_NGAY,12),SUMIFS(KT_PHAN,KT_LOAI,"Tổ",KT_TO,IF(Q50="x",$D50,Q50),KT_NGAY,12)))</f>
        <v>0</v>
      </c>
      <c r="AY50" s="31" t="n">
        <f aca="false">IF(OR($B50="",R50=""),0,IF(AND($E50="Trưởng tổ",R50="x"),SUMIFS(KT_TRUONG,KT_LOAI,"Tổ",KT_TO,$D50,KT_NGAY,13),SUMIFS(KT_PHAN,KT_LOAI,"Tổ",KT_TO,IF(R50="x",$D50,R50),KT_NGAY,13)))</f>
        <v>0</v>
      </c>
      <c r="AZ50" s="31" t="n">
        <f aca="false">IF(OR($B50="",S50=""),0,IF(AND($E50="Trưởng tổ",S50="x"),SUMIFS(KT_TRUONG,KT_LOAI,"Tổ",KT_TO,$D50,KT_NGAY,14),SUMIFS(KT_PHAN,KT_LOAI,"Tổ",KT_TO,IF(S50="x",$D50,S50),KT_NGAY,14)))</f>
        <v>0</v>
      </c>
      <c r="BA50" s="31" t="n">
        <f aca="false">IF(OR($B50="",T50=""),0,IF(AND($E50="Trưởng tổ",T50="x"),SUMIFS(KT_TRUONG,KT_LOAI,"Tổ",KT_TO,$D50,KT_NGAY,15),SUMIFS(KT_PHAN,KT_LOAI,"Tổ",KT_TO,IF(T50="x",$D50,T50),KT_NGAY,15)))</f>
        <v>0</v>
      </c>
      <c r="BB50" s="31" t="n">
        <f aca="false">IF(OR($B50="",U50=""),0,IF(AND($E50="Trưởng tổ",U50="x"),SUMIFS(KT_TRUONG,KT_LOAI,"Tổ",KT_TO,$D50,KT_NGAY,16),SUMIFS(KT_PHAN,KT_LOAI,"Tổ",KT_TO,IF(U50="x",$D50,U50),KT_NGAY,16)))</f>
        <v>0</v>
      </c>
      <c r="BC50" s="31" t="n">
        <f aca="false">IF(OR($B50="",V50=""),0,IF(AND($E50="Trưởng tổ",V50="x"),SUMIFS(KT_TRUONG,KT_LOAI,"Tổ",KT_TO,$D50,KT_NGAY,17),SUMIFS(KT_PHAN,KT_LOAI,"Tổ",KT_TO,IF(V50="x",$D50,V50),KT_NGAY,17)))</f>
        <v>0</v>
      </c>
      <c r="BD50" s="31" t="n">
        <f aca="false">IF(OR($B50="",W50=""),0,IF(AND($E50="Trưởng tổ",W50="x"),SUMIFS(KT_TRUONG,KT_LOAI,"Tổ",KT_TO,$D50,KT_NGAY,18),SUMIFS(KT_PHAN,KT_LOAI,"Tổ",KT_TO,IF(W50="x",$D50,W50),KT_NGAY,18)))</f>
        <v>0</v>
      </c>
      <c r="BE50" s="31" t="n">
        <f aca="false">IF(OR($B50="",X50=""),0,IF(AND($E50="Trưởng tổ",X50="x"),SUMIFS(KT_TRUONG,KT_LOAI,"Tổ",KT_TO,$D50,KT_NGAY,19),SUMIFS(KT_PHAN,KT_LOAI,"Tổ",KT_TO,IF(X50="x",$D50,X50),KT_NGAY,19)))</f>
        <v>485000</v>
      </c>
      <c r="BF50" s="31" t="n">
        <f aca="false">IF(OR($B50="",Y50=""),0,IF(AND($E50="Trưởng tổ",Y50="x"),SUMIFS(KT_TRUONG,KT_LOAI,"Tổ",KT_TO,$D50,KT_NGAY,20),SUMIFS(KT_PHAN,KT_LOAI,"Tổ",KT_TO,IF(Y50="x",$D50,Y50),KT_NGAY,20)))</f>
        <v>0</v>
      </c>
      <c r="BG50" s="31" t="n">
        <f aca="false">IF(OR($B50="",Z50=""),0,IF(AND($E50="Trưởng tổ",Z50="x"),SUMIFS(KT_TRUONG,KT_LOAI,"Tổ",KT_TO,$D50,KT_NGAY,21),SUMIFS(KT_PHAN,KT_LOAI,"Tổ",KT_TO,IF(Z50="x",$D50,Z50),KT_NGAY,21)))</f>
        <v>0</v>
      </c>
      <c r="BH50" s="31" t="n">
        <f aca="false">IF(OR($B50="",AA50=""),0,IF(AND($E50="Trưởng tổ",AA50="x"),SUMIFS(KT_TRUONG,KT_LOAI,"Tổ",KT_TO,$D50,KT_NGAY,22),SUMIFS(KT_PHAN,KT_LOAI,"Tổ",KT_TO,IF(AA50="x",$D50,AA50),KT_NGAY,22)))</f>
        <v>0</v>
      </c>
      <c r="BI50" s="31" t="n">
        <f aca="false">IF(OR($B50="",AB50=""),0,IF(AND($E50="Trưởng tổ",AB50="x"),SUMIFS(KT_TRUONG,KT_LOAI,"Tổ",KT_TO,$D50,KT_NGAY,23),SUMIFS(KT_PHAN,KT_LOAI,"Tổ",KT_TO,IF(AB50="x",$D50,AB50),KT_NGAY,23)))</f>
        <v>0</v>
      </c>
      <c r="BJ50" s="31" t="n">
        <f aca="false">IF(OR($B50="",AC50=""),0,IF(AND($E50="Trưởng tổ",AC50="x"),SUMIFS(KT_TRUONG,KT_LOAI,"Tổ",KT_TO,$D50,KT_NGAY,24),SUMIFS(KT_PHAN,KT_LOAI,"Tổ",KT_TO,IF(AC50="x",$D50,AC50),KT_NGAY,24)))</f>
        <v>439000</v>
      </c>
      <c r="BK50" s="31" t="n">
        <f aca="false">IF(OR($B50="",AD50=""),0,IF(AND($E50="Trưởng tổ",AD50="x"),SUMIFS(KT_TRUONG,KT_LOAI,"Tổ",KT_TO,$D50,KT_NGAY,25),SUMIFS(KT_PHAN,KT_LOAI,"Tổ",KT_TO,IF(AD50="x",$D50,AD50),KT_NGAY,25)))</f>
        <v>0</v>
      </c>
      <c r="BL50" s="31" t="n">
        <f aca="false">IF(OR($B50="",AE50=""),0,IF(AND($E50="Trưởng tổ",AE50="x"),SUMIFS(KT_TRUONG,KT_LOAI,"Tổ",KT_TO,$D50,KT_NGAY,26),SUMIFS(KT_PHAN,KT_LOAI,"Tổ",KT_TO,IF(AE50="x",$D50,AE50),KT_NGAY,26)))</f>
        <v>0</v>
      </c>
      <c r="BM50" s="31" t="n">
        <f aca="false">IF(OR($B50="",AF50=""),0,IF(AND($E50="Trưởng tổ",AF50="x"),SUMIFS(KT_TRUONG,KT_LOAI,"Tổ",KT_TO,$D50,KT_NGAY,27),SUMIFS(KT_PHAN,KT_LOAI,"Tổ",KT_TO,IF(AF50="x",$D50,AF50),KT_NGAY,27)))</f>
        <v>0</v>
      </c>
      <c r="BN50" s="31" t="n">
        <f aca="false">IF(OR($B50="",AG50=""),0,IF(AND($E50="Trưởng tổ",AG50="x"),SUMIFS(KT_TRUONG,KT_LOAI,"Tổ",KT_TO,$D50,KT_NGAY,28),SUMIFS(KT_PHAN,KT_LOAI,"Tổ",KT_TO,IF(AG50="x",$D50,AG50),KT_NGAY,28)))</f>
        <v>0</v>
      </c>
      <c r="BO50" s="31" t="n">
        <f aca="false">IF(OR($B50="",AH50=""),0,IF(AND($E50="Trưởng tổ",AH50="x"),SUMIFS(KT_TRUONG,KT_LOAI,"Tổ",KT_TO,$D50,KT_NGAY,29),SUMIFS(KT_PHAN,KT_LOAI,"Tổ",KT_TO,IF(AH50="x",$D50,AH50),KT_NGAY,29)))</f>
        <v>0</v>
      </c>
      <c r="BP50" s="31" t="n">
        <f aca="false">IF(OR($B50="",AI50=""),0,IF(AND($E50="Trưởng tổ",AI50="x"),SUMIFS(KT_TRUONG,KT_LOAI,"Tổ",KT_TO,$D50,KT_NGAY,30),SUMIFS(KT_PHAN,KT_LOAI,"Tổ",KT_TO,IF(AI50="x",$D50,AI50),KT_NGAY,30)))</f>
        <v>0</v>
      </c>
      <c r="BQ50" s="31" t="n">
        <f aca="false">IF(OR($B50="",AJ50=""),0,IF(AND($E50="Trưởng tổ",AJ50="x"),SUMIFS(KT_TRUONG,KT_LOAI,"Tổ",KT_TO,$D50,KT_NGAY,31),SUMIFS(KT_PHAN,KT_LOAI,"Tổ",KT_TO,IF(AJ50="x",$D50,AJ50),KT_NGAY,31)))</f>
        <v>0</v>
      </c>
    </row>
    <row r="51" customFormat="false" ht="15" hidden="false" customHeight="false" outlineLevel="0" collapsed="false">
      <c r="A51" s="17" t="n">
        <f aca="false">IF(B51="","",ROW()-5)</f>
        <v>46</v>
      </c>
      <c r="B51" s="29" t="str">
        <f aca="false">IF(OR(BCC!B51="",BCC!D51&lt;&gt;"Thời vụ HAQT"),"",BCC!B51)</f>
        <v>QT-20</v>
      </c>
      <c r="C51" s="17" t="str">
        <f aca="false">IF(B51="","",BCC!C51)</f>
        <v>Nguyễn Thị Kim Thoa</v>
      </c>
      <c r="D51" s="17" t="str">
        <f aca="false">IF(B51="","",IFERROR(INDEX(NV_TO,MATCH(B51,NV_MA,0)),""))</f>
        <v>Tổ 2</v>
      </c>
      <c r="E51" s="17" t="str">
        <f aca="false">IF(B51="","",IFERROR(INDEX(NV_VT,MATCH(B51,NV_MA,0)),""))</f>
        <v>Thành viên</v>
      </c>
      <c r="F51" s="21"/>
      <c r="G51" s="21"/>
      <c r="H51" s="21"/>
      <c r="I51" s="21"/>
      <c r="J51" s="21"/>
      <c r="K51" s="21"/>
      <c r="L51" s="21"/>
      <c r="M51" s="21"/>
      <c r="N51" s="21"/>
      <c r="O51" s="21"/>
      <c r="P51" s="21"/>
      <c r="Q51" s="21"/>
      <c r="R51" s="21"/>
      <c r="S51" s="21"/>
      <c r="T51" s="21"/>
      <c r="U51" s="21"/>
      <c r="V51" s="21"/>
      <c r="W51" s="21"/>
      <c r="X51" s="21" t="s">
        <v>309</v>
      </c>
      <c r="Y51" s="21"/>
      <c r="Z51" s="21"/>
      <c r="AA51" s="21"/>
      <c r="AB51" s="21"/>
      <c r="AC51" s="21"/>
      <c r="AD51" s="21"/>
      <c r="AE51" s="21"/>
      <c r="AF51" s="21"/>
      <c r="AG51" s="21"/>
      <c r="AH51" s="21"/>
      <c r="AI51" s="21"/>
      <c r="AJ51" s="21"/>
      <c r="AK51" s="17" t="n">
        <f aca="false">IF(B51="","",COUNTA(F51:AJ51))</f>
        <v>1</v>
      </c>
      <c r="AL51" s="30" t="n">
        <f aca="false">IF(B51="","",SUM(AM51:BQ51))</f>
        <v>485000</v>
      </c>
      <c r="AM51" s="31" t="n">
        <f aca="false">IF(OR($B51="",F51=""),0,IF(AND($E51="Trưởng tổ",F51="x"),SUMIFS(KT_TRUONG,KT_LOAI,"Tổ",KT_TO,$D51,KT_NGAY,1),SUMIFS(KT_PHAN,KT_LOAI,"Tổ",KT_TO,IF(F51="x",$D51,F51),KT_NGAY,1)))</f>
        <v>0</v>
      </c>
      <c r="AN51" s="31" t="n">
        <f aca="false">IF(OR($B51="",G51=""),0,IF(AND($E51="Trưởng tổ",G51="x"),SUMIFS(KT_TRUONG,KT_LOAI,"Tổ",KT_TO,$D51,KT_NGAY,2),SUMIFS(KT_PHAN,KT_LOAI,"Tổ",KT_TO,IF(G51="x",$D51,G51),KT_NGAY,2)))</f>
        <v>0</v>
      </c>
      <c r="AO51" s="31" t="n">
        <f aca="false">IF(OR($B51="",H51=""),0,IF(AND($E51="Trưởng tổ",H51="x"),SUMIFS(KT_TRUONG,KT_LOAI,"Tổ",KT_TO,$D51,KT_NGAY,3),SUMIFS(KT_PHAN,KT_LOAI,"Tổ",KT_TO,IF(H51="x",$D51,H51),KT_NGAY,3)))</f>
        <v>0</v>
      </c>
      <c r="AP51" s="31" t="n">
        <f aca="false">IF(OR($B51="",I51=""),0,IF(AND($E51="Trưởng tổ",I51="x"),SUMIFS(KT_TRUONG,KT_LOAI,"Tổ",KT_TO,$D51,KT_NGAY,4),SUMIFS(KT_PHAN,KT_LOAI,"Tổ",KT_TO,IF(I51="x",$D51,I51),KT_NGAY,4)))</f>
        <v>0</v>
      </c>
      <c r="AQ51" s="31" t="n">
        <f aca="false">IF(OR($B51="",J51=""),0,IF(AND($E51="Trưởng tổ",J51="x"),SUMIFS(KT_TRUONG,KT_LOAI,"Tổ",KT_TO,$D51,KT_NGAY,5),SUMIFS(KT_PHAN,KT_LOAI,"Tổ",KT_TO,IF(J51="x",$D51,J51),KT_NGAY,5)))</f>
        <v>0</v>
      </c>
      <c r="AR51" s="31" t="n">
        <f aca="false">IF(OR($B51="",K51=""),0,IF(AND($E51="Trưởng tổ",K51="x"),SUMIFS(KT_TRUONG,KT_LOAI,"Tổ",KT_TO,$D51,KT_NGAY,6),SUMIFS(KT_PHAN,KT_LOAI,"Tổ",KT_TO,IF(K51="x",$D51,K51),KT_NGAY,6)))</f>
        <v>0</v>
      </c>
      <c r="AS51" s="31" t="n">
        <f aca="false">IF(OR($B51="",L51=""),0,IF(AND($E51="Trưởng tổ",L51="x"),SUMIFS(KT_TRUONG,KT_LOAI,"Tổ",KT_TO,$D51,KT_NGAY,7),SUMIFS(KT_PHAN,KT_LOAI,"Tổ",KT_TO,IF(L51="x",$D51,L51),KT_NGAY,7)))</f>
        <v>0</v>
      </c>
      <c r="AT51" s="31" t="n">
        <f aca="false">IF(OR($B51="",M51=""),0,IF(AND($E51="Trưởng tổ",M51="x"),SUMIFS(KT_TRUONG,KT_LOAI,"Tổ",KT_TO,$D51,KT_NGAY,8),SUMIFS(KT_PHAN,KT_LOAI,"Tổ",KT_TO,IF(M51="x",$D51,M51),KT_NGAY,8)))</f>
        <v>0</v>
      </c>
      <c r="AU51" s="31" t="n">
        <f aca="false">IF(OR($B51="",N51=""),0,IF(AND($E51="Trưởng tổ",N51="x"),SUMIFS(KT_TRUONG,KT_LOAI,"Tổ",KT_TO,$D51,KT_NGAY,9),SUMIFS(KT_PHAN,KT_LOAI,"Tổ",KT_TO,IF(N51="x",$D51,N51),KT_NGAY,9)))</f>
        <v>0</v>
      </c>
      <c r="AV51" s="31" t="n">
        <f aca="false">IF(OR($B51="",O51=""),0,IF(AND($E51="Trưởng tổ",O51="x"),SUMIFS(KT_TRUONG,KT_LOAI,"Tổ",KT_TO,$D51,KT_NGAY,10),SUMIFS(KT_PHAN,KT_LOAI,"Tổ",KT_TO,IF(O51="x",$D51,O51),KT_NGAY,10)))</f>
        <v>0</v>
      </c>
      <c r="AW51" s="31" t="n">
        <f aca="false">IF(OR($B51="",P51=""),0,IF(AND($E51="Trưởng tổ",P51="x"),SUMIFS(KT_TRUONG,KT_LOAI,"Tổ",KT_TO,$D51,KT_NGAY,11),SUMIFS(KT_PHAN,KT_LOAI,"Tổ",KT_TO,IF(P51="x",$D51,P51),KT_NGAY,11)))</f>
        <v>0</v>
      </c>
      <c r="AX51" s="31" t="n">
        <f aca="false">IF(OR($B51="",Q51=""),0,IF(AND($E51="Trưởng tổ",Q51="x"),SUMIFS(KT_TRUONG,KT_LOAI,"Tổ",KT_TO,$D51,KT_NGAY,12),SUMIFS(KT_PHAN,KT_LOAI,"Tổ",KT_TO,IF(Q51="x",$D51,Q51),KT_NGAY,12)))</f>
        <v>0</v>
      </c>
      <c r="AY51" s="31" t="n">
        <f aca="false">IF(OR($B51="",R51=""),0,IF(AND($E51="Trưởng tổ",R51="x"),SUMIFS(KT_TRUONG,KT_LOAI,"Tổ",KT_TO,$D51,KT_NGAY,13),SUMIFS(KT_PHAN,KT_LOAI,"Tổ",KT_TO,IF(R51="x",$D51,R51),KT_NGAY,13)))</f>
        <v>0</v>
      </c>
      <c r="AZ51" s="31" t="n">
        <f aca="false">IF(OR($B51="",S51=""),0,IF(AND($E51="Trưởng tổ",S51="x"),SUMIFS(KT_TRUONG,KT_LOAI,"Tổ",KT_TO,$D51,KT_NGAY,14),SUMIFS(KT_PHAN,KT_LOAI,"Tổ",KT_TO,IF(S51="x",$D51,S51),KT_NGAY,14)))</f>
        <v>0</v>
      </c>
      <c r="BA51" s="31" t="n">
        <f aca="false">IF(OR($B51="",T51=""),0,IF(AND($E51="Trưởng tổ",T51="x"),SUMIFS(KT_TRUONG,KT_LOAI,"Tổ",KT_TO,$D51,KT_NGAY,15),SUMIFS(KT_PHAN,KT_LOAI,"Tổ",KT_TO,IF(T51="x",$D51,T51),KT_NGAY,15)))</f>
        <v>0</v>
      </c>
      <c r="BB51" s="31" t="n">
        <f aca="false">IF(OR($B51="",U51=""),0,IF(AND($E51="Trưởng tổ",U51="x"),SUMIFS(KT_TRUONG,KT_LOAI,"Tổ",KT_TO,$D51,KT_NGAY,16),SUMIFS(KT_PHAN,KT_LOAI,"Tổ",KT_TO,IF(U51="x",$D51,U51),KT_NGAY,16)))</f>
        <v>0</v>
      </c>
      <c r="BC51" s="31" t="n">
        <f aca="false">IF(OR($B51="",V51=""),0,IF(AND($E51="Trưởng tổ",V51="x"),SUMIFS(KT_TRUONG,KT_LOAI,"Tổ",KT_TO,$D51,KT_NGAY,17),SUMIFS(KT_PHAN,KT_LOAI,"Tổ",KT_TO,IF(V51="x",$D51,V51),KT_NGAY,17)))</f>
        <v>0</v>
      </c>
      <c r="BD51" s="31" t="n">
        <f aca="false">IF(OR($B51="",W51=""),0,IF(AND($E51="Trưởng tổ",W51="x"),SUMIFS(KT_TRUONG,KT_LOAI,"Tổ",KT_TO,$D51,KT_NGAY,18),SUMIFS(KT_PHAN,KT_LOAI,"Tổ",KT_TO,IF(W51="x",$D51,W51),KT_NGAY,18)))</f>
        <v>0</v>
      </c>
      <c r="BE51" s="31" t="n">
        <f aca="false">IF(OR($B51="",X51=""),0,IF(AND($E51="Trưởng tổ",X51="x"),SUMIFS(KT_TRUONG,KT_LOAI,"Tổ",KT_TO,$D51,KT_NGAY,19),SUMIFS(KT_PHAN,KT_LOAI,"Tổ",KT_TO,IF(X51="x",$D51,X51),KT_NGAY,19)))</f>
        <v>485000</v>
      </c>
      <c r="BF51" s="31" t="n">
        <f aca="false">IF(OR($B51="",Y51=""),0,IF(AND($E51="Trưởng tổ",Y51="x"),SUMIFS(KT_TRUONG,KT_LOAI,"Tổ",KT_TO,$D51,KT_NGAY,20),SUMIFS(KT_PHAN,KT_LOAI,"Tổ",KT_TO,IF(Y51="x",$D51,Y51),KT_NGAY,20)))</f>
        <v>0</v>
      </c>
      <c r="BG51" s="31" t="n">
        <f aca="false">IF(OR($B51="",Z51=""),0,IF(AND($E51="Trưởng tổ",Z51="x"),SUMIFS(KT_TRUONG,KT_LOAI,"Tổ",KT_TO,$D51,KT_NGAY,21),SUMIFS(KT_PHAN,KT_LOAI,"Tổ",KT_TO,IF(Z51="x",$D51,Z51),KT_NGAY,21)))</f>
        <v>0</v>
      </c>
      <c r="BH51" s="31" t="n">
        <f aca="false">IF(OR($B51="",AA51=""),0,IF(AND($E51="Trưởng tổ",AA51="x"),SUMIFS(KT_TRUONG,KT_LOAI,"Tổ",KT_TO,$D51,KT_NGAY,22),SUMIFS(KT_PHAN,KT_LOAI,"Tổ",KT_TO,IF(AA51="x",$D51,AA51),KT_NGAY,22)))</f>
        <v>0</v>
      </c>
      <c r="BI51" s="31" t="n">
        <f aca="false">IF(OR($B51="",AB51=""),0,IF(AND($E51="Trưởng tổ",AB51="x"),SUMIFS(KT_TRUONG,KT_LOAI,"Tổ",KT_TO,$D51,KT_NGAY,23),SUMIFS(KT_PHAN,KT_LOAI,"Tổ",KT_TO,IF(AB51="x",$D51,AB51),KT_NGAY,23)))</f>
        <v>0</v>
      </c>
      <c r="BJ51" s="31" t="n">
        <f aca="false">IF(OR($B51="",AC51=""),0,IF(AND($E51="Trưởng tổ",AC51="x"),SUMIFS(KT_TRUONG,KT_LOAI,"Tổ",KT_TO,$D51,KT_NGAY,24),SUMIFS(KT_PHAN,KT_LOAI,"Tổ",KT_TO,IF(AC51="x",$D51,AC51),KT_NGAY,24)))</f>
        <v>0</v>
      </c>
      <c r="BK51" s="31" t="n">
        <f aca="false">IF(OR($B51="",AD51=""),0,IF(AND($E51="Trưởng tổ",AD51="x"),SUMIFS(KT_TRUONG,KT_LOAI,"Tổ",KT_TO,$D51,KT_NGAY,25),SUMIFS(KT_PHAN,KT_LOAI,"Tổ",KT_TO,IF(AD51="x",$D51,AD51),KT_NGAY,25)))</f>
        <v>0</v>
      </c>
      <c r="BL51" s="31" t="n">
        <f aca="false">IF(OR($B51="",AE51=""),0,IF(AND($E51="Trưởng tổ",AE51="x"),SUMIFS(KT_TRUONG,KT_LOAI,"Tổ",KT_TO,$D51,KT_NGAY,26),SUMIFS(KT_PHAN,KT_LOAI,"Tổ",KT_TO,IF(AE51="x",$D51,AE51),KT_NGAY,26)))</f>
        <v>0</v>
      </c>
      <c r="BM51" s="31" t="n">
        <f aca="false">IF(OR($B51="",AF51=""),0,IF(AND($E51="Trưởng tổ",AF51="x"),SUMIFS(KT_TRUONG,KT_LOAI,"Tổ",KT_TO,$D51,KT_NGAY,27),SUMIFS(KT_PHAN,KT_LOAI,"Tổ",KT_TO,IF(AF51="x",$D51,AF51),KT_NGAY,27)))</f>
        <v>0</v>
      </c>
      <c r="BN51" s="31" t="n">
        <f aca="false">IF(OR($B51="",AG51=""),0,IF(AND($E51="Trưởng tổ",AG51="x"),SUMIFS(KT_TRUONG,KT_LOAI,"Tổ",KT_TO,$D51,KT_NGAY,28),SUMIFS(KT_PHAN,KT_LOAI,"Tổ",KT_TO,IF(AG51="x",$D51,AG51),KT_NGAY,28)))</f>
        <v>0</v>
      </c>
      <c r="BO51" s="31" t="n">
        <f aca="false">IF(OR($B51="",AH51=""),0,IF(AND($E51="Trưởng tổ",AH51="x"),SUMIFS(KT_TRUONG,KT_LOAI,"Tổ",KT_TO,$D51,KT_NGAY,29),SUMIFS(KT_PHAN,KT_LOAI,"Tổ",KT_TO,IF(AH51="x",$D51,AH51),KT_NGAY,29)))</f>
        <v>0</v>
      </c>
      <c r="BP51" s="31" t="n">
        <f aca="false">IF(OR($B51="",AI51=""),0,IF(AND($E51="Trưởng tổ",AI51="x"),SUMIFS(KT_TRUONG,KT_LOAI,"Tổ",KT_TO,$D51,KT_NGAY,30),SUMIFS(KT_PHAN,KT_LOAI,"Tổ",KT_TO,IF(AI51="x",$D51,AI51),KT_NGAY,30)))</f>
        <v>0</v>
      </c>
      <c r="BQ51" s="31" t="n">
        <f aca="false">IF(OR($B51="",AJ51=""),0,IF(AND($E51="Trưởng tổ",AJ51="x"),SUMIFS(KT_TRUONG,KT_LOAI,"Tổ",KT_TO,$D51,KT_NGAY,31),SUMIFS(KT_PHAN,KT_LOAI,"Tổ",KT_TO,IF(AJ51="x",$D51,AJ51),KT_NGAY,31)))</f>
        <v>0</v>
      </c>
    </row>
    <row r="52" customFormat="false" ht="15" hidden="false" customHeight="false" outlineLevel="0" collapsed="false">
      <c r="A52" s="17" t="n">
        <f aca="false">IF(B52="","",ROW()-5)</f>
        <v>47</v>
      </c>
      <c r="B52" s="29" t="str">
        <f aca="false">IF(OR(BCC!B52="",BCC!D52&lt;&gt;"Thời vụ HAQT"),"",BCC!B52)</f>
        <v>QT-21</v>
      </c>
      <c r="C52" s="17" t="str">
        <f aca="false">IF(B52="","",BCC!C52)</f>
        <v>Hồ Xuân Đông</v>
      </c>
      <c r="D52" s="17" t="str">
        <f aca="false">IF(B52="","",IFERROR(INDEX(NV_TO,MATCH(B52,NV_MA,0)),""))</f>
        <v>Tổ 3</v>
      </c>
      <c r="E52" s="17" t="str">
        <f aca="false">IF(B52="","",IFERROR(INDEX(NV_VT,MATCH(B52,NV_MA,0)),""))</f>
        <v>Trưởng tổ</v>
      </c>
      <c r="F52" s="21"/>
      <c r="G52" s="21"/>
      <c r="H52" s="21"/>
      <c r="I52" s="21"/>
      <c r="J52" s="21"/>
      <c r="K52" s="21"/>
      <c r="L52" s="21"/>
      <c r="M52" s="21"/>
      <c r="N52" s="21"/>
      <c r="O52" s="21"/>
      <c r="P52" s="21"/>
      <c r="Q52" s="21"/>
      <c r="R52" s="21"/>
      <c r="S52" s="21"/>
      <c r="T52" s="21"/>
      <c r="U52" s="21"/>
      <c r="V52" s="21"/>
      <c r="W52" s="21"/>
      <c r="X52" s="21"/>
      <c r="Y52" s="21" t="s">
        <v>309</v>
      </c>
      <c r="Z52" s="21"/>
      <c r="AA52" s="21"/>
      <c r="AB52" s="21"/>
      <c r="AC52" s="21"/>
      <c r="AD52" s="21" t="s">
        <v>309</v>
      </c>
      <c r="AE52" s="21"/>
      <c r="AF52" s="21"/>
      <c r="AG52" s="21"/>
      <c r="AH52" s="21"/>
      <c r="AI52" s="21"/>
      <c r="AJ52" s="21"/>
      <c r="AK52" s="17" t="n">
        <f aca="false">IF(B52="","",COUNTA(F52:AJ52))</f>
        <v>2</v>
      </c>
      <c r="AL52" s="30" t="n">
        <f aca="false">IF(B52="","",SUM(AM52:BQ52))</f>
        <v>868000</v>
      </c>
      <c r="AM52" s="31" t="n">
        <f aca="false">IF(OR($B52="",F52=""),0,IF(AND($E52="Trưởng tổ",F52="x"),SUMIFS(KT_TRUONG,KT_LOAI,"Tổ",KT_TO,$D52,KT_NGAY,1),SUMIFS(KT_PHAN,KT_LOAI,"Tổ",KT_TO,IF(F52="x",$D52,F52),KT_NGAY,1)))</f>
        <v>0</v>
      </c>
      <c r="AN52" s="31" t="n">
        <f aca="false">IF(OR($B52="",G52=""),0,IF(AND($E52="Trưởng tổ",G52="x"),SUMIFS(KT_TRUONG,KT_LOAI,"Tổ",KT_TO,$D52,KT_NGAY,2),SUMIFS(KT_PHAN,KT_LOAI,"Tổ",KT_TO,IF(G52="x",$D52,G52),KT_NGAY,2)))</f>
        <v>0</v>
      </c>
      <c r="AO52" s="31" t="n">
        <f aca="false">IF(OR($B52="",H52=""),0,IF(AND($E52="Trưởng tổ",H52="x"),SUMIFS(KT_TRUONG,KT_LOAI,"Tổ",KT_TO,$D52,KT_NGAY,3),SUMIFS(KT_PHAN,KT_LOAI,"Tổ",KT_TO,IF(H52="x",$D52,H52),KT_NGAY,3)))</f>
        <v>0</v>
      </c>
      <c r="AP52" s="31" t="n">
        <f aca="false">IF(OR($B52="",I52=""),0,IF(AND($E52="Trưởng tổ",I52="x"),SUMIFS(KT_TRUONG,KT_LOAI,"Tổ",KT_TO,$D52,KT_NGAY,4),SUMIFS(KT_PHAN,KT_LOAI,"Tổ",KT_TO,IF(I52="x",$D52,I52),KT_NGAY,4)))</f>
        <v>0</v>
      </c>
      <c r="AQ52" s="31" t="n">
        <f aca="false">IF(OR($B52="",J52=""),0,IF(AND($E52="Trưởng tổ",J52="x"),SUMIFS(KT_TRUONG,KT_LOAI,"Tổ",KT_TO,$D52,KT_NGAY,5),SUMIFS(KT_PHAN,KT_LOAI,"Tổ",KT_TO,IF(J52="x",$D52,J52),KT_NGAY,5)))</f>
        <v>0</v>
      </c>
      <c r="AR52" s="31" t="n">
        <f aca="false">IF(OR($B52="",K52=""),0,IF(AND($E52="Trưởng tổ",K52="x"),SUMIFS(KT_TRUONG,KT_LOAI,"Tổ",KT_TO,$D52,KT_NGAY,6),SUMIFS(KT_PHAN,KT_LOAI,"Tổ",KT_TO,IF(K52="x",$D52,K52),KT_NGAY,6)))</f>
        <v>0</v>
      </c>
      <c r="AS52" s="31" t="n">
        <f aca="false">IF(OR($B52="",L52=""),0,IF(AND($E52="Trưởng tổ",L52="x"),SUMIFS(KT_TRUONG,KT_LOAI,"Tổ",KT_TO,$D52,KT_NGAY,7),SUMIFS(KT_PHAN,KT_LOAI,"Tổ",KT_TO,IF(L52="x",$D52,L52),KT_NGAY,7)))</f>
        <v>0</v>
      </c>
      <c r="AT52" s="31" t="n">
        <f aca="false">IF(OR($B52="",M52=""),0,IF(AND($E52="Trưởng tổ",M52="x"),SUMIFS(KT_TRUONG,KT_LOAI,"Tổ",KT_TO,$D52,KT_NGAY,8),SUMIFS(KT_PHAN,KT_LOAI,"Tổ",KT_TO,IF(M52="x",$D52,M52),KT_NGAY,8)))</f>
        <v>0</v>
      </c>
      <c r="AU52" s="31" t="n">
        <f aca="false">IF(OR($B52="",N52=""),0,IF(AND($E52="Trưởng tổ",N52="x"),SUMIFS(KT_TRUONG,KT_LOAI,"Tổ",KT_TO,$D52,KT_NGAY,9),SUMIFS(KT_PHAN,KT_LOAI,"Tổ",KT_TO,IF(N52="x",$D52,N52),KT_NGAY,9)))</f>
        <v>0</v>
      </c>
      <c r="AV52" s="31" t="n">
        <f aca="false">IF(OR($B52="",O52=""),0,IF(AND($E52="Trưởng tổ",O52="x"),SUMIFS(KT_TRUONG,KT_LOAI,"Tổ",KT_TO,$D52,KT_NGAY,10),SUMIFS(KT_PHAN,KT_LOAI,"Tổ",KT_TO,IF(O52="x",$D52,O52),KT_NGAY,10)))</f>
        <v>0</v>
      </c>
      <c r="AW52" s="31" t="n">
        <f aca="false">IF(OR($B52="",P52=""),0,IF(AND($E52="Trưởng tổ",P52="x"),SUMIFS(KT_TRUONG,KT_LOAI,"Tổ",KT_TO,$D52,KT_NGAY,11),SUMIFS(KT_PHAN,KT_LOAI,"Tổ",KT_TO,IF(P52="x",$D52,P52),KT_NGAY,11)))</f>
        <v>0</v>
      </c>
      <c r="AX52" s="31" t="n">
        <f aca="false">IF(OR($B52="",Q52=""),0,IF(AND($E52="Trưởng tổ",Q52="x"),SUMIFS(KT_TRUONG,KT_LOAI,"Tổ",KT_TO,$D52,KT_NGAY,12),SUMIFS(KT_PHAN,KT_LOAI,"Tổ",KT_TO,IF(Q52="x",$D52,Q52),KT_NGAY,12)))</f>
        <v>0</v>
      </c>
      <c r="AY52" s="31" t="n">
        <f aca="false">IF(OR($B52="",R52=""),0,IF(AND($E52="Trưởng tổ",R52="x"),SUMIFS(KT_TRUONG,KT_LOAI,"Tổ",KT_TO,$D52,KT_NGAY,13),SUMIFS(KT_PHAN,KT_LOAI,"Tổ",KT_TO,IF(R52="x",$D52,R52),KT_NGAY,13)))</f>
        <v>0</v>
      </c>
      <c r="AZ52" s="31" t="n">
        <f aca="false">IF(OR($B52="",S52=""),0,IF(AND($E52="Trưởng tổ",S52="x"),SUMIFS(KT_TRUONG,KT_LOAI,"Tổ",KT_TO,$D52,KT_NGAY,14),SUMIFS(KT_PHAN,KT_LOAI,"Tổ",KT_TO,IF(S52="x",$D52,S52),KT_NGAY,14)))</f>
        <v>0</v>
      </c>
      <c r="BA52" s="31" t="n">
        <f aca="false">IF(OR($B52="",T52=""),0,IF(AND($E52="Trưởng tổ",T52="x"),SUMIFS(KT_TRUONG,KT_LOAI,"Tổ",KT_TO,$D52,KT_NGAY,15),SUMIFS(KT_PHAN,KT_LOAI,"Tổ",KT_TO,IF(T52="x",$D52,T52),KT_NGAY,15)))</f>
        <v>0</v>
      </c>
      <c r="BB52" s="31" t="n">
        <f aca="false">IF(OR($B52="",U52=""),0,IF(AND($E52="Trưởng tổ",U52="x"),SUMIFS(KT_TRUONG,KT_LOAI,"Tổ",KT_TO,$D52,KT_NGAY,16),SUMIFS(KT_PHAN,KT_LOAI,"Tổ",KT_TO,IF(U52="x",$D52,U52),KT_NGAY,16)))</f>
        <v>0</v>
      </c>
      <c r="BC52" s="31" t="n">
        <f aca="false">IF(OR($B52="",V52=""),0,IF(AND($E52="Trưởng tổ",V52="x"),SUMIFS(KT_TRUONG,KT_LOAI,"Tổ",KT_TO,$D52,KT_NGAY,17),SUMIFS(KT_PHAN,KT_LOAI,"Tổ",KT_TO,IF(V52="x",$D52,V52),KT_NGAY,17)))</f>
        <v>0</v>
      </c>
      <c r="BD52" s="31" t="n">
        <f aca="false">IF(OR($B52="",W52=""),0,IF(AND($E52="Trưởng tổ",W52="x"),SUMIFS(KT_TRUONG,KT_LOAI,"Tổ",KT_TO,$D52,KT_NGAY,18),SUMIFS(KT_PHAN,KT_LOAI,"Tổ",KT_TO,IF(W52="x",$D52,W52),KT_NGAY,18)))</f>
        <v>0</v>
      </c>
      <c r="BE52" s="31" t="n">
        <f aca="false">IF(OR($B52="",X52=""),0,IF(AND($E52="Trưởng tổ",X52="x"),SUMIFS(KT_TRUONG,KT_LOAI,"Tổ",KT_TO,$D52,KT_NGAY,19),SUMIFS(KT_PHAN,KT_LOAI,"Tổ",KT_TO,IF(X52="x",$D52,X52),KT_NGAY,19)))</f>
        <v>0</v>
      </c>
      <c r="BF52" s="31" t="n">
        <f aca="false">IF(OR($B52="",Y52=""),0,IF(AND($E52="Trưởng tổ",Y52="x"),SUMIFS(KT_TRUONG,KT_LOAI,"Tổ",KT_TO,$D52,KT_NGAY,20),SUMIFS(KT_PHAN,KT_LOAI,"Tổ",KT_TO,IF(Y52="x",$D52,Y52),KT_NGAY,20)))</f>
        <v>485000</v>
      </c>
      <c r="BG52" s="31" t="n">
        <f aca="false">IF(OR($B52="",Z52=""),0,IF(AND($E52="Trưởng tổ",Z52="x"),SUMIFS(KT_TRUONG,KT_LOAI,"Tổ",KT_TO,$D52,KT_NGAY,21),SUMIFS(KT_PHAN,KT_LOAI,"Tổ",KT_TO,IF(Z52="x",$D52,Z52),KT_NGAY,21)))</f>
        <v>0</v>
      </c>
      <c r="BH52" s="31" t="n">
        <f aca="false">IF(OR($B52="",AA52=""),0,IF(AND($E52="Trưởng tổ",AA52="x"),SUMIFS(KT_TRUONG,KT_LOAI,"Tổ",KT_TO,$D52,KT_NGAY,22),SUMIFS(KT_PHAN,KT_LOAI,"Tổ",KT_TO,IF(AA52="x",$D52,AA52),KT_NGAY,22)))</f>
        <v>0</v>
      </c>
      <c r="BI52" s="31" t="n">
        <f aca="false">IF(OR($B52="",AB52=""),0,IF(AND($E52="Trưởng tổ",AB52="x"),SUMIFS(KT_TRUONG,KT_LOAI,"Tổ",KT_TO,$D52,KT_NGAY,23),SUMIFS(KT_PHAN,KT_LOAI,"Tổ",KT_TO,IF(AB52="x",$D52,AB52),KT_NGAY,23)))</f>
        <v>0</v>
      </c>
      <c r="BJ52" s="31" t="n">
        <f aca="false">IF(OR($B52="",AC52=""),0,IF(AND($E52="Trưởng tổ",AC52="x"),SUMIFS(KT_TRUONG,KT_LOAI,"Tổ",KT_TO,$D52,KT_NGAY,24),SUMIFS(KT_PHAN,KT_LOAI,"Tổ",KT_TO,IF(AC52="x",$D52,AC52),KT_NGAY,24)))</f>
        <v>0</v>
      </c>
      <c r="BK52" s="31" t="n">
        <f aca="false">IF(OR($B52="",AD52=""),0,IF(AND($E52="Trưởng tổ",AD52="x"),SUMIFS(KT_TRUONG,KT_LOAI,"Tổ",KT_TO,$D52,KT_NGAY,25),SUMIFS(KT_PHAN,KT_LOAI,"Tổ",KT_TO,IF(AD52="x",$D52,AD52),KT_NGAY,25)))</f>
        <v>383000</v>
      </c>
      <c r="BL52" s="31" t="n">
        <f aca="false">IF(OR($B52="",AE52=""),0,IF(AND($E52="Trưởng tổ",AE52="x"),SUMIFS(KT_TRUONG,KT_LOAI,"Tổ",KT_TO,$D52,KT_NGAY,26),SUMIFS(KT_PHAN,KT_LOAI,"Tổ",KT_TO,IF(AE52="x",$D52,AE52),KT_NGAY,26)))</f>
        <v>0</v>
      </c>
      <c r="BM52" s="31" t="n">
        <f aca="false">IF(OR($B52="",AF52=""),0,IF(AND($E52="Trưởng tổ",AF52="x"),SUMIFS(KT_TRUONG,KT_LOAI,"Tổ",KT_TO,$D52,KT_NGAY,27),SUMIFS(KT_PHAN,KT_LOAI,"Tổ",KT_TO,IF(AF52="x",$D52,AF52),KT_NGAY,27)))</f>
        <v>0</v>
      </c>
      <c r="BN52" s="31" t="n">
        <f aca="false">IF(OR($B52="",AG52=""),0,IF(AND($E52="Trưởng tổ",AG52="x"),SUMIFS(KT_TRUONG,KT_LOAI,"Tổ",KT_TO,$D52,KT_NGAY,28),SUMIFS(KT_PHAN,KT_LOAI,"Tổ",KT_TO,IF(AG52="x",$D52,AG52),KT_NGAY,28)))</f>
        <v>0</v>
      </c>
      <c r="BO52" s="31" t="n">
        <f aca="false">IF(OR($B52="",AH52=""),0,IF(AND($E52="Trưởng tổ",AH52="x"),SUMIFS(KT_TRUONG,KT_LOAI,"Tổ",KT_TO,$D52,KT_NGAY,29),SUMIFS(KT_PHAN,KT_LOAI,"Tổ",KT_TO,IF(AH52="x",$D52,AH52),KT_NGAY,29)))</f>
        <v>0</v>
      </c>
      <c r="BP52" s="31" t="n">
        <f aca="false">IF(OR($B52="",AI52=""),0,IF(AND($E52="Trưởng tổ",AI52="x"),SUMIFS(KT_TRUONG,KT_LOAI,"Tổ",KT_TO,$D52,KT_NGAY,30),SUMIFS(KT_PHAN,KT_LOAI,"Tổ",KT_TO,IF(AI52="x",$D52,AI52),KT_NGAY,30)))</f>
        <v>0</v>
      </c>
      <c r="BQ52" s="31" t="n">
        <f aca="false">IF(OR($B52="",AJ52=""),0,IF(AND($E52="Trưởng tổ",AJ52="x"),SUMIFS(KT_TRUONG,KT_LOAI,"Tổ",KT_TO,$D52,KT_NGAY,31),SUMIFS(KT_PHAN,KT_LOAI,"Tổ",KT_TO,IF(AJ52="x",$D52,AJ52),KT_NGAY,31)))</f>
        <v>0</v>
      </c>
    </row>
    <row r="53" customFormat="false" ht="15" hidden="false" customHeight="false" outlineLevel="0" collapsed="false">
      <c r="A53" s="17" t="n">
        <f aca="false">IF(B53="","",ROW()-5)</f>
        <v>48</v>
      </c>
      <c r="B53" s="29" t="str">
        <f aca="false">IF(OR(BCC!B53="",BCC!D53&lt;&gt;"Thời vụ HAQT"),"",BCC!B53)</f>
        <v>QT-22</v>
      </c>
      <c r="C53" s="17" t="str">
        <f aca="false">IF(B53="","",BCC!C53)</f>
        <v>Nguyễn Chí Thành</v>
      </c>
      <c r="D53" s="27" t="n">
        <f aca="false">IF(B53="","",IFERROR(INDEX(NV_TO,MATCH(B53,NV_MA,0)),""))</f>
        <v>0</v>
      </c>
      <c r="E53" s="17" t="n">
        <f aca="false">IF(B53="","",IFERROR(INDEX(NV_VT,MATCH(B53,NV_MA,0)),""))</f>
        <v>0</v>
      </c>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17" t="n">
        <f aca="false">IF(B53="","",COUNTA(F53:AJ53))</f>
        <v>0</v>
      </c>
      <c r="AL53" s="30" t="n">
        <f aca="false">IF(B53="","",SUM(AM53:BQ53))</f>
        <v>0</v>
      </c>
      <c r="AM53" s="31" t="n">
        <f aca="false">IF(OR($B53="",F53=""),0,IF(AND($E53="Trưởng tổ",F53="x"),SUMIFS(KT_TRUONG,KT_LOAI,"Tổ",KT_TO,$D53,KT_NGAY,1),SUMIFS(KT_PHAN,KT_LOAI,"Tổ",KT_TO,IF(F53="x",$D53,F53),KT_NGAY,1)))</f>
        <v>0</v>
      </c>
      <c r="AN53" s="31" t="n">
        <f aca="false">IF(OR($B53="",G53=""),0,IF(AND($E53="Trưởng tổ",G53="x"),SUMIFS(KT_TRUONG,KT_LOAI,"Tổ",KT_TO,$D53,KT_NGAY,2),SUMIFS(KT_PHAN,KT_LOAI,"Tổ",KT_TO,IF(G53="x",$D53,G53),KT_NGAY,2)))</f>
        <v>0</v>
      </c>
      <c r="AO53" s="31" t="n">
        <f aca="false">IF(OR($B53="",H53=""),0,IF(AND($E53="Trưởng tổ",H53="x"),SUMIFS(KT_TRUONG,KT_LOAI,"Tổ",KT_TO,$D53,KT_NGAY,3),SUMIFS(KT_PHAN,KT_LOAI,"Tổ",KT_TO,IF(H53="x",$D53,H53),KT_NGAY,3)))</f>
        <v>0</v>
      </c>
      <c r="AP53" s="31" t="n">
        <f aca="false">IF(OR($B53="",I53=""),0,IF(AND($E53="Trưởng tổ",I53="x"),SUMIFS(KT_TRUONG,KT_LOAI,"Tổ",KT_TO,$D53,KT_NGAY,4),SUMIFS(KT_PHAN,KT_LOAI,"Tổ",KT_TO,IF(I53="x",$D53,I53),KT_NGAY,4)))</f>
        <v>0</v>
      </c>
      <c r="AQ53" s="31" t="n">
        <f aca="false">IF(OR($B53="",J53=""),0,IF(AND($E53="Trưởng tổ",J53="x"),SUMIFS(KT_TRUONG,KT_LOAI,"Tổ",KT_TO,$D53,KT_NGAY,5),SUMIFS(KT_PHAN,KT_LOAI,"Tổ",KT_TO,IF(J53="x",$D53,J53),KT_NGAY,5)))</f>
        <v>0</v>
      </c>
      <c r="AR53" s="31" t="n">
        <f aca="false">IF(OR($B53="",K53=""),0,IF(AND($E53="Trưởng tổ",K53="x"),SUMIFS(KT_TRUONG,KT_LOAI,"Tổ",KT_TO,$D53,KT_NGAY,6),SUMIFS(KT_PHAN,KT_LOAI,"Tổ",KT_TO,IF(K53="x",$D53,K53),KT_NGAY,6)))</f>
        <v>0</v>
      </c>
      <c r="AS53" s="31" t="n">
        <f aca="false">IF(OR($B53="",L53=""),0,IF(AND($E53="Trưởng tổ",L53="x"),SUMIFS(KT_TRUONG,KT_LOAI,"Tổ",KT_TO,$D53,KT_NGAY,7),SUMIFS(KT_PHAN,KT_LOAI,"Tổ",KT_TO,IF(L53="x",$D53,L53),KT_NGAY,7)))</f>
        <v>0</v>
      </c>
      <c r="AT53" s="31" t="n">
        <f aca="false">IF(OR($B53="",M53=""),0,IF(AND($E53="Trưởng tổ",M53="x"),SUMIFS(KT_TRUONG,KT_LOAI,"Tổ",KT_TO,$D53,KT_NGAY,8),SUMIFS(KT_PHAN,KT_LOAI,"Tổ",KT_TO,IF(M53="x",$D53,M53),KT_NGAY,8)))</f>
        <v>0</v>
      </c>
      <c r="AU53" s="31" t="n">
        <f aca="false">IF(OR($B53="",N53=""),0,IF(AND($E53="Trưởng tổ",N53="x"),SUMIFS(KT_TRUONG,KT_LOAI,"Tổ",KT_TO,$D53,KT_NGAY,9),SUMIFS(KT_PHAN,KT_LOAI,"Tổ",KT_TO,IF(N53="x",$D53,N53),KT_NGAY,9)))</f>
        <v>0</v>
      </c>
      <c r="AV53" s="31" t="n">
        <f aca="false">IF(OR($B53="",O53=""),0,IF(AND($E53="Trưởng tổ",O53="x"),SUMIFS(KT_TRUONG,KT_LOAI,"Tổ",KT_TO,$D53,KT_NGAY,10),SUMIFS(KT_PHAN,KT_LOAI,"Tổ",KT_TO,IF(O53="x",$D53,O53),KT_NGAY,10)))</f>
        <v>0</v>
      </c>
      <c r="AW53" s="31" t="n">
        <f aca="false">IF(OR($B53="",P53=""),0,IF(AND($E53="Trưởng tổ",P53="x"),SUMIFS(KT_TRUONG,KT_LOAI,"Tổ",KT_TO,$D53,KT_NGAY,11),SUMIFS(KT_PHAN,KT_LOAI,"Tổ",KT_TO,IF(P53="x",$D53,P53),KT_NGAY,11)))</f>
        <v>0</v>
      </c>
      <c r="AX53" s="31" t="n">
        <f aca="false">IF(OR($B53="",Q53=""),0,IF(AND($E53="Trưởng tổ",Q53="x"),SUMIFS(KT_TRUONG,KT_LOAI,"Tổ",KT_TO,$D53,KT_NGAY,12),SUMIFS(KT_PHAN,KT_LOAI,"Tổ",KT_TO,IF(Q53="x",$D53,Q53),KT_NGAY,12)))</f>
        <v>0</v>
      </c>
      <c r="AY53" s="31" t="n">
        <f aca="false">IF(OR($B53="",R53=""),0,IF(AND($E53="Trưởng tổ",R53="x"),SUMIFS(KT_TRUONG,KT_LOAI,"Tổ",KT_TO,$D53,KT_NGAY,13),SUMIFS(KT_PHAN,KT_LOAI,"Tổ",KT_TO,IF(R53="x",$D53,R53),KT_NGAY,13)))</f>
        <v>0</v>
      </c>
      <c r="AZ53" s="31" t="n">
        <f aca="false">IF(OR($B53="",S53=""),0,IF(AND($E53="Trưởng tổ",S53="x"),SUMIFS(KT_TRUONG,KT_LOAI,"Tổ",KT_TO,$D53,KT_NGAY,14),SUMIFS(KT_PHAN,KT_LOAI,"Tổ",KT_TO,IF(S53="x",$D53,S53),KT_NGAY,14)))</f>
        <v>0</v>
      </c>
      <c r="BA53" s="31" t="n">
        <f aca="false">IF(OR($B53="",T53=""),0,IF(AND($E53="Trưởng tổ",T53="x"),SUMIFS(KT_TRUONG,KT_LOAI,"Tổ",KT_TO,$D53,KT_NGAY,15),SUMIFS(KT_PHAN,KT_LOAI,"Tổ",KT_TO,IF(T53="x",$D53,T53),KT_NGAY,15)))</f>
        <v>0</v>
      </c>
      <c r="BB53" s="31" t="n">
        <f aca="false">IF(OR($B53="",U53=""),0,IF(AND($E53="Trưởng tổ",U53="x"),SUMIFS(KT_TRUONG,KT_LOAI,"Tổ",KT_TO,$D53,KT_NGAY,16),SUMIFS(KT_PHAN,KT_LOAI,"Tổ",KT_TO,IF(U53="x",$D53,U53),KT_NGAY,16)))</f>
        <v>0</v>
      </c>
      <c r="BC53" s="31" t="n">
        <f aca="false">IF(OR($B53="",V53=""),0,IF(AND($E53="Trưởng tổ",V53="x"),SUMIFS(KT_TRUONG,KT_LOAI,"Tổ",KT_TO,$D53,KT_NGAY,17),SUMIFS(KT_PHAN,KT_LOAI,"Tổ",KT_TO,IF(V53="x",$D53,V53),KT_NGAY,17)))</f>
        <v>0</v>
      </c>
      <c r="BD53" s="31" t="n">
        <f aca="false">IF(OR($B53="",W53=""),0,IF(AND($E53="Trưởng tổ",W53="x"),SUMIFS(KT_TRUONG,KT_LOAI,"Tổ",KT_TO,$D53,KT_NGAY,18),SUMIFS(KT_PHAN,KT_LOAI,"Tổ",KT_TO,IF(W53="x",$D53,W53),KT_NGAY,18)))</f>
        <v>0</v>
      </c>
      <c r="BE53" s="31" t="n">
        <f aca="false">IF(OR($B53="",X53=""),0,IF(AND($E53="Trưởng tổ",X53="x"),SUMIFS(KT_TRUONG,KT_LOAI,"Tổ",KT_TO,$D53,KT_NGAY,19),SUMIFS(KT_PHAN,KT_LOAI,"Tổ",KT_TO,IF(X53="x",$D53,X53),KT_NGAY,19)))</f>
        <v>0</v>
      </c>
      <c r="BF53" s="31" t="n">
        <f aca="false">IF(OR($B53="",Y53=""),0,IF(AND($E53="Trưởng tổ",Y53="x"),SUMIFS(KT_TRUONG,KT_LOAI,"Tổ",KT_TO,$D53,KT_NGAY,20),SUMIFS(KT_PHAN,KT_LOAI,"Tổ",KT_TO,IF(Y53="x",$D53,Y53),KT_NGAY,20)))</f>
        <v>0</v>
      </c>
      <c r="BG53" s="31" t="n">
        <f aca="false">IF(OR($B53="",Z53=""),0,IF(AND($E53="Trưởng tổ",Z53="x"),SUMIFS(KT_TRUONG,KT_LOAI,"Tổ",KT_TO,$D53,KT_NGAY,21),SUMIFS(KT_PHAN,KT_LOAI,"Tổ",KT_TO,IF(Z53="x",$D53,Z53),KT_NGAY,21)))</f>
        <v>0</v>
      </c>
      <c r="BH53" s="31" t="n">
        <f aca="false">IF(OR($B53="",AA53=""),0,IF(AND($E53="Trưởng tổ",AA53="x"),SUMIFS(KT_TRUONG,KT_LOAI,"Tổ",KT_TO,$D53,KT_NGAY,22),SUMIFS(KT_PHAN,KT_LOAI,"Tổ",KT_TO,IF(AA53="x",$D53,AA53),KT_NGAY,22)))</f>
        <v>0</v>
      </c>
      <c r="BI53" s="31" t="n">
        <f aca="false">IF(OR($B53="",AB53=""),0,IF(AND($E53="Trưởng tổ",AB53="x"),SUMIFS(KT_TRUONG,KT_LOAI,"Tổ",KT_TO,$D53,KT_NGAY,23),SUMIFS(KT_PHAN,KT_LOAI,"Tổ",KT_TO,IF(AB53="x",$D53,AB53),KT_NGAY,23)))</f>
        <v>0</v>
      </c>
      <c r="BJ53" s="31" t="n">
        <f aca="false">IF(OR($B53="",AC53=""),0,IF(AND($E53="Trưởng tổ",AC53="x"),SUMIFS(KT_TRUONG,KT_LOAI,"Tổ",KT_TO,$D53,KT_NGAY,24),SUMIFS(KT_PHAN,KT_LOAI,"Tổ",KT_TO,IF(AC53="x",$D53,AC53),KT_NGAY,24)))</f>
        <v>0</v>
      </c>
      <c r="BK53" s="31" t="n">
        <f aca="false">IF(OR($B53="",AD53=""),0,IF(AND($E53="Trưởng tổ",AD53="x"),SUMIFS(KT_TRUONG,KT_LOAI,"Tổ",KT_TO,$D53,KT_NGAY,25),SUMIFS(KT_PHAN,KT_LOAI,"Tổ",KT_TO,IF(AD53="x",$D53,AD53),KT_NGAY,25)))</f>
        <v>0</v>
      </c>
      <c r="BL53" s="31" t="n">
        <f aca="false">IF(OR($B53="",AE53=""),0,IF(AND($E53="Trưởng tổ",AE53="x"),SUMIFS(KT_TRUONG,KT_LOAI,"Tổ",KT_TO,$D53,KT_NGAY,26),SUMIFS(KT_PHAN,KT_LOAI,"Tổ",KT_TO,IF(AE53="x",$D53,AE53),KT_NGAY,26)))</f>
        <v>0</v>
      </c>
      <c r="BM53" s="31" t="n">
        <f aca="false">IF(OR($B53="",AF53=""),0,IF(AND($E53="Trưởng tổ",AF53="x"),SUMIFS(KT_TRUONG,KT_LOAI,"Tổ",KT_TO,$D53,KT_NGAY,27),SUMIFS(KT_PHAN,KT_LOAI,"Tổ",KT_TO,IF(AF53="x",$D53,AF53),KT_NGAY,27)))</f>
        <v>0</v>
      </c>
      <c r="BN53" s="31" t="n">
        <f aca="false">IF(OR($B53="",AG53=""),0,IF(AND($E53="Trưởng tổ",AG53="x"),SUMIFS(KT_TRUONG,KT_LOAI,"Tổ",KT_TO,$D53,KT_NGAY,28),SUMIFS(KT_PHAN,KT_LOAI,"Tổ",KT_TO,IF(AG53="x",$D53,AG53),KT_NGAY,28)))</f>
        <v>0</v>
      </c>
      <c r="BO53" s="31" t="n">
        <f aca="false">IF(OR($B53="",AH53=""),0,IF(AND($E53="Trưởng tổ",AH53="x"),SUMIFS(KT_TRUONG,KT_LOAI,"Tổ",KT_TO,$D53,KT_NGAY,29),SUMIFS(KT_PHAN,KT_LOAI,"Tổ",KT_TO,IF(AH53="x",$D53,AH53),KT_NGAY,29)))</f>
        <v>0</v>
      </c>
      <c r="BP53" s="31" t="n">
        <f aca="false">IF(OR($B53="",AI53=""),0,IF(AND($E53="Trưởng tổ",AI53="x"),SUMIFS(KT_TRUONG,KT_LOAI,"Tổ",KT_TO,$D53,KT_NGAY,30),SUMIFS(KT_PHAN,KT_LOAI,"Tổ",KT_TO,IF(AI53="x",$D53,AI53),KT_NGAY,30)))</f>
        <v>0</v>
      </c>
      <c r="BQ53" s="31" t="n">
        <f aca="false">IF(OR($B53="",AJ53=""),0,IF(AND($E53="Trưởng tổ",AJ53="x"),SUMIFS(KT_TRUONG,KT_LOAI,"Tổ",KT_TO,$D53,KT_NGAY,31),SUMIFS(KT_PHAN,KT_LOAI,"Tổ",KT_TO,IF(AJ53="x",$D53,AJ53),KT_NGAY,31)))</f>
        <v>0</v>
      </c>
    </row>
    <row r="54" customFormat="false" ht="15" hidden="false" customHeight="false" outlineLevel="0" collapsed="false">
      <c r="A54" s="17" t="n">
        <f aca="false">IF(B54="","",ROW()-5)</f>
        <v>49</v>
      </c>
      <c r="B54" s="29" t="str">
        <f aca="false">IF(OR(BCC!B54="",BCC!D54&lt;&gt;"Thời vụ HAQT"),"",BCC!B54)</f>
        <v>QT-23</v>
      </c>
      <c r="C54" s="17" t="str">
        <f aca="false">IF(B54="","",BCC!C54)</f>
        <v>Nguyễn Thị Vân</v>
      </c>
      <c r="D54" s="17" t="str">
        <f aca="false">IF(B54="","",IFERROR(INDEX(NV_TO,MATCH(B54,NV_MA,0)),""))</f>
        <v>Tổ 3</v>
      </c>
      <c r="E54" s="17" t="str">
        <f aca="false">IF(B54="","",IFERROR(INDEX(NV_VT,MATCH(B54,NV_MA,0)),""))</f>
        <v>Thành viên</v>
      </c>
      <c r="F54" s="21"/>
      <c r="G54" s="21"/>
      <c r="H54" s="21"/>
      <c r="I54" s="21"/>
      <c r="J54" s="21"/>
      <c r="K54" s="21"/>
      <c r="L54" s="21"/>
      <c r="M54" s="21"/>
      <c r="N54" s="21"/>
      <c r="O54" s="21"/>
      <c r="P54" s="21"/>
      <c r="Q54" s="21"/>
      <c r="R54" s="21"/>
      <c r="S54" s="21"/>
      <c r="T54" s="21"/>
      <c r="U54" s="21"/>
      <c r="V54" s="21"/>
      <c r="W54" s="21"/>
      <c r="X54" s="21"/>
      <c r="Y54" s="21" t="s">
        <v>309</v>
      </c>
      <c r="Z54" s="21"/>
      <c r="AA54" s="21"/>
      <c r="AB54" s="21"/>
      <c r="AC54" s="21"/>
      <c r="AD54" s="21" t="s">
        <v>309</v>
      </c>
      <c r="AE54" s="21"/>
      <c r="AF54" s="21"/>
      <c r="AG54" s="21"/>
      <c r="AH54" s="21"/>
      <c r="AI54" s="21"/>
      <c r="AJ54" s="21"/>
      <c r="AK54" s="17" t="n">
        <f aca="false">IF(B54="","",COUNTA(F54:AJ54))</f>
        <v>2</v>
      </c>
      <c r="AL54" s="30" t="n">
        <f aca="false">IF(B54="","",SUM(AM54:BQ54))</f>
        <v>865000</v>
      </c>
      <c r="AM54" s="31" t="n">
        <f aca="false">IF(OR($B54="",F54=""),0,IF(AND($E54="Trưởng tổ",F54="x"),SUMIFS(KT_TRUONG,KT_LOAI,"Tổ",KT_TO,$D54,KT_NGAY,1),SUMIFS(KT_PHAN,KT_LOAI,"Tổ",KT_TO,IF(F54="x",$D54,F54),KT_NGAY,1)))</f>
        <v>0</v>
      </c>
      <c r="AN54" s="31" t="n">
        <f aca="false">IF(OR($B54="",G54=""),0,IF(AND($E54="Trưởng tổ",G54="x"),SUMIFS(KT_TRUONG,KT_LOAI,"Tổ",KT_TO,$D54,KT_NGAY,2),SUMIFS(KT_PHAN,KT_LOAI,"Tổ",KT_TO,IF(G54="x",$D54,G54),KT_NGAY,2)))</f>
        <v>0</v>
      </c>
      <c r="AO54" s="31" t="n">
        <f aca="false">IF(OR($B54="",H54=""),0,IF(AND($E54="Trưởng tổ",H54="x"),SUMIFS(KT_TRUONG,KT_LOAI,"Tổ",KT_TO,$D54,KT_NGAY,3),SUMIFS(KT_PHAN,KT_LOAI,"Tổ",KT_TO,IF(H54="x",$D54,H54),KT_NGAY,3)))</f>
        <v>0</v>
      </c>
      <c r="AP54" s="31" t="n">
        <f aca="false">IF(OR($B54="",I54=""),0,IF(AND($E54="Trưởng tổ",I54="x"),SUMIFS(KT_TRUONG,KT_LOAI,"Tổ",KT_TO,$D54,KT_NGAY,4),SUMIFS(KT_PHAN,KT_LOAI,"Tổ",KT_TO,IF(I54="x",$D54,I54),KT_NGAY,4)))</f>
        <v>0</v>
      </c>
      <c r="AQ54" s="31" t="n">
        <f aca="false">IF(OR($B54="",J54=""),0,IF(AND($E54="Trưởng tổ",J54="x"),SUMIFS(KT_TRUONG,KT_LOAI,"Tổ",KT_TO,$D54,KT_NGAY,5),SUMIFS(KT_PHAN,KT_LOAI,"Tổ",KT_TO,IF(J54="x",$D54,J54),KT_NGAY,5)))</f>
        <v>0</v>
      </c>
      <c r="AR54" s="31" t="n">
        <f aca="false">IF(OR($B54="",K54=""),0,IF(AND($E54="Trưởng tổ",K54="x"),SUMIFS(KT_TRUONG,KT_LOAI,"Tổ",KT_TO,$D54,KT_NGAY,6),SUMIFS(KT_PHAN,KT_LOAI,"Tổ",KT_TO,IF(K54="x",$D54,K54),KT_NGAY,6)))</f>
        <v>0</v>
      </c>
      <c r="AS54" s="31" t="n">
        <f aca="false">IF(OR($B54="",L54=""),0,IF(AND($E54="Trưởng tổ",L54="x"),SUMIFS(KT_TRUONG,KT_LOAI,"Tổ",KT_TO,$D54,KT_NGAY,7),SUMIFS(KT_PHAN,KT_LOAI,"Tổ",KT_TO,IF(L54="x",$D54,L54),KT_NGAY,7)))</f>
        <v>0</v>
      </c>
      <c r="AT54" s="31" t="n">
        <f aca="false">IF(OR($B54="",M54=""),0,IF(AND($E54="Trưởng tổ",M54="x"),SUMIFS(KT_TRUONG,KT_LOAI,"Tổ",KT_TO,$D54,KT_NGAY,8),SUMIFS(KT_PHAN,KT_LOAI,"Tổ",KT_TO,IF(M54="x",$D54,M54),KT_NGAY,8)))</f>
        <v>0</v>
      </c>
      <c r="AU54" s="31" t="n">
        <f aca="false">IF(OR($B54="",N54=""),0,IF(AND($E54="Trưởng tổ",N54="x"),SUMIFS(KT_TRUONG,KT_LOAI,"Tổ",KT_TO,$D54,KT_NGAY,9),SUMIFS(KT_PHAN,KT_LOAI,"Tổ",KT_TO,IF(N54="x",$D54,N54),KT_NGAY,9)))</f>
        <v>0</v>
      </c>
      <c r="AV54" s="31" t="n">
        <f aca="false">IF(OR($B54="",O54=""),0,IF(AND($E54="Trưởng tổ",O54="x"),SUMIFS(KT_TRUONG,KT_LOAI,"Tổ",KT_TO,$D54,KT_NGAY,10),SUMIFS(KT_PHAN,KT_LOAI,"Tổ",KT_TO,IF(O54="x",$D54,O54),KT_NGAY,10)))</f>
        <v>0</v>
      </c>
      <c r="AW54" s="31" t="n">
        <f aca="false">IF(OR($B54="",P54=""),0,IF(AND($E54="Trưởng tổ",P54="x"),SUMIFS(KT_TRUONG,KT_LOAI,"Tổ",KT_TO,$D54,KT_NGAY,11),SUMIFS(KT_PHAN,KT_LOAI,"Tổ",KT_TO,IF(P54="x",$D54,P54),KT_NGAY,11)))</f>
        <v>0</v>
      </c>
      <c r="AX54" s="31" t="n">
        <f aca="false">IF(OR($B54="",Q54=""),0,IF(AND($E54="Trưởng tổ",Q54="x"),SUMIFS(KT_TRUONG,KT_LOAI,"Tổ",KT_TO,$D54,KT_NGAY,12),SUMIFS(KT_PHAN,KT_LOAI,"Tổ",KT_TO,IF(Q54="x",$D54,Q54),KT_NGAY,12)))</f>
        <v>0</v>
      </c>
      <c r="AY54" s="31" t="n">
        <f aca="false">IF(OR($B54="",R54=""),0,IF(AND($E54="Trưởng tổ",R54="x"),SUMIFS(KT_TRUONG,KT_LOAI,"Tổ",KT_TO,$D54,KT_NGAY,13),SUMIFS(KT_PHAN,KT_LOAI,"Tổ",KT_TO,IF(R54="x",$D54,R54),KT_NGAY,13)))</f>
        <v>0</v>
      </c>
      <c r="AZ54" s="31" t="n">
        <f aca="false">IF(OR($B54="",S54=""),0,IF(AND($E54="Trưởng tổ",S54="x"),SUMIFS(KT_TRUONG,KT_LOAI,"Tổ",KT_TO,$D54,KT_NGAY,14),SUMIFS(KT_PHAN,KT_LOAI,"Tổ",KT_TO,IF(S54="x",$D54,S54),KT_NGAY,14)))</f>
        <v>0</v>
      </c>
      <c r="BA54" s="31" t="n">
        <f aca="false">IF(OR($B54="",T54=""),0,IF(AND($E54="Trưởng tổ",T54="x"),SUMIFS(KT_TRUONG,KT_LOAI,"Tổ",KT_TO,$D54,KT_NGAY,15),SUMIFS(KT_PHAN,KT_LOAI,"Tổ",KT_TO,IF(T54="x",$D54,T54),KT_NGAY,15)))</f>
        <v>0</v>
      </c>
      <c r="BB54" s="31" t="n">
        <f aca="false">IF(OR($B54="",U54=""),0,IF(AND($E54="Trưởng tổ",U54="x"),SUMIFS(KT_TRUONG,KT_LOAI,"Tổ",KT_TO,$D54,KT_NGAY,16),SUMIFS(KT_PHAN,KT_LOAI,"Tổ",KT_TO,IF(U54="x",$D54,U54),KT_NGAY,16)))</f>
        <v>0</v>
      </c>
      <c r="BC54" s="31" t="n">
        <f aca="false">IF(OR($B54="",V54=""),0,IF(AND($E54="Trưởng tổ",V54="x"),SUMIFS(KT_TRUONG,KT_LOAI,"Tổ",KT_TO,$D54,KT_NGAY,17),SUMIFS(KT_PHAN,KT_LOAI,"Tổ",KT_TO,IF(V54="x",$D54,V54),KT_NGAY,17)))</f>
        <v>0</v>
      </c>
      <c r="BD54" s="31" t="n">
        <f aca="false">IF(OR($B54="",W54=""),0,IF(AND($E54="Trưởng tổ",W54="x"),SUMIFS(KT_TRUONG,KT_LOAI,"Tổ",KT_TO,$D54,KT_NGAY,18),SUMIFS(KT_PHAN,KT_LOAI,"Tổ",KT_TO,IF(W54="x",$D54,W54),KT_NGAY,18)))</f>
        <v>0</v>
      </c>
      <c r="BE54" s="31" t="n">
        <f aca="false">IF(OR($B54="",X54=""),0,IF(AND($E54="Trưởng tổ",X54="x"),SUMIFS(KT_TRUONG,KT_LOAI,"Tổ",KT_TO,$D54,KT_NGAY,19),SUMIFS(KT_PHAN,KT_LOAI,"Tổ",KT_TO,IF(X54="x",$D54,X54),KT_NGAY,19)))</f>
        <v>0</v>
      </c>
      <c r="BF54" s="31" t="n">
        <f aca="false">IF(OR($B54="",Y54=""),0,IF(AND($E54="Trưởng tổ",Y54="x"),SUMIFS(KT_TRUONG,KT_LOAI,"Tổ",KT_TO,$D54,KT_NGAY,20),SUMIFS(KT_PHAN,KT_LOAI,"Tổ",KT_TO,IF(Y54="x",$D54,Y54),KT_NGAY,20)))</f>
        <v>485000</v>
      </c>
      <c r="BG54" s="31" t="n">
        <f aca="false">IF(OR($B54="",Z54=""),0,IF(AND($E54="Trưởng tổ",Z54="x"),SUMIFS(KT_TRUONG,KT_LOAI,"Tổ",KT_TO,$D54,KT_NGAY,21),SUMIFS(KT_PHAN,KT_LOAI,"Tổ",KT_TO,IF(Z54="x",$D54,Z54),KT_NGAY,21)))</f>
        <v>0</v>
      </c>
      <c r="BH54" s="31" t="n">
        <f aca="false">IF(OR($B54="",AA54=""),0,IF(AND($E54="Trưởng tổ",AA54="x"),SUMIFS(KT_TRUONG,KT_LOAI,"Tổ",KT_TO,$D54,KT_NGAY,22),SUMIFS(KT_PHAN,KT_LOAI,"Tổ",KT_TO,IF(AA54="x",$D54,AA54),KT_NGAY,22)))</f>
        <v>0</v>
      </c>
      <c r="BI54" s="31" t="n">
        <f aca="false">IF(OR($B54="",AB54=""),0,IF(AND($E54="Trưởng tổ",AB54="x"),SUMIFS(KT_TRUONG,KT_LOAI,"Tổ",KT_TO,$D54,KT_NGAY,23),SUMIFS(KT_PHAN,KT_LOAI,"Tổ",KT_TO,IF(AB54="x",$D54,AB54),KT_NGAY,23)))</f>
        <v>0</v>
      </c>
      <c r="BJ54" s="31" t="n">
        <f aca="false">IF(OR($B54="",AC54=""),0,IF(AND($E54="Trưởng tổ",AC54="x"),SUMIFS(KT_TRUONG,KT_LOAI,"Tổ",KT_TO,$D54,KT_NGAY,24),SUMIFS(KT_PHAN,KT_LOAI,"Tổ",KT_TO,IF(AC54="x",$D54,AC54),KT_NGAY,24)))</f>
        <v>0</v>
      </c>
      <c r="BK54" s="31" t="n">
        <f aca="false">IF(OR($B54="",AD54=""),0,IF(AND($E54="Trưởng tổ",AD54="x"),SUMIFS(KT_TRUONG,KT_LOAI,"Tổ",KT_TO,$D54,KT_NGAY,25),SUMIFS(KT_PHAN,KT_LOAI,"Tổ",KT_TO,IF(AD54="x",$D54,AD54),KT_NGAY,25)))</f>
        <v>380000</v>
      </c>
      <c r="BL54" s="31" t="n">
        <f aca="false">IF(OR($B54="",AE54=""),0,IF(AND($E54="Trưởng tổ",AE54="x"),SUMIFS(KT_TRUONG,KT_LOAI,"Tổ",KT_TO,$D54,KT_NGAY,26),SUMIFS(KT_PHAN,KT_LOAI,"Tổ",KT_TO,IF(AE54="x",$D54,AE54),KT_NGAY,26)))</f>
        <v>0</v>
      </c>
      <c r="BM54" s="31" t="n">
        <f aca="false">IF(OR($B54="",AF54=""),0,IF(AND($E54="Trưởng tổ",AF54="x"),SUMIFS(KT_TRUONG,KT_LOAI,"Tổ",KT_TO,$D54,KT_NGAY,27),SUMIFS(KT_PHAN,KT_LOAI,"Tổ",KT_TO,IF(AF54="x",$D54,AF54),KT_NGAY,27)))</f>
        <v>0</v>
      </c>
      <c r="BN54" s="31" t="n">
        <f aca="false">IF(OR($B54="",AG54=""),0,IF(AND($E54="Trưởng tổ",AG54="x"),SUMIFS(KT_TRUONG,KT_LOAI,"Tổ",KT_TO,$D54,KT_NGAY,28),SUMIFS(KT_PHAN,KT_LOAI,"Tổ",KT_TO,IF(AG54="x",$D54,AG54),KT_NGAY,28)))</f>
        <v>0</v>
      </c>
      <c r="BO54" s="31" t="n">
        <f aca="false">IF(OR($B54="",AH54=""),0,IF(AND($E54="Trưởng tổ",AH54="x"),SUMIFS(KT_TRUONG,KT_LOAI,"Tổ",KT_TO,$D54,KT_NGAY,29),SUMIFS(KT_PHAN,KT_LOAI,"Tổ",KT_TO,IF(AH54="x",$D54,AH54),KT_NGAY,29)))</f>
        <v>0</v>
      </c>
      <c r="BP54" s="31" t="n">
        <f aca="false">IF(OR($B54="",AI54=""),0,IF(AND($E54="Trưởng tổ",AI54="x"),SUMIFS(KT_TRUONG,KT_LOAI,"Tổ",KT_TO,$D54,KT_NGAY,30),SUMIFS(KT_PHAN,KT_LOAI,"Tổ",KT_TO,IF(AI54="x",$D54,AI54),KT_NGAY,30)))</f>
        <v>0</v>
      </c>
      <c r="BQ54" s="31" t="n">
        <f aca="false">IF(OR($B54="",AJ54=""),0,IF(AND($E54="Trưởng tổ",AJ54="x"),SUMIFS(KT_TRUONG,KT_LOAI,"Tổ",KT_TO,$D54,KT_NGAY,31),SUMIFS(KT_PHAN,KT_LOAI,"Tổ",KT_TO,IF(AJ54="x",$D54,AJ54),KT_NGAY,31)))</f>
        <v>0</v>
      </c>
    </row>
    <row r="55" customFormat="false" ht="15" hidden="false" customHeight="false" outlineLevel="0" collapsed="false">
      <c r="A55" s="17" t="n">
        <f aca="false">IF(B55="","",ROW()-5)</f>
        <v>50</v>
      </c>
      <c r="B55" s="29" t="str">
        <f aca="false">IF(OR(BCC!B55="",BCC!D55&lt;&gt;"Thời vụ HAQT"),"",BCC!B55)</f>
        <v>QT-24</v>
      </c>
      <c r="C55" s="17" t="str">
        <f aca="false">IF(B55="","",BCC!C55)</f>
        <v>Đào Thị Lương</v>
      </c>
      <c r="D55" s="17" t="str">
        <f aca="false">IF(B55="","",IFERROR(INDEX(NV_TO,MATCH(B55,NV_MA,0)),""))</f>
        <v>Tổ 3</v>
      </c>
      <c r="E55" s="17" t="str">
        <f aca="false">IF(B55="","",IFERROR(INDEX(NV_VT,MATCH(B55,NV_MA,0)),""))</f>
        <v>Thành viên</v>
      </c>
      <c r="F55" s="21"/>
      <c r="G55" s="21"/>
      <c r="H55" s="21"/>
      <c r="I55" s="21"/>
      <c r="J55" s="21"/>
      <c r="K55" s="21"/>
      <c r="L55" s="21"/>
      <c r="M55" s="21"/>
      <c r="N55" s="21"/>
      <c r="O55" s="21"/>
      <c r="P55" s="21"/>
      <c r="Q55" s="21"/>
      <c r="R55" s="21"/>
      <c r="S55" s="21"/>
      <c r="T55" s="21"/>
      <c r="U55" s="21"/>
      <c r="V55" s="21"/>
      <c r="W55" s="21"/>
      <c r="X55" s="21"/>
      <c r="Y55" s="21" t="s">
        <v>309</v>
      </c>
      <c r="Z55" s="21"/>
      <c r="AA55" s="21"/>
      <c r="AB55" s="21"/>
      <c r="AC55" s="21"/>
      <c r="AD55" s="21"/>
      <c r="AE55" s="21"/>
      <c r="AF55" s="21"/>
      <c r="AG55" s="21"/>
      <c r="AH55" s="21"/>
      <c r="AI55" s="21"/>
      <c r="AJ55" s="21"/>
      <c r="AK55" s="17" t="n">
        <f aca="false">IF(B55="","",COUNTA(F55:AJ55))</f>
        <v>1</v>
      </c>
      <c r="AL55" s="30" t="n">
        <f aca="false">IF(B55="","",SUM(AM55:BQ55))</f>
        <v>485000</v>
      </c>
      <c r="AM55" s="31" t="n">
        <f aca="false">IF(OR($B55="",F55=""),0,IF(AND($E55="Trưởng tổ",F55="x"),SUMIFS(KT_TRUONG,KT_LOAI,"Tổ",KT_TO,$D55,KT_NGAY,1),SUMIFS(KT_PHAN,KT_LOAI,"Tổ",KT_TO,IF(F55="x",$D55,F55),KT_NGAY,1)))</f>
        <v>0</v>
      </c>
      <c r="AN55" s="31" t="n">
        <f aca="false">IF(OR($B55="",G55=""),0,IF(AND($E55="Trưởng tổ",G55="x"),SUMIFS(KT_TRUONG,KT_LOAI,"Tổ",KT_TO,$D55,KT_NGAY,2),SUMIFS(KT_PHAN,KT_LOAI,"Tổ",KT_TO,IF(G55="x",$D55,G55),KT_NGAY,2)))</f>
        <v>0</v>
      </c>
      <c r="AO55" s="31" t="n">
        <f aca="false">IF(OR($B55="",H55=""),0,IF(AND($E55="Trưởng tổ",H55="x"),SUMIFS(KT_TRUONG,KT_LOAI,"Tổ",KT_TO,$D55,KT_NGAY,3),SUMIFS(KT_PHAN,KT_LOAI,"Tổ",KT_TO,IF(H55="x",$D55,H55),KT_NGAY,3)))</f>
        <v>0</v>
      </c>
      <c r="AP55" s="31" t="n">
        <f aca="false">IF(OR($B55="",I55=""),0,IF(AND($E55="Trưởng tổ",I55="x"),SUMIFS(KT_TRUONG,KT_LOAI,"Tổ",KT_TO,$D55,KT_NGAY,4),SUMIFS(KT_PHAN,KT_LOAI,"Tổ",KT_TO,IF(I55="x",$D55,I55),KT_NGAY,4)))</f>
        <v>0</v>
      </c>
      <c r="AQ55" s="31" t="n">
        <f aca="false">IF(OR($B55="",J55=""),0,IF(AND($E55="Trưởng tổ",J55="x"),SUMIFS(KT_TRUONG,KT_LOAI,"Tổ",KT_TO,$D55,KT_NGAY,5),SUMIFS(KT_PHAN,KT_LOAI,"Tổ",KT_TO,IF(J55="x",$D55,J55),KT_NGAY,5)))</f>
        <v>0</v>
      </c>
      <c r="AR55" s="31" t="n">
        <f aca="false">IF(OR($B55="",K55=""),0,IF(AND($E55="Trưởng tổ",K55="x"),SUMIFS(KT_TRUONG,KT_LOAI,"Tổ",KT_TO,$D55,KT_NGAY,6),SUMIFS(KT_PHAN,KT_LOAI,"Tổ",KT_TO,IF(K55="x",$D55,K55),KT_NGAY,6)))</f>
        <v>0</v>
      </c>
      <c r="AS55" s="31" t="n">
        <f aca="false">IF(OR($B55="",L55=""),0,IF(AND($E55="Trưởng tổ",L55="x"),SUMIFS(KT_TRUONG,KT_LOAI,"Tổ",KT_TO,$D55,KT_NGAY,7),SUMIFS(KT_PHAN,KT_LOAI,"Tổ",KT_TO,IF(L55="x",$D55,L55),KT_NGAY,7)))</f>
        <v>0</v>
      </c>
      <c r="AT55" s="31" t="n">
        <f aca="false">IF(OR($B55="",M55=""),0,IF(AND($E55="Trưởng tổ",M55="x"),SUMIFS(KT_TRUONG,KT_LOAI,"Tổ",KT_TO,$D55,KT_NGAY,8),SUMIFS(KT_PHAN,KT_LOAI,"Tổ",KT_TO,IF(M55="x",$D55,M55),KT_NGAY,8)))</f>
        <v>0</v>
      </c>
      <c r="AU55" s="31" t="n">
        <f aca="false">IF(OR($B55="",N55=""),0,IF(AND($E55="Trưởng tổ",N55="x"),SUMIFS(KT_TRUONG,KT_LOAI,"Tổ",KT_TO,$D55,KT_NGAY,9),SUMIFS(KT_PHAN,KT_LOAI,"Tổ",KT_TO,IF(N55="x",$D55,N55),KT_NGAY,9)))</f>
        <v>0</v>
      </c>
      <c r="AV55" s="31" t="n">
        <f aca="false">IF(OR($B55="",O55=""),0,IF(AND($E55="Trưởng tổ",O55="x"),SUMIFS(KT_TRUONG,KT_LOAI,"Tổ",KT_TO,$D55,KT_NGAY,10),SUMIFS(KT_PHAN,KT_LOAI,"Tổ",KT_TO,IF(O55="x",$D55,O55),KT_NGAY,10)))</f>
        <v>0</v>
      </c>
      <c r="AW55" s="31" t="n">
        <f aca="false">IF(OR($B55="",P55=""),0,IF(AND($E55="Trưởng tổ",P55="x"),SUMIFS(KT_TRUONG,KT_LOAI,"Tổ",KT_TO,$D55,KT_NGAY,11),SUMIFS(KT_PHAN,KT_LOAI,"Tổ",KT_TO,IF(P55="x",$D55,P55),KT_NGAY,11)))</f>
        <v>0</v>
      </c>
      <c r="AX55" s="31" t="n">
        <f aca="false">IF(OR($B55="",Q55=""),0,IF(AND($E55="Trưởng tổ",Q55="x"),SUMIFS(KT_TRUONG,KT_LOAI,"Tổ",KT_TO,$D55,KT_NGAY,12),SUMIFS(KT_PHAN,KT_LOAI,"Tổ",KT_TO,IF(Q55="x",$D55,Q55),KT_NGAY,12)))</f>
        <v>0</v>
      </c>
      <c r="AY55" s="31" t="n">
        <f aca="false">IF(OR($B55="",R55=""),0,IF(AND($E55="Trưởng tổ",R55="x"),SUMIFS(KT_TRUONG,KT_LOAI,"Tổ",KT_TO,$D55,KT_NGAY,13),SUMIFS(KT_PHAN,KT_LOAI,"Tổ",KT_TO,IF(R55="x",$D55,R55),KT_NGAY,13)))</f>
        <v>0</v>
      </c>
      <c r="AZ55" s="31" t="n">
        <f aca="false">IF(OR($B55="",S55=""),0,IF(AND($E55="Trưởng tổ",S55="x"),SUMIFS(KT_TRUONG,KT_LOAI,"Tổ",KT_TO,$D55,KT_NGAY,14),SUMIFS(KT_PHAN,KT_LOAI,"Tổ",KT_TO,IF(S55="x",$D55,S55),KT_NGAY,14)))</f>
        <v>0</v>
      </c>
      <c r="BA55" s="31" t="n">
        <f aca="false">IF(OR($B55="",T55=""),0,IF(AND($E55="Trưởng tổ",T55="x"),SUMIFS(KT_TRUONG,KT_LOAI,"Tổ",KT_TO,$D55,KT_NGAY,15),SUMIFS(KT_PHAN,KT_LOAI,"Tổ",KT_TO,IF(T55="x",$D55,T55),KT_NGAY,15)))</f>
        <v>0</v>
      </c>
      <c r="BB55" s="31" t="n">
        <f aca="false">IF(OR($B55="",U55=""),0,IF(AND($E55="Trưởng tổ",U55="x"),SUMIFS(KT_TRUONG,KT_LOAI,"Tổ",KT_TO,$D55,KT_NGAY,16),SUMIFS(KT_PHAN,KT_LOAI,"Tổ",KT_TO,IF(U55="x",$D55,U55),KT_NGAY,16)))</f>
        <v>0</v>
      </c>
      <c r="BC55" s="31" t="n">
        <f aca="false">IF(OR($B55="",V55=""),0,IF(AND($E55="Trưởng tổ",V55="x"),SUMIFS(KT_TRUONG,KT_LOAI,"Tổ",KT_TO,$D55,KT_NGAY,17),SUMIFS(KT_PHAN,KT_LOAI,"Tổ",KT_TO,IF(V55="x",$D55,V55),KT_NGAY,17)))</f>
        <v>0</v>
      </c>
      <c r="BD55" s="31" t="n">
        <f aca="false">IF(OR($B55="",W55=""),0,IF(AND($E55="Trưởng tổ",W55="x"),SUMIFS(KT_TRUONG,KT_LOAI,"Tổ",KT_TO,$D55,KT_NGAY,18),SUMIFS(KT_PHAN,KT_LOAI,"Tổ",KT_TO,IF(W55="x",$D55,W55),KT_NGAY,18)))</f>
        <v>0</v>
      </c>
      <c r="BE55" s="31" t="n">
        <f aca="false">IF(OR($B55="",X55=""),0,IF(AND($E55="Trưởng tổ",X55="x"),SUMIFS(KT_TRUONG,KT_LOAI,"Tổ",KT_TO,$D55,KT_NGAY,19),SUMIFS(KT_PHAN,KT_LOAI,"Tổ",KT_TO,IF(X55="x",$D55,X55),KT_NGAY,19)))</f>
        <v>0</v>
      </c>
      <c r="BF55" s="31" t="n">
        <f aca="false">IF(OR($B55="",Y55=""),0,IF(AND($E55="Trưởng tổ",Y55="x"),SUMIFS(KT_TRUONG,KT_LOAI,"Tổ",KT_TO,$D55,KT_NGAY,20),SUMIFS(KT_PHAN,KT_LOAI,"Tổ",KT_TO,IF(Y55="x",$D55,Y55),KT_NGAY,20)))</f>
        <v>485000</v>
      </c>
      <c r="BG55" s="31" t="n">
        <f aca="false">IF(OR($B55="",Z55=""),0,IF(AND($E55="Trưởng tổ",Z55="x"),SUMIFS(KT_TRUONG,KT_LOAI,"Tổ",KT_TO,$D55,KT_NGAY,21),SUMIFS(KT_PHAN,KT_LOAI,"Tổ",KT_TO,IF(Z55="x",$D55,Z55),KT_NGAY,21)))</f>
        <v>0</v>
      </c>
      <c r="BH55" s="31" t="n">
        <f aca="false">IF(OR($B55="",AA55=""),0,IF(AND($E55="Trưởng tổ",AA55="x"),SUMIFS(KT_TRUONG,KT_LOAI,"Tổ",KT_TO,$D55,KT_NGAY,22),SUMIFS(KT_PHAN,KT_LOAI,"Tổ",KT_TO,IF(AA55="x",$D55,AA55),KT_NGAY,22)))</f>
        <v>0</v>
      </c>
      <c r="BI55" s="31" t="n">
        <f aca="false">IF(OR($B55="",AB55=""),0,IF(AND($E55="Trưởng tổ",AB55="x"),SUMIFS(KT_TRUONG,KT_LOAI,"Tổ",KT_TO,$D55,KT_NGAY,23),SUMIFS(KT_PHAN,KT_LOAI,"Tổ",KT_TO,IF(AB55="x",$D55,AB55),KT_NGAY,23)))</f>
        <v>0</v>
      </c>
      <c r="BJ55" s="31" t="n">
        <f aca="false">IF(OR($B55="",AC55=""),0,IF(AND($E55="Trưởng tổ",AC55="x"),SUMIFS(KT_TRUONG,KT_LOAI,"Tổ",KT_TO,$D55,KT_NGAY,24),SUMIFS(KT_PHAN,KT_LOAI,"Tổ",KT_TO,IF(AC55="x",$D55,AC55),KT_NGAY,24)))</f>
        <v>0</v>
      </c>
      <c r="BK55" s="31" t="n">
        <f aca="false">IF(OR($B55="",AD55=""),0,IF(AND($E55="Trưởng tổ",AD55="x"),SUMIFS(KT_TRUONG,KT_LOAI,"Tổ",KT_TO,$D55,KT_NGAY,25),SUMIFS(KT_PHAN,KT_LOAI,"Tổ",KT_TO,IF(AD55="x",$D55,AD55),KT_NGAY,25)))</f>
        <v>0</v>
      </c>
      <c r="BL55" s="31" t="n">
        <f aca="false">IF(OR($B55="",AE55=""),0,IF(AND($E55="Trưởng tổ",AE55="x"),SUMIFS(KT_TRUONG,KT_LOAI,"Tổ",KT_TO,$D55,KT_NGAY,26),SUMIFS(KT_PHAN,KT_LOAI,"Tổ",KT_TO,IF(AE55="x",$D55,AE55),KT_NGAY,26)))</f>
        <v>0</v>
      </c>
      <c r="BM55" s="31" t="n">
        <f aca="false">IF(OR($B55="",AF55=""),0,IF(AND($E55="Trưởng tổ",AF55="x"),SUMIFS(KT_TRUONG,KT_LOAI,"Tổ",KT_TO,$D55,KT_NGAY,27),SUMIFS(KT_PHAN,KT_LOAI,"Tổ",KT_TO,IF(AF55="x",$D55,AF55),KT_NGAY,27)))</f>
        <v>0</v>
      </c>
      <c r="BN55" s="31" t="n">
        <f aca="false">IF(OR($B55="",AG55=""),0,IF(AND($E55="Trưởng tổ",AG55="x"),SUMIFS(KT_TRUONG,KT_LOAI,"Tổ",KT_TO,$D55,KT_NGAY,28),SUMIFS(KT_PHAN,KT_LOAI,"Tổ",KT_TO,IF(AG55="x",$D55,AG55),KT_NGAY,28)))</f>
        <v>0</v>
      </c>
      <c r="BO55" s="31" t="n">
        <f aca="false">IF(OR($B55="",AH55=""),0,IF(AND($E55="Trưởng tổ",AH55="x"),SUMIFS(KT_TRUONG,KT_LOAI,"Tổ",KT_TO,$D55,KT_NGAY,29),SUMIFS(KT_PHAN,KT_LOAI,"Tổ",KT_TO,IF(AH55="x",$D55,AH55),KT_NGAY,29)))</f>
        <v>0</v>
      </c>
      <c r="BP55" s="31" t="n">
        <f aca="false">IF(OR($B55="",AI55=""),0,IF(AND($E55="Trưởng tổ",AI55="x"),SUMIFS(KT_TRUONG,KT_LOAI,"Tổ",KT_TO,$D55,KT_NGAY,30),SUMIFS(KT_PHAN,KT_LOAI,"Tổ",KT_TO,IF(AI55="x",$D55,AI55),KT_NGAY,30)))</f>
        <v>0</v>
      </c>
      <c r="BQ55" s="31" t="n">
        <f aca="false">IF(OR($B55="",AJ55=""),0,IF(AND($E55="Trưởng tổ",AJ55="x"),SUMIFS(KT_TRUONG,KT_LOAI,"Tổ",KT_TO,$D55,KT_NGAY,31),SUMIFS(KT_PHAN,KT_LOAI,"Tổ",KT_TO,IF(AJ55="x",$D55,AJ55),KT_NGAY,31)))</f>
        <v>0</v>
      </c>
    </row>
    <row r="56" customFormat="false" ht="15" hidden="false" customHeight="false" outlineLevel="0" collapsed="false">
      <c r="A56" s="17" t="n">
        <f aca="false">IF(B56="","",ROW()-5)</f>
        <v>51</v>
      </c>
      <c r="B56" s="29" t="str">
        <f aca="false">IF(OR(BCC!B56="",BCC!D56&lt;&gt;"Thời vụ HAQT"),"",BCC!B56)</f>
        <v>QT-25</v>
      </c>
      <c r="C56" s="17" t="str">
        <f aca="false">IF(B56="","",BCC!C56)</f>
        <v>Trần Thị Anh</v>
      </c>
      <c r="D56" s="17" t="str">
        <f aca="false">IF(B56="","",IFERROR(INDEX(NV_TO,MATCH(B56,NV_MA,0)),""))</f>
        <v>Tổ 3</v>
      </c>
      <c r="E56" s="17" t="str">
        <f aca="false">IF(B56="","",IFERROR(INDEX(NV_VT,MATCH(B56,NV_MA,0)),""))</f>
        <v>Thành viên</v>
      </c>
      <c r="F56" s="21"/>
      <c r="G56" s="21"/>
      <c r="H56" s="21"/>
      <c r="I56" s="21"/>
      <c r="J56" s="21"/>
      <c r="K56" s="21"/>
      <c r="L56" s="21"/>
      <c r="M56" s="21"/>
      <c r="N56" s="21"/>
      <c r="O56" s="21"/>
      <c r="P56" s="21"/>
      <c r="Q56" s="21"/>
      <c r="R56" s="21"/>
      <c r="S56" s="21"/>
      <c r="T56" s="21"/>
      <c r="U56" s="21"/>
      <c r="V56" s="21"/>
      <c r="W56" s="21"/>
      <c r="X56" s="21"/>
      <c r="Y56" s="21" t="s">
        <v>309</v>
      </c>
      <c r="Z56" s="21"/>
      <c r="AA56" s="21"/>
      <c r="AB56" s="21"/>
      <c r="AC56" s="21"/>
      <c r="AD56" s="21" t="s">
        <v>309</v>
      </c>
      <c r="AE56" s="21"/>
      <c r="AF56" s="21"/>
      <c r="AG56" s="21"/>
      <c r="AH56" s="21"/>
      <c r="AI56" s="21"/>
      <c r="AJ56" s="21"/>
      <c r="AK56" s="17" t="n">
        <f aca="false">IF(B56="","",COUNTA(F56:AJ56))</f>
        <v>2</v>
      </c>
      <c r="AL56" s="30" t="n">
        <f aca="false">IF(B56="","",SUM(AM56:BQ56))</f>
        <v>865000</v>
      </c>
      <c r="AM56" s="31" t="n">
        <f aca="false">IF(OR($B56="",F56=""),0,IF(AND($E56="Trưởng tổ",F56="x"),SUMIFS(KT_TRUONG,KT_LOAI,"Tổ",KT_TO,$D56,KT_NGAY,1),SUMIFS(KT_PHAN,KT_LOAI,"Tổ",KT_TO,IF(F56="x",$D56,F56),KT_NGAY,1)))</f>
        <v>0</v>
      </c>
      <c r="AN56" s="31" t="n">
        <f aca="false">IF(OR($B56="",G56=""),0,IF(AND($E56="Trưởng tổ",G56="x"),SUMIFS(KT_TRUONG,KT_LOAI,"Tổ",KT_TO,$D56,KT_NGAY,2),SUMIFS(KT_PHAN,KT_LOAI,"Tổ",KT_TO,IF(G56="x",$D56,G56),KT_NGAY,2)))</f>
        <v>0</v>
      </c>
      <c r="AO56" s="31" t="n">
        <f aca="false">IF(OR($B56="",H56=""),0,IF(AND($E56="Trưởng tổ",H56="x"),SUMIFS(KT_TRUONG,KT_LOAI,"Tổ",KT_TO,$D56,KT_NGAY,3),SUMIFS(KT_PHAN,KT_LOAI,"Tổ",KT_TO,IF(H56="x",$D56,H56),KT_NGAY,3)))</f>
        <v>0</v>
      </c>
      <c r="AP56" s="31" t="n">
        <f aca="false">IF(OR($B56="",I56=""),0,IF(AND($E56="Trưởng tổ",I56="x"),SUMIFS(KT_TRUONG,KT_LOAI,"Tổ",KT_TO,$D56,KT_NGAY,4),SUMIFS(KT_PHAN,KT_LOAI,"Tổ",KT_TO,IF(I56="x",$D56,I56),KT_NGAY,4)))</f>
        <v>0</v>
      </c>
      <c r="AQ56" s="31" t="n">
        <f aca="false">IF(OR($B56="",J56=""),0,IF(AND($E56="Trưởng tổ",J56="x"),SUMIFS(KT_TRUONG,KT_LOAI,"Tổ",KT_TO,$D56,KT_NGAY,5),SUMIFS(KT_PHAN,KT_LOAI,"Tổ",KT_TO,IF(J56="x",$D56,J56),KT_NGAY,5)))</f>
        <v>0</v>
      </c>
      <c r="AR56" s="31" t="n">
        <f aca="false">IF(OR($B56="",K56=""),0,IF(AND($E56="Trưởng tổ",K56="x"),SUMIFS(KT_TRUONG,KT_LOAI,"Tổ",KT_TO,$D56,KT_NGAY,6),SUMIFS(KT_PHAN,KT_LOAI,"Tổ",KT_TO,IF(K56="x",$D56,K56),KT_NGAY,6)))</f>
        <v>0</v>
      </c>
      <c r="AS56" s="31" t="n">
        <f aca="false">IF(OR($B56="",L56=""),0,IF(AND($E56="Trưởng tổ",L56="x"),SUMIFS(KT_TRUONG,KT_LOAI,"Tổ",KT_TO,$D56,KT_NGAY,7),SUMIFS(KT_PHAN,KT_LOAI,"Tổ",KT_TO,IF(L56="x",$D56,L56),KT_NGAY,7)))</f>
        <v>0</v>
      </c>
      <c r="AT56" s="31" t="n">
        <f aca="false">IF(OR($B56="",M56=""),0,IF(AND($E56="Trưởng tổ",M56="x"),SUMIFS(KT_TRUONG,KT_LOAI,"Tổ",KT_TO,$D56,KT_NGAY,8),SUMIFS(KT_PHAN,KT_LOAI,"Tổ",KT_TO,IF(M56="x",$D56,M56),KT_NGAY,8)))</f>
        <v>0</v>
      </c>
      <c r="AU56" s="31" t="n">
        <f aca="false">IF(OR($B56="",N56=""),0,IF(AND($E56="Trưởng tổ",N56="x"),SUMIFS(KT_TRUONG,KT_LOAI,"Tổ",KT_TO,$D56,KT_NGAY,9),SUMIFS(KT_PHAN,KT_LOAI,"Tổ",KT_TO,IF(N56="x",$D56,N56),KT_NGAY,9)))</f>
        <v>0</v>
      </c>
      <c r="AV56" s="31" t="n">
        <f aca="false">IF(OR($B56="",O56=""),0,IF(AND($E56="Trưởng tổ",O56="x"),SUMIFS(KT_TRUONG,KT_LOAI,"Tổ",KT_TO,$D56,KT_NGAY,10),SUMIFS(KT_PHAN,KT_LOAI,"Tổ",KT_TO,IF(O56="x",$D56,O56),KT_NGAY,10)))</f>
        <v>0</v>
      </c>
      <c r="AW56" s="31" t="n">
        <f aca="false">IF(OR($B56="",P56=""),0,IF(AND($E56="Trưởng tổ",P56="x"),SUMIFS(KT_TRUONG,KT_LOAI,"Tổ",KT_TO,$D56,KT_NGAY,11),SUMIFS(KT_PHAN,KT_LOAI,"Tổ",KT_TO,IF(P56="x",$D56,P56),KT_NGAY,11)))</f>
        <v>0</v>
      </c>
      <c r="AX56" s="31" t="n">
        <f aca="false">IF(OR($B56="",Q56=""),0,IF(AND($E56="Trưởng tổ",Q56="x"),SUMIFS(KT_TRUONG,KT_LOAI,"Tổ",KT_TO,$D56,KT_NGAY,12),SUMIFS(KT_PHAN,KT_LOAI,"Tổ",KT_TO,IF(Q56="x",$D56,Q56),KT_NGAY,12)))</f>
        <v>0</v>
      </c>
      <c r="AY56" s="31" t="n">
        <f aca="false">IF(OR($B56="",R56=""),0,IF(AND($E56="Trưởng tổ",R56="x"),SUMIFS(KT_TRUONG,KT_LOAI,"Tổ",KT_TO,$D56,KT_NGAY,13),SUMIFS(KT_PHAN,KT_LOAI,"Tổ",KT_TO,IF(R56="x",$D56,R56),KT_NGAY,13)))</f>
        <v>0</v>
      </c>
      <c r="AZ56" s="31" t="n">
        <f aca="false">IF(OR($B56="",S56=""),0,IF(AND($E56="Trưởng tổ",S56="x"),SUMIFS(KT_TRUONG,KT_LOAI,"Tổ",KT_TO,$D56,KT_NGAY,14),SUMIFS(KT_PHAN,KT_LOAI,"Tổ",KT_TO,IF(S56="x",$D56,S56),KT_NGAY,14)))</f>
        <v>0</v>
      </c>
      <c r="BA56" s="31" t="n">
        <f aca="false">IF(OR($B56="",T56=""),0,IF(AND($E56="Trưởng tổ",T56="x"),SUMIFS(KT_TRUONG,KT_LOAI,"Tổ",KT_TO,$D56,KT_NGAY,15),SUMIFS(KT_PHAN,KT_LOAI,"Tổ",KT_TO,IF(T56="x",$D56,T56),KT_NGAY,15)))</f>
        <v>0</v>
      </c>
      <c r="BB56" s="31" t="n">
        <f aca="false">IF(OR($B56="",U56=""),0,IF(AND($E56="Trưởng tổ",U56="x"),SUMIFS(KT_TRUONG,KT_LOAI,"Tổ",KT_TO,$D56,KT_NGAY,16),SUMIFS(KT_PHAN,KT_LOAI,"Tổ",KT_TO,IF(U56="x",$D56,U56),KT_NGAY,16)))</f>
        <v>0</v>
      </c>
      <c r="BC56" s="31" t="n">
        <f aca="false">IF(OR($B56="",V56=""),0,IF(AND($E56="Trưởng tổ",V56="x"),SUMIFS(KT_TRUONG,KT_LOAI,"Tổ",KT_TO,$D56,KT_NGAY,17),SUMIFS(KT_PHAN,KT_LOAI,"Tổ",KT_TO,IF(V56="x",$D56,V56),KT_NGAY,17)))</f>
        <v>0</v>
      </c>
      <c r="BD56" s="31" t="n">
        <f aca="false">IF(OR($B56="",W56=""),0,IF(AND($E56="Trưởng tổ",W56="x"),SUMIFS(KT_TRUONG,KT_LOAI,"Tổ",KT_TO,$D56,KT_NGAY,18),SUMIFS(KT_PHAN,KT_LOAI,"Tổ",KT_TO,IF(W56="x",$D56,W56),KT_NGAY,18)))</f>
        <v>0</v>
      </c>
      <c r="BE56" s="31" t="n">
        <f aca="false">IF(OR($B56="",X56=""),0,IF(AND($E56="Trưởng tổ",X56="x"),SUMIFS(KT_TRUONG,KT_LOAI,"Tổ",KT_TO,$D56,KT_NGAY,19),SUMIFS(KT_PHAN,KT_LOAI,"Tổ",KT_TO,IF(X56="x",$D56,X56),KT_NGAY,19)))</f>
        <v>0</v>
      </c>
      <c r="BF56" s="31" t="n">
        <f aca="false">IF(OR($B56="",Y56=""),0,IF(AND($E56="Trưởng tổ",Y56="x"),SUMIFS(KT_TRUONG,KT_LOAI,"Tổ",KT_TO,$D56,KT_NGAY,20),SUMIFS(KT_PHAN,KT_LOAI,"Tổ",KT_TO,IF(Y56="x",$D56,Y56),KT_NGAY,20)))</f>
        <v>485000</v>
      </c>
      <c r="BG56" s="31" t="n">
        <f aca="false">IF(OR($B56="",Z56=""),0,IF(AND($E56="Trưởng tổ",Z56="x"),SUMIFS(KT_TRUONG,KT_LOAI,"Tổ",KT_TO,$D56,KT_NGAY,21),SUMIFS(KT_PHAN,KT_LOAI,"Tổ",KT_TO,IF(Z56="x",$D56,Z56),KT_NGAY,21)))</f>
        <v>0</v>
      </c>
      <c r="BH56" s="31" t="n">
        <f aca="false">IF(OR($B56="",AA56=""),0,IF(AND($E56="Trưởng tổ",AA56="x"),SUMIFS(KT_TRUONG,KT_LOAI,"Tổ",KT_TO,$D56,KT_NGAY,22),SUMIFS(KT_PHAN,KT_LOAI,"Tổ",KT_TO,IF(AA56="x",$D56,AA56),KT_NGAY,22)))</f>
        <v>0</v>
      </c>
      <c r="BI56" s="31" t="n">
        <f aca="false">IF(OR($B56="",AB56=""),0,IF(AND($E56="Trưởng tổ",AB56="x"),SUMIFS(KT_TRUONG,KT_LOAI,"Tổ",KT_TO,$D56,KT_NGAY,23),SUMIFS(KT_PHAN,KT_LOAI,"Tổ",KT_TO,IF(AB56="x",$D56,AB56),KT_NGAY,23)))</f>
        <v>0</v>
      </c>
      <c r="BJ56" s="31" t="n">
        <f aca="false">IF(OR($B56="",AC56=""),0,IF(AND($E56="Trưởng tổ",AC56="x"),SUMIFS(KT_TRUONG,KT_LOAI,"Tổ",KT_TO,$D56,KT_NGAY,24),SUMIFS(KT_PHAN,KT_LOAI,"Tổ",KT_TO,IF(AC56="x",$D56,AC56),KT_NGAY,24)))</f>
        <v>0</v>
      </c>
      <c r="BK56" s="31" t="n">
        <f aca="false">IF(OR($B56="",AD56=""),0,IF(AND($E56="Trưởng tổ",AD56="x"),SUMIFS(KT_TRUONG,KT_LOAI,"Tổ",KT_TO,$D56,KT_NGAY,25),SUMIFS(KT_PHAN,KT_LOAI,"Tổ",KT_TO,IF(AD56="x",$D56,AD56),KT_NGAY,25)))</f>
        <v>380000</v>
      </c>
      <c r="BL56" s="31" t="n">
        <f aca="false">IF(OR($B56="",AE56=""),0,IF(AND($E56="Trưởng tổ",AE56="x"),SUMIFS(KT_TRUONG,KT_LOAI,"Tổ",KT_TO,$D56,KT_NGAY,26),SUMIFS(KT_PHAN,KT_LOAI,"Tổ",KT_TO,IF(AE56="x",$D56,AE56),KT_NGAY,26)))</f>
        <v>0</v>
      </c>
      <c r="BM56" s="31" t="n">
        <f aca="false">IF(OR($B56="",AF56=""),0,IF(AND($E56="Trưởng tổ",AF56="x"),SUMIFS(KT_TRUONG,KT_LOAI,"Tổ",KT_TO,$D56,KT_NGAY,27),SUMIFS(KT_PHAN,KT_LOAI,"Tổ",KT_TO,IF(AF56="x",$D56,AF56),KT_NGAY,27)))</f>
        <v>0</v>
      </c>
      <c r="BN56" s="31" t="n">
        <f aca="false">IF(OR($B56="",AG56=""),0,IF(AND($E56="Trưởng tổ",AG56="x"),SUMIFS(KT_TRUONG,KT_LOAI,"Tổ",KT_TO,$D56,KT_NGAY,28),SUMIFS(KT_PHAN,KT_LOAI,"Tổ",KT_TO,IF(AG56="x",$D56,AG56),KT_NGAY,28)))</f>
        <v>0</v>
      </c>
      <c r="BO56" s="31" t="n">
        <f aca="false">IF(OR($B56="",AH56=""),0,IF(AND($E56="Trưởng tổ",AH56="x"),SUMIFS(KT_TRUONG,KT_LOAI,"Tổ",KT_TO,$D56,KT_NGAY,29),SUMIFS(KT_PHAN,KT_LOAI,"Tổ",KT_TO,IF(AH56="x",$D56,AH56),KT_NGAY,29)))</f>
        <v>0</v>
      </c>
      <c r="BP56" s="31" t="n">
        <f aca="false">IF(OR($B56="",AI56=""),0,IF(AND($E56="Trưởng tổ",AI56="x"),SUMIFS(KT_TRUONG,KT_LOAI,"Tổ",KT_TO,$D56,KT_NGAY,30),SUMIFS(KT_PHAN,KT_LOAI,"Tổ",KT_TO,IF(AI56="x",$D56,AI56),KT_NGAY,30)))</f>
        <v>0</v>
      </c>
      <c r="BQ56" s="31" t="n">
        <f aca="false">IF(OR($B56="",AJ56=""),0,IF(AND($E56="Trưởng tổ",AJ56="x"),SUMIFS(KT_TRUONG,KT_LOAI,"Tổ",KT_TO,$D56,KT_NGAY,31),SUMIFS(KT_PHAN,KT_LOAI,"Tổ",KT_TO,IF(AJ56="x",$D56,AJ56),KT_NGAY,31)))</f>
        <v>0</v>
      </c>
    </row>
    <row r="57" customFormat="false" ht="15" hidden="false" customHeight="false" outlineLevel="0" collapsed="false">
      <c r="A57" s="17" t="n">
        <f aca="false">IF(B57="","",ROW()-5)</f>
        <v>52</v>
      </c>
      <c r="B57" s="29" t="str">
        <f aca="false">IF(OR(BCC!B57="",BCC!D57&lt;&gt;"Thời vụ HAQT"),"",BCC!B57)</f>
        <v>QT-26</v>
      </c>
      <c r="C57" s="17" t="str">
        <f aca="false">IF(B57="","",BCC!C57)</f>
        <v>Nguyễn Thị Kim Duyên</v>
      </c>
      <c r="D57" s="17" t="str">
        <f aca="false">IF(B57="","",IFERROR(INDEX(NV_TO,MATCH(B57,NV_MA,0)),""))</f>
        <v>Tổ 3</v>
      </c>
      <c r="E57" s="17" t="str">
        <f aca="false">IF(B57="","",IFERROR(INDEX(NV_VT,MATCH(B57,NV_MA,0)),""))</f>
        <v>Thành viên</v>
      </c>
      <c r="F57" s="21"/>
      <c r="G57" s="21"/>
      <c r="H57" s="21"/>
      <c r="I57" s="21"/>
      <c r="J57" s="21"/>
      <c r="K57" s="21"/>
      <c r="L57" s="21"/>
      <c r="M57" s="21"/>
      <c r="N57" s="21"/>
      <c r="O57" s="21"/>
      <c r="P57" s="21"/>
      <c r="Q57" s="21"/>
      <c r="R57" s="21"/>
      <c r="S57" s="21"/>
      <c r="T57" s="21"/>
      <c r="U57" s="21"/>
      <c r="V57" s="21"/>
      <c r="W57" s="21"/>
      <c r="X57" s="21"/>
      <c r="Y57" s="21" t="s">
        <v>309</v>
      </c>
      <c r="Z57" s="21"/>
      <c r="AA57" s="21"/>
      <c r="AB57" s="21"/>
      <c r="AC57" s="21"/>
      <c r="AD57" s="21"/>
      <c r="AE57" s="21"/>
      <c r="AF57" s="21"/>
      <c r="AG57" s="21"/>
      <c r="AH57" s="21"/>
      <c r="AI57" s="21"/>
      <c r="AJ57" s="21"/>
      <c r="AK57" s="17" t="n">
        <f aca="false">IF(B57="","",COUNTA(F57:AJ57))</f>
        <v>1</v>
      </c>
      <c r="AL57" s="30" t="n">
        <f aca="false">IF(B57="","",SUM(AM57:BQ57))</f>
        <v>485000</v>
      </c>
      <c r="AM57" s="31" t="n">
        <f aca="false">IF(OR($B57="",F57=""),0,IF(AND($E57="Trưởng tổ",F57="x"),SUMIFS(KT_TRUONG,KT_LOAI,"Tổ",KT_TO,$D57,KT_NGAY,1),SUMIFS(KT_PHAN,KT_LOAI,"Tổ",KT_TO,IF(F57="x",$D57,F57),KT_NGAY,1)))</f>
        <v>0</v>
      </c>
      <c r="AN57" s="31" t="n">
        <f aca="false">IF(OR($B57="",G57=""),0,IF(AND($E57="Trưởng tổ",G57="x"),SUMIFS(KT_TRUONG,KT_LOAI,"Tổ",KT_TO,$D57,KT_NGAY,2),SUMIFS(KT_PHAN,KT_LOAI,"Tổ",KT_TO,IF(G57="x",$D57,G57),KT_NGAY,2)))</f>
        <v>0</v>
      </c>
      <c r="AO57" s="31" t="n">
        <f aca="false">IF(OR($B57="",H57=""),0,IF(AND($E57="Trưởng tổ",H57="x"),SUMIFS(KT_TRUONG,KT_LOAI,"Tổ",KT_TO,$D57,KT_NGAY,3),SUMIFS(KT_PHAN,KT_LOAI,"Tổ",KT_TO,IF(H57="x",$D57,H57),KT_NGAY,3)))</f>
        <v>0</v>
      </c>
      <c r="AP57" s="31" t="n">
        <f aca="false">IF(OR($B57="",I57=""),0,IF(AND($E57="Trưởng tổ",I57="x"),SUMIFS(KT_TRUONG,KT_LOAI,"Tổ",KT_TO,$D57,KT_NGAY,4),SUMIFS(KT_PHAN,KT_LOAI,"Tổ",KT_TO,IF(I57="x",$D57,I57),KT_NGAY,4)))</f>
        <v>0</v>
      </c>
      <c r="AQ57" s="31" t="n">
        <f aca="false">IF(OR($B57="",J57=""),0,IF(AND($E57="Trưởng tổ",J57="x"),SUMIFS(KT_TRUONG,KT_LOAI,"Tổ",KT_TO,$D57,KT_NGAY,5),SUMIFS(KT_PHAN,KT_LOAI,"Tổ",KT_TO,IF(J57="x",$D57,J57),KT_NGAY,5)))</f>
        <v>0</v>
      </c>
      <c r="AR57" s="31" t="n">
        <f aca="false">IF(OR($B57="",K57=""),0,IF(AND($E57="Trưởng tổ",K57="x"),SUMIFS(KT_TRUONG,KT_LOAI,"Tổ",KT_TO,$D57,KT_NGAY,6),SUMIFS(KT_PHAN,KT_LOAI,"Tổ",KT_TO,IF(K57="x",$D57,K57),KT_NGAY,6)))</f>
        <v>0</v>
      </c>
      <c r="AS57" s="31" t="n">
        <f aca="false">IF(OR($B57="",L57=""),0,IF(AND($E57="Trưởng tổ",L57="x"),SUMIFS(KT_TRUONG,KT_LOAI,"Tổ",KT_TO,$D57,KT_NGAY,7),SUMIFS(KT_PHAN,KT_LOAI,"Tổ",KT_TO,IF(L57="x",$D57,L57),KT_NGAY,7)))</f>
        <v>0</v>
      </c>
      <c r="AT57" s="31" t="n">
        <f aca="false">IF(OR($B57="",M57=""),0,IF(AND($E57="Trưởng tổ",M57="x"),SUMIFS(KT_TRUONG,KT_LOAI,"Tổ",KT_TO,$D57,KT_NGAY,8),SUMIFS(KT_PHAN,KT_LOAI,"Tổ",KT_TO,IF(M57="x",$D57,M57),KT_NGAY,8)))</f>
        <v>0</v>
      </c>
      <c r="AU57" s="31" t="n">
        <f aca="false">IF(OR($B57="",N57=""),0,IF(AND($E57="Trưởng tổ",N57="x"),SUMIFS(KT_TRUONG,KT_LOAI,"Tổ",KT_TO,$D57,KT_NGAY,9),SUMIFS(KT_PHAN,KT_LOAI,"Tổ",KT_TO,IF(N57="x",$D57,N57),KT_NGAY,9)))</f>
        <v>0</v>
      </c>
      <c r="AV57" s="31" t="n">
        <f aca="false">IF(OR($B57="",O57=""),0,IF(AND($E57="Trưởng tổ",O57="x"),SUMIFS(KT_TRUONG,KT_LOAI,"Tổ",KT_TO,$D57,KT_NGAY,10),SUMIFS(KT_PHAN,KT_LOAI,"Tổ",KT_TO,IF(O57="x",$D57,O57),KT_NGAY,10)))</f>
        <v>0</v>
      </c>
      <c r="AW57" s="31" t="n">
        <f aca="false">IF(OR($B57="",P57=""),0,IF(AND($E57="Trưởng tổ",P57="x"),SUMIFS(KT_TRUONG,KT_LOAI,"Tổ",KT_TO,$D57,KT_NGAY,11),SUMIFS(KT_PHAN,KT_LOAI,"Tổ",KT_TO,IF(P57="x",$D57,P57),KT_NGAY,11)))</f>
        <v>0</v>
      </c>
      <c r="AX57" s="31" t="n">
        <f aca="false">IF(OR($B57="",Q57=""),0,IF(AND($E57="Trưởng tổ",Q57="x"),SUMIFS(KT_TRUONG,KT_LOAI,"Tổ",KT_TO,$D57,KT_NGAY,12),SUMIFS(KT_PHAN,KT_LOAI,"Tổ",KT_TO,IF(Q57="x",$D57,Q57),KT_NGAY,12)))</f>
        <v>0</v>
      </c>
      <c r="AY57" s="31" t="n">
        <f aca="false">IF(OR($B57="",R57=""),0,IF(AND($E57="Trưởng tổ",R57="x"),SUMIFS(KT_TRUONG,KT_LOAI,"Tổ",KT_TO,$D57,KT_NGAY,13),SUMIFS(KT_PHAN,KT_LOAI,"Tổ",KT_TO,IF(R57="x",$D57,R57),KT_NGAY,13)))</f>
        <v>0</v>
      </c>
      <c r="AZ57" s="31" t="n">
        <f aca="false">IF(OR($B57="",S57=""),0,IF(AND($E57="Trưởng tổ",S57="x"),SUMIFS(KT_TRUONG,KT_LOAI,"Tổ",KT_TO,$D57,KT_NGAY,14),SUMIFS(KT_PHAN,KT_LOAI,"Tổ",KT_TO,IF(S57="x",$D57,S57),KT_NGAY,14)))</f>
        <v>0</v>
      </c>
      <c r="BA57" s="31" t="n">
        <f aca="false">IF(OR($B57="",T57=""),0,IF(AND($E57="Trưởng tổ",T57="x"),SUMIFS(KT_TRUONG,KT_LOAI,"Tổ",KT_TO,$D57,KT_NGAY,15),SUMIFS(KT_PHAN,KT_LOAI,"Tổ",KT_TO,IF(T57="x",$D57,T57),KT_NGAY,15)))</f>
        <v>0</v>
      </c>
      <c r="BB57" s="31" t="n">
        <f aca="false">IF(OR($B57="",U57=""),0,IF(AND($E57="Trưởng tổ",U57="x"),SUMIFS(KT_TRUONG,KT_LOAI,"Tổ",KT_TO,$D57,KT_NGAY,16),SUMIFS(KT_PHAN,KT_LOAI,"Tổ",KT_TO,IF(U57="x",$D57,U57),KT_NGAY,16)))</f>
        <v>0</v>
      </c>
      <c r="BC57" s="31" t="n">
        <f aca="false">IF(OR($B57="",V57=""),0,IF(AND($E57="Trưởng tổ",V57="x"),SUMIFS(KT_TRUONG,KT_LOAI,"Tổ",KT_TO,$D57,KT_NGAY,17),SUMIFS(KT_PHAN,KT_LOAI,"Tổ",KT_TO,IF(V57="x",$D57,V57),KT_NGAY,17)))</f>
        <v>0</v>
      </c>
      <c r="BD57" s="31" t="n">
        <f aca="false">IF(OR($B57="",W57=""),0,IF(AND($E57="Trưởng tổ",W57="x"),SUMIFS(KT_TRUONG,KT_LOAI,"Tổ",KT_TO,$D57,KT_NGAY,18),SUMIFS(KT_PHAN,KT_LOAI,"Tổ",KT_TO,IF(W57="x",$D57,W57),KT_NGAY,18)))</f>
        <v>0</v>
      </c>
      <c r="BE57" s="31" t="n">
        <f aca="false">IF(OR($B57="",X57=""),0,IF(AND($E57="Trưởng tổ",X57="x"),SUMIFS(KT_TRUONG,KT_LOAI,"Tổ",KT_TO,$D57,KT_NGAY,19),SUMIFS(KT_PHAN,KT_LOAI,"Tổ",KT_TO,IF(X57="x",$D57,X57),KT_NGAY,19)))</f>
        <v>0</v>
      </c>
      <c r="BF57" s="31" t="n">
        <f aca="false">IF(OR($B57="",Y57=""),0,IF(AND($E57="Trưởng tổ",Y57="x"),SUMIFS(KT_TRUONG,KT_LOAI,"Tổ",KT_TO,$D57,KT_NGAY,20),SUMIFS(KT_PHAN,KT_LOAI,"Tổ",KT_TO,IF(Y57="x",$D57,Y57),KT_NGAY,20)))</f>
        <v>485000</v>
      </c>
      <c r="BG57" s="31" t="n">
        <f aca="false">IF(OR($B57="",Z57=""),0,IF(AND($E57="Trưởng tổ",Z57="x"),SUMIFS(KT_TRUONG,KT_LOAI,"Tổ",KT_TO,$D57,KT_NGAY,21),SUMIFS(KT_PHAN,KT_LOAI,"Tổ",KT_TO,IF(Z57="x",$D57,Z57),KT_NGAY,21)))</f>
        <v>0</v>
      </c>
      <c r="BH57" s="31" t="n">
        <f aca="false">IF(OR($B57="",AA57=""),0,IF(AND($E57="Trưởng tổ",AA57="x"),SUMIFS(KT_TRUONG,KT_LOAI,"Tổ",KT_TO,$D57,KT_NGAY,22),SUMIFS(KT_PHAN,KT_LOAI,"Tổ",KT_TO,IF(AA57="x",$D57,AA57),KT_NGAY,22)))</f>
        <v>0</v>
      </c>
      <c r="BI57" s="31" t="n">
        <f aca="false">IF(OR($B57="",AB57=""),0,IF(AND($E57="Trưởng tổ",AB57="x"),SUMIFS(KT_TRUONG,KT_LOAI,"Tổ",KT_TO,$D57,KT_NGAY,23),SUMIFS(KT_PHAN,KT_LOAI,"Tổ",KT_TO,IF(AB57="x",$D57,AB57),KT_NGAY,23)))</f>
        <v>0</v>
      </c>
      <c r="BJ57" s="31" t="n">
        <f aca="false">IF(OR($B57="",AC57=""),0,IF(AND($E57="Trưởng tổ",AC57="x"),SUMIFS(KT_TRUONG,KT_LOAI,"Tổ",KT_TO,$D57,KT_NGAY,24),SUMIFS(KT_PHAN,KT_LOAI,"Tổ",KT_TO,IF(AC57="x",$D57,AC57),KT_NGAY,24)))</f>
        <v>0</v>
      </c>
      <c r="BK57" s="31" t="n">
        <f aca="false">IF(OR($B57="",AD57=""),0,IF(AND($E57="Trưởng tổ",AD57="x"),SUMIFS(KT_TRUONG,KT_LOAI,"Tổ",KT_TO,$D57,KT_NGAY,25),SUMIFS(KT_PHAN,KT_LOAI,"Tổ",KT_TO,IF(AD57="x",$D57,AD57),KT_NGAY,25)))</f>
        <v>0</v>
      </c>
      <c r="BL57" s="31" t="n">
        <f aca="false">IF(OR($B57="",AE57=""),0,IF(AND($E57="Trưởng tổ",AE57="x"),SUMIFS(KT_TRUONG,KT_LOAI,"Tổ",KT_TO,$D57,KT_NGAY,26),SUMIFS(KT_PHAN,KT_LOAI,"Tổ",KT_TO,IF(AE57="x",$D57,AE57),KT_NGAY,26)))</f>
        <v>0</v>
      </c>
      <c r="BM57" s="31" t="n">
        <f aca="false">IF(OR($B57="",AF57=""),0,IF(AND($E57="Trưởng tổ",AF57="x"),SUMIFS(KT_TRUONG,KT_LOAI,"Tổ",KT_TO,$D57,KT_NGAY,27),SUMIFS(KT_PHAN,KT_LOAI,"Tổ",KT_TO,IF(AF57="x",$D57,AF57),KT_NGAY,27)))</f>
        <v>0</v>
      </c>
      <c r="BN57" s="31" t="n">
        <f aca="false">IF(OR($B57="",AG57=""),0,IF(AND($E57="Trưởng tổ",AG57="x"),SUMIFS(KT_TRUONG,KT_LOAI,"Tổ",KT_TO,$D57,KT_NGAY,28),SUMIFS(KT_PHAN,KT_LOAI,"Tổ",KT_TO,IF(AG57="x",$D57,AG57),KT_NGAY,28)))</f>
        <v>0</v>
      </c>
      <c r="BO57" s="31" t="n">
        <f aca="false">IF(OR($B57="",AH57=""),0,IF(AND($E57="Trưởng tổ",AH57="x"),SUMIFS(KT_TRUONG,KT_LOAI,"Tổ",KT_TO,$D57,KT_NGAY,29),SUMIFS(KT_PHAN,KT_LOAI,"Tổ",KT_TO,IF(AH57="x",$D57,AH57),KT_NGAY,29)))</f>
        <v>0</v>
      </c>
      <c r="BP57" s="31" t="n">
        <f aca="false">IF(OR($B57="",AI57=""),0,IF(AND($E57="Trưởng tổ",AI57="x"),SUMIFS(KT_TRUONG,KT_LOAI,"Tổ",KT_TO,$D57,KT_NGAY,30),SUMIFS(KT_PHAN,KT_LOAI,"Tổ",KT_TO,IF(AI57="x",$D57,AI57),KT_NGAY,30)))</f>
        <v>0</v>
      </c>
      <c r="BQ57" s="31" t="n">
        <f aca="false">IF(OR($B57="",AJ57=""),0,IF(AND($E57="Trưởng tổ",AJ57="x"),SUMIFS(KT_TRUONG,KT_LOAI,"Tổ",KT_TO,$D57,KT_NGAY,31),SUMIFS(KT_PHAN,KT_LOAI,"Tổ",KT_TO,IF(AJ57="x",$D57,AJ57),KT_NGAY,31)))</f>
        <v>0</v>
      </c>
    </row>
    <row r="58" customFormat="false" ht="15" hidden="false" customHeight="false" outlineLevel="0" collapsed="false">
      <c r="A58" s="17" t="n">
        <f aca="false">IF(B58="","",ROW()-5)</f>
        <v>53</v>
      </c>
      <c r="B58" s="29" t="str">
        <f aca="false">IF(OR(BCC!B58="",BCC!D58&lt;&gt;"Thời vụ HAQT"),"",BCC!B58)</f>
        <v>QT-27</v>
      </c>
      <c r="C58" s="17" t="str">
        <f aca="false">IF(B58="","",BCC!C58)</f>
        <v>Trần Thị Gái</v>
      </c>
      <c r="D58" s="17" t="str">
        <f aca="false">IF(B58="","",IFERROR(INDEX(NV_TO,MATCH(B58,NV_MA,0)),""))</f>
        <v>Tổ 3</v>
      </c>
      <c r="E58" s="17" t="str">
        <f aca="false">IF(B58="","",IFERROR(INDEX(NV_VT,MATCH(B58,NV_MA,0)),""))</f>
        <v>Thành viên</v>
      </c>
      <c r="F58" s="21"/>
      <c r="G58" s="21"/>
      <c r="H58" s="21"/>
      <c r="I58" s="21"/>
      <c r="J58" s="21"/>
      <c r="K58" s="21"/>
      <c r="L58" s="21"/>
      <c r="M58" s="21"/>
      <c r="N58" s="21"/>
      <c r="O58" s="21"/>
      <c r="P58" s="21"/>
      <c r="Q58" s="21"/>
      <c r="R58" s="21"/>
      <c r="S58" s="21"/>
      <c r="T58" s="21"/>
      <c r="U58" s="21"/>
      <c r="V58" s="21"/>
      <c r="W58" s="21"/>
      <c r="X58" s="21"/>
      <c r="Y58" s="21" t="s">
        <v>309</v>
      </c>
      <c r="Z58" s="21"/>
      <c r="AA58" s="21"/>
      <c r="AB58" s="21"/>
      <c r="AC58" s="21"/>
      <c r="AD58" s="21" t="s">
        <v>309</v>
      </c>
      <c r="AE58" s="21"/>
      <c r="AF58" s="21"/>
      <c r="AG58" s="21"/>
      <c r="AH58" s="21"/>
      <c r="AI58" s="21"/>
      <c r="AJ58" s="21"/>
      <c r="AK58" s="17" t="n">
        <f aca="false">IF(B58="","",COUNTA(F58:AJ58))</f>
        <v>2</v>
      </c>
      <c r="AL58" s="30" t="n">
        <f aca="false">IF(B58="","",SUM(AM58:BQ58))</f>
        <v>865000</v>
      </c>
      <c r="AM58" s="31" t="n">
        <f aca="false">IF(OR($B58="",F58=""),0,IF(AND($E58="Trưởng tổ",F58="x"),SUMIFS(KT_TRUONG,KT_LOAI,"Tổ",KT_TO,$D58,KT_NGAY,1),SUMIFS(KT_PHAN,KT_LOAI,"Tổ",KT_TO,IF(F58="x",$D58,F58),KT_NGAY,1)))</f>
        <v>0</v>
      </c>
      <c r="AN58" s="31" t="n">
        <f aca="false">IF(OR($B58="",G58=""),0,IF(AND($E58="Trưởng tổ",G58="x"),SUMIFS(KT_TRUONG,KT_LOAI,"Tổ",KT_TO,$D58,KT_NGAY,2),SUMIFS(KT_PHAN,KT_LOAI,"Tổ",KT_TO,IF(G58="x",$D58,G58),KT_NGAY,2)))</f>
        <v>0</v>
      </c>
      <c r="AO58" s="31" t="n">
        <f aca="false">IF(OR($B58="",H58=""),0,IF(AND($E58="Trưởng tổ",H58="x"),SUMIFS(KT_TRUONG,KT_LOAI,"Tổ",KT_TO,$D58,KT_NGAY,3),SUMIFS(KT_PHAN,KT_LOAI,"Tổ",KT_TO,IF(H58="x",$D58,H58),KT_NGAY,3)))</f>
        <v>0</v>
      </c>
      <c r="AP58" s="31" t="n">
        <f aca="false">IF(OR($B58="",I58=""),0,IF(AND($E58="Trưởng tổ",I58="x"),SUMIFS(KT_TRUONG,KT_LOAI,"Tổ",KT_TO,$D58,KT_NGAY,4),SUMIFS(KT_PHAN,KT_LOAI,"Tổ",KT_TO,IF(I58="x",$D58,I58),KT_NGAY,4)))</f>
        <v>0</v>
      </c>
      <c r="AQ58" s="31" t="n">
        <f aca="false">IF(OR($B58="",J58=""),0,IF(AND($E58="Trưởng tổ",J58="x"),SUMIFS(KT_TRUONG,KT_LOAI,"Tổ",KT_TO,$D58,KT_NGAY,5),SUMIFS(KT_PHAN,KT_LOAI,"Tổ",KT_TO,IF(J58="x",$D58,J58),KT_NGAY,5)))</f>
        <v>0</v>
      </c>
      <c r="AR58" s="31" t="n">
        <f aca="false">IF(OR($B58="",K58=""),0,IF(AND($E58="Trưởng tổ",K58="x"),SUMIFS(KT_TRUONG,KT_LOAI,"Tổ",KT_TO,$D58,KT_NGAY,6),SUMIFS(KT_PHAN,KT_LOAI,"Tổ",KT_TO,IF(K58="x",$D58,K58),KT_NGAY,6)))</f>
        <v>0</v>
      </c>
      <c r="AS58" s="31" t="n">
        <f aca="false">IF(OR($B58="",L58=""),0,IF(AND($E58="Trưởng tổ",L58="x"),SUMIFS(KT_TRUONG,KT_LOAI,"Tổ",KT_TO,$D58,KT_NGAY,7),SUMIFS(KT_PHAN,KT_LOAI,"Tổ",KT_TO,IF(L58="x",$D58,L58),KT_NGAY,7)))</f>
        <v>0</v>
      </c>
      <c r="AT58" s="31" t="n">
        <f aca="false">IF(OR($B58="",M58=""),0,IF(AND($E58="Trưởng tổ",M58="x"),SUMIFS(KT_TRUONG,KT_LOAI,"Tổ",KT_TO,$D58,KT_NGAY,8),SUMIFS(KT_PHAN,KT_LOAI,"Tổ",KT_TO,IF(M58="x",$D58,M58),KT_NGAY,8)))</f>
        <v>0</v>
      </c>
      <c r="AU58" s="31" t="n">
        <f aca="false">IF(OR($B58="",N58=""),0,IF(AND($E58="Trưởng tổ",N58="x"),SUMIFS(KT_TRUONG,KT_LOAI,"Tổ",KT_TO,$D58,KT_NGAY,9),SUMIFS(KT_PHAN,KT_LOAI,"Tổ",KT_TO,IF(N58="x",$D58,N58),KT_NGAY,9)))</f>
        <v>0</v>
      </c>
      <c r="AV58" s="31" t="n">
        <f aca="false">IF(OR($B58="",O58=""),0,IF(AND($E58="Trưởng tổ",O58="x"),SUMIFS(KT_TRUONG,KT_LOAI,"Tổ",KT_TO,$D58,KT_NGAY,10),SUMIFS(KT_PHAN,KT_LOAI,"Tổ",KT_TO,IF(O58="x",$D58,O58),KT_NGAY,10)))</f>
        <v>0</v>
      </c>
      <c r="AW58" s="31" t="n">
        <f aca="false">IF(OR($B58="",P58=""),0,IF(AND($E58="Trưởng tổ",P58="x"),SUMIFS(KT_TRUONG,KT_LOAI,"Tổ",KT_TO,$D58,KT_NGAY,11),SUMIFS(KT_PHAN,KT_LOAI,"Tổ",KT_TO,IF(P58="x",$D58,P58),KT_NGAY,11)))</f>
        <v>0</v>
      </c>
      <c r="AX58" s="31" t="n">
        <f aca="false">IF(OR($B58="",Q58=""),0,IF(AND($E58="Trưởng tổ",Q58="x"),SUMIFS(KT_TRUONG,KT_LOAI,"Tổ",KT_TO,$D58,KT_NGAY,12),SUMIFS(KT_PHAN,KT_LOAI,"Tổ",KT_TO,IF(Q58="x",$D58,Q58),KT_NGAY,12)))</f>
        <v>0</v>
      </c>
      <c r="AY58" s="31" t="n">
        <f aca="false">IF(OR($B58="",R58=""),0,IF(AND($E58="Trưởng tổ",R58="x"),SUMIFS(KT_TRUONG,KT_LOAI,"Tổ",KT_TO,$D58,KT_NGAY,13),SUMIFS(KT_PHAN,KT_LOAI,"Tổ",KT_TO,IF(R58="x",$D58,R58),KT_NGAY,13)))</f>
        <v>0</v>
      </c>
      <c r="AZ58" s="31" t="n">
        <f aca="false">IF(OR($B58="",S58=""),0,IF(AND($E58="Trưởng tổ",S58="x"),SUMIFS(KT_TRUONG,KT_LOAI,"Tổ",KT_TO,$D58,KT_NGAY,14),SUMIFS(KT_PHAN,KT_LOAI,"Tổ",KT_TO,IF(S58="x",$D58,S58),KT_NGAY,14)))</f>
        <v>0</v>
      </c>
      <c r="BA58" s="31" t="n">
        <f aca="false">IF(OR($B58="",T58=""),0,IF(AND($E58="Trưởng tổ",T58="x"),SUMIFS(KT_TRUONG,KT_LOAI,"Tổ",KT_TO,$D58,KT_NGAY,15),SUMIFS(KT_PHAN,KT_LOAI,"Tổ",KT_TO,IF(T58="x",$D58,T58),KT_NGAY,15)))</f>
        <v>0</v>
      </c>
      <c r="BB58" s="31" t="n">
        <f aca="false">IF(OR($B58="",U58=""),0,IF(AND($E58="Trưởng tổ",U58="x"),SUMIFS(KT_TRUONG,KT_LOAI,"Tổ",KT_TO,$D58,KT_NGAY,16),SUMIFS(KT_PHAN,KT_LOAI,"Tổ",KT_TO,IF(U58="x",$D58,U58),KT_NGAY,16)))</f>
        <v>0</v>
      </c>
      <c r="BC58" s="31" t="n">
        <f aca="false">IF(OR($B58="",V58=""),0,IF(AND($E58="Trưởng tổ",V58="x"),SUMIFS(KT_TRUONG,KT_LOAI,"Tổ",KT_TO,$D58,KT_NGAY,17),SUMIFS(KT_PHAN,KT_LOAI,"Tổ",KT_TO,IF(V58="x",$D58,V58),KT_NGAY,17)))</f>
        <v>0</v>
      </c>
      <c r="BD58" s="31" t="n">
        <f aca="false">IF(OR($B58="",W58=""),0,IF(AND($E58="Trưởng tổ",W58="x"),SUMIFS(KT_TRUONG,KT_LOAI,"Tổ",KT_TO,$D58,KT_NGAY,18),SUMIFS(KT_PHAN,KT_LOAI,"Tổ",KT_TO,IF(W58="x",$D58,W58),KT_NGAY,18)))</f>
        <v>0</v>
      </c>
      <c r="BE58" s="31" t="n">
        <f aca="false">IF(OR($B58="",X58=""),0,IF(AND($E58="Trưởng tổ",X58="x"),SUMIFS(KT_TRUONG,KT_LOAI,"Tổ",KT_TO,$D58,KT_NGAY,19),SUMIFS(KT_PHAN,KT_LOAI,"Tổ",KT_TO,IF(X58="x",$D58,X58),KT_NGAY,19)))</f>
        <v>0</v>
      </c>
      <c r="BF58" s="31" t="n">
        <f aca="false">IF(OR($B58="",Y58=""),0,IF(AND($E58="Trưởng tổ",Y58="x"),SUMIFS(KT_TRUONG,KT_LOAI,"Tổ",KT_TO,$D58,KT_NGAY,20),SUMIFS(KT_PHAN,KT_LOAI,"Tổ",KT_TO,IF(Y58="x",$D58,Y58),KT_NGAY,20)))</f>
        <v>485000</v>
      </c>
      <c r="BG58" s="31" t="n">
        <f aca="false">IF(OR($B58="",Z58=""),0,IF(AND($E58="Trưởng tổ",Z58="x"),SUMIFS(KT_TRUONG,KT_LOAI,"Tổ",KT_TO,$D58,KT_NGAY,21),SUMIFS(KT_PHAN,KT_LOAI,"Tổ",KT_TO,IF(Z58="x",$D58,Z58),KT_NGAY,21)))</f>
        <v>0</v>
      </c>
      <c r="BH58" s="31" t="n">
        <f aca="false">IF(OR($B58="",AA58=""),0,IF(AND($E58="Trưởng tổ",AA58="x"),SUMIFS(KT_TRUONG,KT_LOAI,"Tổ",KT_TO,$D58,KT_NGAY,22),SUMIFS(KT_PHAN,KT_LOAI,"Tổ",KT_TO,IF(AA58="x",$D58,AA58),KT_NGAY,22)))</f>
        <v>0</v>
      </c>
      <c r="BI58" s="31" t="n">
        <f aca="false">IF(OR($B58="",AB58=""),0,IF(AND($E58="Trưởng tổ",AB58="x"),SUMIFS(KT_TRUONG,KT_LOAI,"Tổ",KT_TO,$D58,KT_NGAY,23),SUMIFS(KT_PHAN,KT_LOAI,"Tổ",KT_TO,IF(AB58="x",$D58,AB58),KT_NGAY,23)))</f>
        <v>0</v>
      </c>
      <c r="BJ58" s="31" t="n">
        <f aca="false">IF(OR($B58="",AC58=""),0,IF(AND($E58="Trưởng tổ",AC58="x"),SUMIFS(KT_TRUONG,KT_LOAI,"Tổ",KT_TO,$D58,KT_NGAY,24),SUMIFS(KT_PHAN,KT_LOAI,"Tổ",KT_TO,IF(AC58="x",$D58,AC58),KT_NGAY,24)))</f>
        <v>0</v>
      </c>
      <c r="BK58" s="31" t="n">
        <f aca="false">IF(OR($B58="",AD58=""),0,IF(AND($E58="Trưởng tổ",AD58="x"),SUMIFS(KT_TRUONG,KT_LOAI,"Tổ",KT_TO,$D58,KT_NGAY,25),SUMIFS(KT_PHAN,KT_LOAI,"Tổ",KT_TO,IF(AD58="x",$D58,AD58),KT_NGAY,25)))</f>
        <v>380000</v>
      </c>
      <c r="BL58" s="31" t="n">
        <f aca="false">IF(OR($B58="",AE58=""),0,IF(AND($E58="Trưởng tổ",AE58="x"),SUMIFS(KT_TRUONG,KT_LOAI,"Tổ",KT_TO,$D58,KT_NGAY,26),SUMIFS(KT_PHAN,KT_LOAI,"Tổ",KT_TO,IF(AE58="x",$D58,AE58),KT_NGAY,26)))</f>
        <v>0</v>
      </c>
      <c r="BM58" s="31" t="n">
        <f aca="false">IF(OR($B58="",AF58=""),0,IF(AND($E58="Trưởng tổ",AF58="x"),SUMIFS(KT_TRUONG,KT_LOAI,"Tổ",KT_TO,$D58,KT_NGAY,27),SUMIFS(KT_PHAN,KT_LOAI,"Tổ",KT_TO,IF(AF58="x",$D58,AF58),KT_NGAY,27)))</f>
        <v>0</v>
      </c>
      <c r="BN58" s="31" t="n">
        <f aca="false">IF(OR($B58="",AG58=""),0,IF(AND($E58="Trưởng tổ",AG58="x"),SUMIFS(KT_TRUONG,KT_LOAI,"Tổ",KT_TO,$D58,KT_NGAY,28),SUMIFS(KT_PHAN,KT_LOAI,"Tổ",KT_TO,IF(AG58="x",$D58,AG58),KT_NGAY,28)))</f>
        <v>0</v>
      </c>
      <c r="BO58" s="31" t="n">
        <f aca="false">IF(OR($B58="",AH58=""),0,IF(AND($E58="Trưởng tổ",AH58="x"),SUMIFS(KT_TRUONG,KT_LOAI,"Tổ",KT_TO,$D58,KT_NGAY,29),SUMIFS(KT_PHAN,KT_LOAI,"Tổ",KT_TO,IF(AH58="x",$D58,AH58),KT_NGAY,29)))</f>
        <v>0</v>
      </c>
      <c r="BP58" s="31" t="n">
        <f aca="false">IF(OR($B58="",AI58=""),0,IF(AND($E58="Trưởng tổ",AI58="x"),SUMIFS(KT_TRUONG,KT_LOAI,"Tổ",KT_TO,$D58,KT_NGAY,30),SUMIFS(KT_PHAN,KT_LOAI,"Tổ",KT_TO,IF(AI58="x",$D58,AI58),KT_NGAY,30)))</f>
        <v>0</v>
      </c>
      <c r="BQ58" s="31" t="n">
        <f aca="false">IF(OR($B58="",AJ58=""),0,IF(AND($E58="Trưởng tổ",AJ58="x"),SUMIFS(KT_TRUONG,KT_LOAI,"Tổ",KT_TO,$D58,KT_NGAY,31),SUMIFS(KT_PHAN,KT_LOAI,"Tổ",KT_TO,IF(AJ58="x",$D58,AJ58),KT_NGAY,31)))</f>
        <v>0</v>
      </c>
    </row>
    <row r="59" customFormat="false" ht="15" hidden="false" customHeight="false" outlineLevel="0" collapsed="false">
      <c r="A59" s="17" t="n">
        <f aca="false">IF(B59="","",ROW()-5)</f>
        <v>54</v>
      </c>
      <c r="B59" s="29" t="str">
        <f aca="false">IF(OR(BCC!B59="",BCC!D59&lt;&gt;"Thời vụ HAQT"),"",BCC!B59)</f>
        <v>QT-28</v>
      </c>
      <c r="C59" s="17" t="str">
        <f aca="false">IF(B59="","",BCC!C59)</f>
        <v>Phạm Thị Thu</v>
      </c>
      <c r="D59" s="27" t="n">
        <f aca="false">IF(B59="","",IFERROR(INDEX(NV_TO,MATCH(B59,NV_MA,0)),""))</f>
        <v>0</v>
      </c>
      <c r="E59" s="17" t="n">
        <f aca="false">IF(B59="","",IFERROR(INDEX(NV_VT,MATCH(B59,NV_MA,0)),""))</f>
        <v>0</v>
      </c>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17" t="n">
        <f aca="false">IF(B59="","",COUNTA(F59:AJ59))</f>
        <v>0</v>
      </c>
      <c r="AL59" s="30" t="n">
        <f aca="false">IF(B59="","",SUM(AM59:BQ59))</f>
        <v>0</v>
      </c>
      <c r="AM59" s="31" t="n">
        <f aca="false">IF(OR($B59="",F59=""),0,IF(AND($E59="Trưởng tổ",F59="x"),SUMIFS(KT_TRUONG,KT_LOAI,"Tổ",KT_TO,$D59,KT_NGAY,1),SUMIFS(KT_PHAN,KT_LOAI,"Tổ",KT_TO,IF(F59="x",$D59,F59),KT_NGAY,1)))</f>
        <v>0</v>
      </c>
      <c r="AN59" s="31" t="n">
        <f aca="false">IF(OR($B59="",G59=""),0,IF(AND($E59="Trưởng tổ",G59="x"),SUMIFS(KT_TRUONG,KT_LOAI,"Tổ",KT_TO,$D59,KT_NGAY,2),SUMIFS(KT_PHAN,KT_LOAI,"Tổ",KT_TO,IF(G59="x",$D59,G59),KT_NGAY,2)))</f>
        <v>0</v>
      </c>
      <c r="AO59" s="31" t="n">
        <f aca="false">IF(OR($B59="",H59=""),0,IF(AND($E59="Trưởng tổ",H59="x"),SUMIFS(KT_TRUONG,KT_LOAI,"Tổ",KT_TO,$D59,KT_NGAY,3),SUMIFS(KT_PHAN,KT_LOAI,"Tổ",KT_TO,IF(H59="x",$D59,H59),KT_NGAY,3)))</f>
        <v>0</v>
      </c>
      <c r="AP59" s="31" t="n">
        <f aca="false">IF(OR($B59="",I59=""),0,IF(AND($E59="Trưởng tổ",I59="x"),SUMIFS(KT_TRUONG,KT_LOAI,"Tổ",KT_TO,$D59,KT_NGAY,4),SUMIFS(KT_PHAN,KT_LOAI,"Tổ",KT_TO,IF(I59="x",$D59,I59),KT_NGAY,4)))</f>
        <v>0</v>
      </c>
      <c r="AQ59" s="31" t="n">
        <f aca="false">IF(OR($B59="",J59=""),0,IF(AND($E59="Trưởng tổ",J59="x"),SUMIFS(KT_TRUONG,KT_LOAI,"Tổ",KT_TO,$D59,KT_NGAY,5),SUMIFS(KT_PHAN,KT_LOAI,"Tổ",KT_TO,IF(J59="x",$D59,J59),KT_NGAY,5)))</f>
        <v>0</v>
      </c>
      <c r="AR59" s="31" t="n">
        <f aca="false">IF(OR($B59="",K59=""),0,IF(AND($E59="Trưởng tổ",K59="x"),SUMIFS(KT_TRUONG,KT_LOAI,"Tổ",KT_TO,$D59,KT_NGAY,6),SUMIFS(KT_PHAN,KT_LOAI,"Tổ",KT_TO,IF(K59="x",$D59,K59),KT_NGAY,6)))</f>
        <v>0</v>
      </c>
      <c r="AS59" s="31" t="n">
        <f aca="false">IF(OR($B59="",L59=""),0,IF(AND($E59="Trưởng tổ",L59="x"),SUMIFS(KT_TRUONG,KT_LOAI,"Tổ",KT_TO,$D59,KT_NGAY,7),SUMIFS(KT_PHAN,KT_LOAI,"Tổ",KT_TO,IF(L59="x",$D59,L59),KT_NGAY,7)))</f>
        <v>0</v>
      </c>
      <c r="AT59" s="31" t="n">
        <f aca="false">IF(OR($B59="",M59=""),0,IF(AND($E59="Trưởng tổ",M59="x"),SUMIFS(KT_TRUONG,KT_LOAI,"Tổ",KT_TO,$D59,KT_NGAY,8),SUMIFS(KT_PHAN,KT_LOAI,"Tổ",KT_TO,IF(M59="x",$D59,M59),KT_NGAY,8)))</f>
        <v>0</v>
      </c>
      <c r="AU59" s="31" t="n">
        <f aca="false">IF(OR($B59="",N59=""),0,IF(AND($E59="Trưởng tổ",N59="x"),SUMIFS(KT_TRUONG,KT_LOAI,"Tổ",KT_TO,$D59,KT_NGAY,9),SUMIFS(KT_PHAN,KT_LOAI,"Tổ",KT_TO,IF(N59="x",$D59,N59),KT_NGAY,9)))</f>
        <v>0</v>
      </c>
      <c r="AV59" s="31" t="n">
        <f aca="false">IF(OR($B59="",O59=""),0,IF(AND($E59="Trưởng tổ",O59="x"),SUMIFS(KT_TRUONG,KT_LOAI,"Tổ",KT_TO,$D59,KT_NGAY,10),SUMIFS(KT_PHAN,KT_LOAI,"Tổ",KT_TO,IF(O59="x",$D59,O59),KT_NGAY,10)))</f>
        <v>0</v>
      </c>
      <c r="AW59" s="31" t="n">
        <f aca="false">IF(OR($B59="",P59=""),0,IF(AND($E59="Trưởng tổ",P59="x"),SUMIFS(KT_TRUONG,KT_LOAI,"Tổ",KT_TO,$D59,KT_NGAY,11),SUMIFS(KT_PHAN,KT_LOAI,"Tổ",KT_TO,IF(P59="x",$D59,P59),KT_NGAY,11)))</f>
        <v>0</v>
      </c>
      <c r="AX59" s="31" t="n">
        <f aca="false">IF(OR($B59="",Q59=""),0,IF(AND($E59="Trưởng tổ",Q59="x"),SUMIFS(KT_TRUONG,KT_LOAI,"Tổ",KT_TO,$D59,KT_NGAY,12),SUMIFS(KT_PHAN,KT_LOAI,"Tổ",KT_TO,IF(Q59="x",$D59,Q59),KT_NGAY,12)))</f>
        <v>0</v>
      </c>
      <c r="AY59" s="31" t="n">
        <f aca="false">IF(OR($B59="",R59=""),0,IF(AND($E59="Trưởng tổ",R59="x"),SUMIFS(KT_TRUONG,KT_LOAI,"Tổ",KT_TO,$D59,KT_NGAY,13),SUMIFS(KT_PHAN,KT_LOAI,"Tổ",KT_TO,IF(R59="x",$D59,R59),KT_NGAY,13)))</f>
        <v>0</v>
      </c>
      <c r="AZ59" s="31" t="n">
        <f aca="false">IF(OR($B59="",S59=""),0,IF(AND($E59="Trưởng tổ",S59="x"),SUMIFS(KT_TRUONG,KT_LOAI,"Tổ",KT_TO,$D59,KT_NGAY,14),SUMIFS(KT_PHAN,KT_LOAI,"Tổ",KT_TO,IF(S59="x",$D59,S59),KT_NGAY,14)))</f>
        <v>0</v>
      </c>
      <c r="BA59" s="31" t="n">
        <f aca="false">IF(OR($B59="",T59=""),0,IF(AND($E59="Trưởng tổ",T59="x"),SUMIFS(KT_TRUONG,KT_LOAI,"Tổ",KT_TO,$D59,KT_NGAY,15),SUMIFS(KT_PHAN,KT_LOAI,"Tổ",KT_TO,IF(T59="x",$D59,T59),KT_NGAY,15)))</f>
        <v>0</v>
      </c>
      <c r="BB59" s="31" t="n">
        <f aca="false">IF(OR($B59="",U59=""),0,IF(AND($E59="Trưởng tổ",U59="x"),SUMIFS(KT_TRUONG,KT_LOAI,"Tổ",KT_TO,$D59,KT_NGAY,16),SUMIFS(KT_PHAN,KT_LOAI,"Tổ",KT_TO,IF(U59="x",$D59,U59),KT_NGAY,16)))</f>
        <v>0</v>
      </c>
      <c r="BC59" s="31" t="n">
        <f aca="false">IF(OR($B59="",V59=""),0,IF(AND($E59="Trưởng tổ",V59="x"),SUMIFS(KT_TRUONG,KT_LOAI,"Tổ",KT_TO,$D59,KT_NGAY,17),SUMIFS(KT_PHAN,KT_LOAI,"Tổ",KT_TO,IF(V59="x",$D59,V59),KT_NGAY,17)))</f>
        <v>0</v>
      </c>
      <c r="BD59" s="31" t="n">
        <f aca="false">IF(OR($B59="",W59=""),0,IF(AND($E59="Trưởng tổ",W59="x"),SUMIFS(KT_TRUONG,KT_LOAI,"Tổ",KT_TO,$D59,KT_NGAY,18),SUMIFS(KT_PHAN,KT_LOAI,"Tổ",KT_TO,IF(W59="x",$D59,W59),KT_NGAY,18)))</f>
        <v>0</v>
      </c>
      <c r="BE59" s="31" t="n">
        <f aca="false">IF(OR($B59="",X59=""),0,IF(AND($E59="Trưởng tổ",X59="x"),SUMIFS(KT_TRUONG,KT_LOAI,"Tổ",KT_TO,$D59,KT_NGAY,19),SUMIFS(KT_PHAN,KT_LOAI,"Tổ",KT_TO,IF(X59="x",$D59,X59),KT_NGAY,19)))</f>
        <v>0</v>
      </c>
      <c r="BF59" s="31" t="n">
        <f aca="false">IF(OR($B59="",Y59=""),0,IF(AND($E59="Trưởng tổ",Y59="x"),SUMIFS(KT_TRUONG,KT_LOAI,"Tổ",KT_TO,$D59,KT_NGAY,20),SUMIFS(KT_PHAN,KT_LOAI,"Tổ",KT_TO,IF(Y59="x",$D59,Y59),KT_NGAY,20)))</f>
        <v>0</v>
      </c>
      <c r="BG59" s="31" t="n">
        <f aca="false">IF(OR($B59="",Z59=""),0,IF(AND($E59="Trưởng tổ",Z59="x"),SUMIFS(KT_TRUONG,KT_LOAI,"Tổ",KT_TO,$D59,KT_NGAY,21),SUMIFS(KT_PHAN,KT_LOAI,"Tổ",KT_TO,IF(Z59="x",$D59,Z59),KT_NGAY,21)))</f>
        <v>0</v>
      </c>
      <c r="BH59" s="31" t="n">
        <f aca="false">IF(OR($B59="",AA59=""),0,IF(AND($E59="Trưởng tổ",AA59="x"),SUMIFS(KT_TRUONG,KT_LOAI,"Tổ",KT_TO,$D59,KT_NGAY,22),SUMIFS(KT_PHAN,KT_LOAI,"Tổ",KT_TO,IF(AA59="x",$D59,AA59),KT_NGAY,22)))</f>
        <v>0</v>
      </c>
      <c r="BI59" s="31" t="n">
        <f aca="false">IF(OR($B59="",AB59=""),0,IF(AND($E59="Trưởng tổ",AB59="x"),SUMIFS(KT_TRUONG,KT_LOAI,"Tổ",KT_TO,$D59,KT_NGAY,23),SUMIFS(KT_PHAN,KT_LOAI,"Tổ",KT_TO,IF(AB59="x",$D59,AB59),KT_NGAY,23)))</f>
        <v>0</v>
      </c>
      <c r="BJ59" s="31" t="n">
        <f aca="false">IF(OR($B59="",AC59=""),0,IF(AND($E59="Trưởng tổ",AC59="x"),SUMIFS(KT_TRUONG,KT_LOAI,"Tổ",KT_TO,$D59,KT_NGAY,24),SUMIFS(KT_PHAN,KT_LOAI,"Tổ",KT_TO,IF(AC59="x",$D59,AC59),KT_NGAY,24)))</f>
        <v>0</v>
      </c>
      <c r="BK59" s="31" t="n">
        <f aca="false">IF(OR($B59="",AD59=""),0,IF(AND($E59="Trưởng tổ",AD59="x"),SUMIFS(KT_TRUONG,KT_LOAI,"Tổ",KT_TO,$D59,KT_NGAY,25),SUMIFS(KT_PHAN,KT_LOAI,"Tổ",KT_TO,IF(AD59="x",$D59,AD59),KT_NGAY,25)))</f>
        <v>0</v>
      </c>
      <c r="BL59" s="31" t="n">
        <f aca="false">IF(OR($B59="",AE59=""),0,IF(AND($E59="Trưởng tổ",AE59="x"),SUMIFS(KT_TRUONG,KT_LOAI,"Tổ",KT_TO,$D59,KT_NGAY,26),SUMIFS(KT_PHAN,KT_LOAI,"Tổ",KT_TO,IF(AE59="x",$D59,AE59),KT_NGAY,26)))</f>
        <v>0</v>
      </c>
      <c r="BM59" s="31" t="n">
        <f aca="false">IF(OR($B59="",AF59=""),0,IF(AND($E59="Trưởng tổ",AF59="x"),SUMIFS(KT_TRUONG,KT_LOAI,"Tổ",KT_TO,$D59,KT_NGAY,27),SUMIFS(KT_PHAN,KT_LOAI,"Tổ",KT_TO,IF(AF59="x",$D59,AF59),KT_NGAY,27)))</f>
        <v>0</v>
      </c>
      <c r="BN59" s="31" t="n">
        <f aca="false">IF(OR($B59="",AG59=""),0,IF(AND($E59="Trưởng tổ",AG59="x"),SUMIFS(KT_TRUONG,KT_LOAI,"Tổ",KT_TO,$D59,KT_NGAY,28),SUMIFS(KT_PHAN,KT_LOAI,"Tổ",KT_TO,IF(AG59="x",$D59,AG59),KT_NGAY,28)))</f>
        <v>0</v>
      </c>
      <c r="BO59" s="31" t="n">
        <f aca="false">IF(OR($B59="",AH59=""),0,IF(AND($E59="Trưởng tổ",AH59="x"),SUMIFS(KT_TRUONG,KT_LOAI,"Tổ",KT_TO,$D59,KT_NGAY,29),SUMIFS(KT_PHAN,KT_LOAI,"Tổ",KT_TO,IF(AH59="x",$D59,AH59),KT_NGAY,29)))</f>
        <v>0</v>
      </c>
      <c r="BP59" s="31" t="n">
        <f aca="false">IF(OR($B59="",AI59=""),0,IF(AND($E59="Trưởng tổ",AI59="x"),SUMIFS(KT_TRUONG,KT_LOAI,"Tổ",KT_TO,$D59,KT_NGAY,30),SUMIFS(KT_PHAN,KT_LOAI,"Tổ",KT_TO,IF(AI59="x",$D59,AI59),KT_NGAY,30)))</f>
        <v>0</v>
      </c>
      <c r="BQ59" s="31" t="n">
        <f aca="false">IF(OR($B59="",AJ59=""),0,IF(AND($E59="Trưởng tổ",AJ59="x"),SUMIFS(KT_TRUONG,KT_LOAI,"Tổ",KT_TO,$D59,KT_NGAY,31),SUMIFS(KT_PHAN,KT_LOAI,"Tổ",KT_TO,IF(AJ59="x",$D59,AJ59),KT_NGAY,31)))</f>
        <v>0</v>
      </c>
    </row>
    <row r="60" customFormat="false" ht="23.85" hidden="false" customHeight="false" outlineLevel="0" collapsed="false">
      <c r="A60" s="17" t="n">
        <f aca="false">IF(B60="","",ROW()-5)</f>
        <v>55</v>
      </c>
      <c r="B60" s="29" t="str">
        <f aca="false">IF(OR(BCC!B60="",BCC!D60&lt;&gt;"Thời vụ HAQT"),"",BCC!B60)</f>
        <v>QT-29</v>
      </c>
      <c r="C60" s="17" t="str">
        <f aca="false">IF(B60="","",BCC!C60)</f>
        <v>La Trọng Sơn</v>
      </c>
      <c r="D60" s="17" t="str">
        <f aca="false">IF(B60="","",IFERROR(INDEX(NV_TO,MATCH(B60,NV_MA,0)),""))</f>
        <v>Tổ 3</v>
      </c>
      <c r="E60" s="17" t="str">
        <f aca="false">IF(B60="","",IFERROR(INDEX(NV_VT,MATCH(B60,NV_MA,0)),""))</f>
        <v>Thành viên</v>
      </c>
      <c r="F60" s="21"/>
      <c r="G60" s="21"/>
      <c r="H60" s="21"/>
      <c r="I60" s="21"/>
      <c r="J60" s="21"/>
      <c r="K60" s="21"/>
      <c r="L60" s="21"/>
      <c r="M60" s="21"/>
      <c r="N60" s="21"/>
      <c r="O60" s="21"/>
      <c r="P60" s="21"/>
      <c r="Q60" s="21"/>
      <c r="R60" s="21"/>
      <c r="S60" s="21"/>
      <c r="T60" s="21"/>
      <c r="U60" s="21"/>
      <c r="V60" s="21"/>
      <c r="W60" s="21" t="s">
        <v>147</v>
      </c>
      <c r="X60" s="21" t="s">
        <v>170</v>
      </c>
      <c r="Y60" s="21" t="s">
        <v>173</v>
      </c>
      <c r="Z60" s="21"/>
      <c r="AA60" s="21"/>
      <c r="AB60" s="21" t="s">
        <v>147</v>
      </c>
      <c r="AC60" s="21" t="s">
        <v>170</v>
      </c>
      <c r="AD60" s="21" t="s">
        <v>173</v>
      </c>
      <c r="AE60" s="21" t="s">
        <v>147</v>
      </c>
      <c r="AF60" s="21"/>
      <c r="AG60" s="21"/>
      <c r="AH60" s="21"/>
      <c r="AI60" s="21"/>
      <c r="AJ60" s="21"/>
      <c r="AK60" s="17" t="n">
        <f aca="false">IF(B60="","",COUNTA(F60:AJ60))</f>
        <v>7</v>
      </c>
      <c r="AL60" s="30" t="n">
        <f aca="false">IF(B60="","",SUM(AM60:BQ60))</f>
        <v>2911000</v>
      </c>
      <c r="AM60" s="31" t="n">
        <f aca="false">IF(OR($B60="",F60=""),0,IF(AND($E60="Trưởng tổ",F60="x"),SUMIFS(KT_TRUONG,KT_LOAI,"Tổ",KT_TO,$D60,KT_NGAY,1),SUMIFS(KT_PHAN,KT_LOAI,"Tổ",KT_TO,IF(F60="x",$D60,F60),KT_NGAY,1)))</f>
        <v>0</v>
      </c>
      <c r="AN60" s="31" t="n">
        <f aca="false">IF(OR($B60="",G60=""),0,IF(AND($E60="Trưởng tổ",G60="x"),SUMIFS(KT_TRUONG,KT_LOAI,"Tổ",KT_TO,$D60,KT_NGAY,2),SUMIFS(KT_PHAN,KT_LOAI,"Tổ",KT_TO,IF(G60="x",$D60,G60),KT_NGAY,2)))</f>
        <v>0</v>
      </c>
      <c r="AO60" s="31" t="n">
        <f aca="false">IF(OR($B60="",H60=""),0,IF(AND($E60="Trưởng tổ",H60="x"),SUMIFS(KT_TRUONG,KT_LOAI,"Tổ",KT_TO,$D60,KT_NGAY,3),SUMIFS(KT_PHAN,KT_LOAI,"Tổ",KT_TO,IF(H60="x",$D60,H60),KT_NGAY,3)))</f>
        <v>0</v>
      </c>
      <c r="AP60" s="31" t="n">
        <f aca="false">IF(OR($B60="",I60=""),0,IF(AND($E60="Trưởng tổ",I60="x"),SUMIFS(KT_TRUONG,KT_LOAI,"Tổ",KT_TO,$D60,KT_NGAY,4),SUMIFS(KT_PHAN,KT_LOAI,"Tổ",KT_TO,IF(I60="x",$D60,I60),KT_NGAY,4)))</f>
        <v>0</v>
      </c>
      <c r="AQ60" s="31" t="n">
        <f aca="false">IF(OR($B60="",J60=""),0,IF(AND($E60="Trưởng tổ",J60="x"),SUMIFS(KT_TRUONG,KT_LOAI,"Tổ",KT_TO,$D60,KT_NGAY,5),SUMIFS(KT_PHAN,KT_LOAI,"Tổ",KT_TO,IF(J60="x",$D60,J60),KT_NGAY,5)))</f>
        <v>0</v>
      </c>
      <c r="AR60" s="31" t="n">
        <f aca="false">IF(OR($B60="",K60=""),0,IF(AND($E60="Trưởng tổ",K60="x"),SUMIFS(KT_TRUONG,KT_LOAI,"Tổ",KT_TO,$D60,KT_NGAY,6),SUMIFS(KT_PHAN,KT_LOAI,"Tổ",KT_TO,IF(K60="x",$D60,K60),KT_NGAY,6)))</f>
        <v>0</v>
      </c>
      <c r="AS60" s="31" t="n">
        <f aca="false">IF(OR($B60="",L60=""),0,IF(AND($E60="Trưởng tổ",L60="x"),SUMIFS(KT_TRUONG,KT_LOAI,"Tổ",KT_TO,$D60,KT_NGAY,7),SUMIFS(KT_PHAN,KT_LOAI,"Tổ",KT_TO,IF(L60="x",$D60,L60),KT_NGAY,7)))</f>
        <v>0</v>
      </c>
      <c r="AT60" s="31" t="n">
        <f aca="false">IF(OR($B60="",M60=""),0,IF(AND($E60="Trưởng tổ",M60="x"),SUMIFS(KT_TRUONG,KT_LOAI,"Tổ",KT_TO,$D60,KT_NGAY,8),SUMIFS(KT_PHAN,KT_LOAI,"Tổ",KT_TO,IF(M60="x",$D60,M60),KT_NGAY,8)))</f>
        <v>0</v>
      </c>
      <c r="AU60" s="31" t="n">
        <f aca="false">IF(OR($B60="",N60=""),0,IF(AND($E60="Trưởng tổ",N60="x"),SUMIFS(KT_TRUONG,KT_LOAI,"Tổ",KT_TO,$D60,KT_NGAY,9),SUMIFS(KT_PHAN,KT_LOAI,"Tổ",KT_TO,IF(N60="x",$D60,N60),KT_NGAY,9)))</f>
        <v>0</v>
      </c>
      <c r="AV60" s="31" t="n">
        <f aca="false">IF(OR($B60="",O60=""),0,IF(AND($E60="Trưởng tổ",O60="x"),SUMIFS(KT_TRUONG,KT_LOAI,"Tổ",KT_TO,$D60,KT_NGAY,10),SUMIFS(KT_PHAN,KT_LOAI,"Tổ",KT_TO,IF(O60="x",$D60,O60),KT_NGAY,10)))</f>
        <v>0</v>
      </c>
      <c r="AW60" s="31" t="n">
        <f aca="false">IF(OR($B60="",P60=""),0,IF(AND($E60="Trưởng tổ",P60="x"),SUMIFS(KT_TRUONG,KT_LOAI,"Tổ",KT_TO,$D60,KT_NGAY,11),SUMIFS(KT_PHAN,KT_LOAI,"Tổ",KT_TO,IF(P60="x",$D60,P60),KT_NGAY,11)))</f>
        <v>0</v>
      </c>
      <c r="AX60" s="31" t="n">
        <f aca="false">IF(OR($B60="",Q60=""),0,IF(AND($E60="Trưởng tổ",Q60="x"),SUMIFS(KT_TRUONG,KT_LOAI,"Tổ",KT_TO,$D60,KT_NGAY,12),SUMIFS(KT_PHAN,KT_LOAI,"Tổ",KT_TO,IF(Q60="x",$D60,Q60),KT_NGAY,12)))</f>
        <v>0</v>
      </c>
      <c r="AY60" s="31" t="n">
        <f aca="false">IF(OR($B60="",R60=""),0,IF(AND($E60="Trưởng tổ",R60="x"),SUMIFS(KT_TRUONG,KT_LOAI,"Tổ",KT_TO,$D60,KT_NGAY,13),SUMIFS(KT_PHAN,KT_LOAI,"Tổ",KT_TO,IF(R60="x",$D60,R60),KT_NGAY,13)))</f>
        <v>0</v>
      </c>
      <c r="AZ60" s="31" t="n">
        <f aca="false">IF(OR($B60="",S60=""),0,IF(AND($E60="Trưởng tổ",S60="x"),SUMIFS(KT_TRUONG,KT_LOAI,"Tổ",KT_TO,$D60,KT_NGAY,14),SUMIFS(KT_PHAN,KT_LOAI,"Tổ",KT_TO,IF(S60="x",$D60,S60),KT_NGAY,14)))</f>
        <v>0</v>
      </c>
      <c r="BA60" s="31" t="n">
        <f aca="false">IF(OR($B60="",T60=""),0,IF(AND($E60="Trưởng tổ",T60="x"),SUMIFS(KT_TRUONG,KT_LOAI,"Tổ",KT_TO,$D60,KT_NGAY,15),SUMIFS(KT_PHAN,KT_LOAI,"Tổ",KT_TO,IF(T60="x",$D60,T60),KT_NGAY,15)))</f>
        <v>0</v>
      </c>
      <c r="BB60" s="31" t="n">
        <f aca="false">IF(OR($B60="",U60=""),0,IF(AND($E60="Trưởng tổ",U60="x"),SUMIFS(KT_TRUONG,KT_LOAI,"Tổ",KT_TO,$D60,KT_NGAY,16),SUMIFS(KT_PHAN,KT_LOAI,"Tổ",KT_TO,IF(U60="x",$D60,U60),KT_NGAY,16)))</f>
        <v>0</v>
      </c>
      <c r="BC60" s="31" t="n">
        <f aca="false">IF(OR($B60="",V60=""),0,IF(AND($E60="Trưởng tổ",V60="x"),SUMIFS(KT_TRUONG,KT_LOAI,"Tổ",KT_TO,$D60,KT_NGAY,17),SUMIFS(KT_PHAN,KT_LOAI,"Tổ",KT_TO,IF(V60="x",$D60,V60),KT_NGAY,17)))</f>
        <v>0</v>
      </c>
      <c r="BD60" s="31" t="n">
        <f aca="false">IF(OR($B60="",W60=""),0,IF(AND($E60="Trưởng tổ",W60="x"),SUMIFS(KT_TRUONG,KT_LOAI,"Tổ",KT_TO,$D60,KT_NGAY,18),SUMIFS(KT_PHAN,KT_LOAI,"Tổ",KT_TO,IF(W60="x",$D60,W60),KT_NGAY,18)))</f>
        <v>439000</v>
      </c>
      <c r="BE60" s="31" t="n">
        <f aca="false">IF(OR($B60="",X60=""),0,IF(AND($E60="Trưởng tổ",X60="x"),SUMIFS(KT_TRUONG,KT_LOAI,"Tổ",KT_TO,$D60,KT_NGAY,19),SUMIFS(KT_PHAN,KT_LOAI,"Tổ",KT_TO,IF(X60="x",$D60,X60),KT_NGAY,19)))</f>
        <v>485000</v>
      </c>
      <c r="BF60" s="31" t="n">
        <f aca="false">IF(OR($B60="",Y60=""),0,IF(AND($E60="Trưởng tổ",Y60="x"),SUMIFS(KT_TRUONG,KT_LOAI,"Tổ",KT_TO,$D60,KT_NGAY,20),SUMIFS(KT_PHAN,KT_LOAI,"Tổ",KT_TO,IF(Y60="x",$D60,Y60),KT_NGAY,20)))</f>
        <v>485000</v>
      </c>
      <c r="BG60" s="31" t="n">
        <f aca="false">IF(OR($B60="",Z60=""),0,IF(AND($E60="Trưởng tổ",Z60="x"),SUMIFS(KT_TRUONG,KT_LOAI,"Tổ",KT_TO,$D60,KT_NGAY,21),SUMIFS(KT_PHAN,KT_LOAI,"Tổ",KT_TO,IF(Z60="x",$D60,Z60),KT_NGAY,21)))</f>
        <v>0</v>
      </c>
      <c r="BH60" s="31" t="n">
        <f aca="false">IF(OR($B60="",AA60=""),0,IF(AND($E60="Trưởng tổ",AA60="x"),SUMIFS(KT_TRUONG,KT_LOAI,"Tổ",KT_TO,$D60,KT_NGAY,22),SUMIFS(KT_PHAN,KT_LOAI,"Tổ",KT_TO,IF(AA60="x",$D60,AA60),KT_NGAY,22)))</f>
        <v>0</v>
      </c>
      <c r="BI60" s="31" t="n">
        <f aca="false">IF(OR($B60="",AB60=""),0,IF(AND($E60="Trưởng tổ",AB60="x"),SUMIFS(KT_TRUONG,KT_LOAI,"Tổ",KT_TO,$D60,KT_NGAY,23),SUMIFS(KT_PHAN,KT_LOAI,"Tổ",KT_TO,IF(AB60="x",$D60,AB60),KT_NGAY,23)))</f>
        <v>389000</v>
      </c>
      <c r="BJ60" s="31" t="n">
        <f aca="false">IF(OR($B60="",AC60=""),0,IF(AND($E60="Trưởng tổ",AC60="x"),SUMIFS(KT_TRUONG,KT_LOAI,"Tổ",KT_TO,$D60,KT_NGAY,24),SUMIFS(KT_PHAN,KT_LOAI,"Tổ",KT_TO,IF(AC60="x",$D60,AC60),KT_NGAY,24)))</f>
        <v>439000</v>
      </c>
      <c r="BK60" s="31" t="n">
        <f aca="false">IF(OR($B60="",AD60=""),0,IF(AND($E60="Trưởng tổ",AD60="x"),SUMIFS(KT_TRUONG,KT_LOAI,"Tổ",KT_TO,$D60,KT_NGAY,25),SUMIFS(KT_PHAN,KT_LOAI,"Tổ",KT_TO,IF(AD60="x",$D60,AD60),KT_NGAY,25)))</f>
        <v>380000</v>
      </c>
      <c r="BL60" s="31" t="n">
        <f aca="false">IF(OR($B60="",AE60=""),0,IF(AND($E60="Trưởng tổ",AE60="x"),SUMIFS(KT_TRUONG,KT_LOAI,"Tổ",KT_TO,$D60,KT_NGAY,26),SUMIFS(KT_PHAN,KT_LOAI,"Tổ",KT_TO,IF(AE60="x",$D60,AE60),KT_NGAY,26)))</f>
        <v>294000</v>
      </c>
      <c r="BM60" s="31" t="n">
        <f aca="false">IF(OR($B60="",AF60=""),0,IF(AND($E60="Trưởng tổ",AF60="x"),SUMIFS(KT_TRUONG,KT_LOAI,"Tổ",KT_TO,$D60,KT_NGAY,27),SUMIFS(KT_PHAN,KT_LOAI,"Tổ",KT_TO,IF(AF60="x",$D60,AF60),KT_NGAY,27)))</f>
        <v>0</v>
      </c>
      <c r="BN60" s="31" t="n">
        <f aca="false">IF(OR($B60="",AG60=""),0,IF(AND($E60="Trưởng tổ",AG60="x"),SUMIFS(KT_TRUONG,KT_LOAI,"Tổ",KT_TO,$D60,KT_NGAY,28),SUMIFS(KT_PHAN,KT_LOAI,"Tổ",KT_TO,IF(AG60="x",$D60,AG60),KT_NGAY,28)))</f>
        <v>0</v>
      </c>
      <c r="BO60" s="31" t="n">
        <f aca="false">IF(OR($B60="",AH60=""),0,IF(AND($E60="Trưởng tổ",AH60="x"),SUMIFS(KT_TRUONG,KT_LOAI,"Tổ",KT_TO,$D60,KT_NGAY,29),SUMIFS(KT_PHAN,KT_LOAI,"Tổ",KT_TO,IF(AH60="x",$D60,AH60),KT_NGAY,29)))</f>
        <v>0</v>
      </c>
      <c r="BP60" s="31" t="n">
        <f aca="false">IF(OR($B60="",AI60=""),0,IF(AND($E60="Trưởng tổ",AI60="x"),SUMIFS(KT_TRUONG,KT_LOAI,"Tổ",KT_TO,$D60,KT_NGAY,30),SUMIFS(KT_PHAN,KT_LOAI,"Tổ",KT_TO,IF(AI60="x",$D60,AI60),KT_NGAY,30)))</f>
        <v>0</v>
      </c>
      <c r="BQ60" s="31" t="n">
        <f aca="false">IF(OR($B60="",AJ60=""),0,IF(AND($E60="Trưởng tổ",AJ60="x"),SUMIFS(KT_TRUONG,KT_LOAI,"Tổ",KT_TO,$D60,KT_NGAY,31),SUMIFS(KT_PHAN,KT_LOAI,"Tổ",KT_TO,IF(AJ60="x",$D60,AJ60),KT_NGAY,31)))</f>
        <v>0</v>
      </c>
    </row>
    <row r="61" customFormat="false" ht="23.85" hidden="false" customHeight="false" outlineLevel="0" collapsed="false">
      <c r="A61" s="17" t="n">
        <f aca="false">IF(B61="","",ROW()-5)</f>
        <v>56</v>
      </c>
      <c r="B61" s="29" t="str">
        <f aca="false">IF(OR(BCC!B61="",BCC!D61&lt;&gt;"Thời vụ HAQT"),"",BCC!B61)</f>
        <v>QT-30</v>
      </c>
      <c r="C61" s="17" t="str">
        <f aca="false">IF(B61="","",BCC!C61)</f>
        <v>Nguyễn Đình Bình</v>
      </c>
      <c r="D61" s="17" t="str">
        <f aca="false">IF(B61="","",IFERROR(INDEX(NV_TO,MATCH(B61,NV_MA,0)),""))</f>
        <v>Tổ 3</v>
      </c>
      <c r="E61" s="17" t="str">
        <f aca="false">IF(B61="","",IFERROR(INDEX(NV_VT,MATCH(B61,NV_MA,0)),""))</f>
        <v>Thành viên</v>
      </c>
      <c r="F61" s="21"/>
      <c r="G61" s="21"/>
      <c r="H61" s="21"/>
      <c r="I61" s="21"/>
      <c r="J61" s="21"/>
      <c r="K61" s="21"/>
      <c r="L61" s="21"/>
      <c r="M61" s="21"/>
      <c r="N61" s="21"/>
      <c r="O61" s="21"/>
      <c r="P61" s="21"/>
      <c r="Q61" s="21"/>
      <c r="R61" s="21"/>
      <c r="S61" s="21"/>
      <c r="T61" s="21"/>
      <c r="U61" s="21"/>
      <c r="V61" s="21"/>
      <c r="W61" s="21" t="s">
        <v>147</v>
      </c>
      <c r="X61" s="21" t="s">
        <v>170</v>
      </c>
      <c r="Y61" s="21" t="s">
        <v>173</v>
      </c>
      <c r="Z61" s="21"/>
      <c r="AA61" s="21"/>
      <c r="AB61" s="21" t="s">
        <v>147</v>
      </c>
      <c r="AC61" s="21" t="s">
        <v>170</v>
      </c>
      <c r="AD61" s="21" t="s">
        <v>173</v>
      </c>
      <c r="AE61" s="21" t="s">
        <v>147</v>
      </c>
      <c r="AF61" s="21"/>
      <c r="AG61" s="21"/>
      <c r="AH61" s="21"/>
      <c r="AI61" s="21"/>
      <c r="AJ61" s="21"/>
      <c r="AK61" s="17" t="n">
        <f aca="false">IF(B61="","",COUNTA(F61:AJ61))</f>
        <v>7</v>
      </c>
      <c r="AL61" s="30" t="n">
        <f aca="false">IF(B61="","",SUM(AM61:BQ61))</f>
        <v>2911000</v>
      </c>
      <c r="AM61" s="31" t="n">
        <f aca="false">IF(OR($B61="",F61=""),0,IF(AND($E61="Trưởng tổ",F61="x"),SUMIFS(KT_TRUONG,KT_LOAI,"Tổ",KT_TO,$D61,KT_NGAY,1),SUMIFS(KT_PHAN,KT_LOAI,"Tổ",KT_TO,IF(F61="x",$D61,F61),KT_NGAY,1)))</f>
        <v>0</v>
      </c>
      <c r="AN61" s="31" t="n">
        <f aca="false">IF(OR($B61="",G61=""),0,IF(AND($E61="Trưởng tổ",G61="x"),SUMIFS(KT_TRUONG,KT_LOAI,"Tổ",KT_TO,$D61,KT_NGAY,2),SUMIFS(KT_PHAN,KT_LOAI,"Tổ",KT_TO,IF(G61="x",$D61,G61),KT_NGAY,2)))</f>
        <v>0</v>
      </c>
      <c r="AO61" s="31" t="n">
        <f aca="false">IF(OR($B61="",H61=""),0,IF(AND($E61="Trưởng tổ",H61="x"),SUMIFS(KT_TRUONG,KT_LOAI,"Tổ",KT_TO,$D61,KT_NGAY,3),SUMIFS(KT_PHAN,KT_LOAI,"Tổ",KT_TO,IF(H61="x",$D61,H61),KT_NGAY,3)))</f>
        <v>0</v>
      </c>
      <c r="AP61" s="31" t="n">
        <f aca="false">IF(OR($B61="",I61=""),0,IF(AND($E61="Trưởng tổ",I61="x"),SUMIFS(KT_TRUONG,KT_LOAI,"Tổ",KT_TO,$D61,KT_NGAY,4),SUMIFS(KT_PHAN,KT_LOAI,"Tổ",KT_TO,IF(I61="x",$D61,I61),KT_NGAY,4)))</f>
        <v>0</v>
      </c>
      <c r="AQ61" s="31" t="n">
        <f aca="false">IF(OR($B61="",J61=""),0,IF(AND($E61="Trưởng tổ",J61="x"),SUMIFS(KT_TRUONG,KT_LOAI,"Tổ",KT_TO,$D61,KT_NGAY,5),SUMIFS(KT_PHAN,KT_LOAI,"Tổ",KT_TO,IF(J61="x",$D61,J61),KT_NGAY,5)))</f>
        <v>0</v>
      </c>
      <c r="AR61" s="31" t="n">
        <f aca="false">IF(OR($B61="",K61=""),0,IF(AND($E61="Trưởng tổ",K61="x"),SUMIFS(KT_TRUONG,KT_LOAI,"Tổ",KT_TO,$D61,KT_NGAY,6),SUMIFS(KT_PHAN,KT_LOAI,"Tổ",KT_TO,IF(K61="x",$D61,K61),KT_NGAY,6)))</f>
        <v>0</v>
      </c>
      <c r="AS61" s="31" t="n">
        <f aca="false">IF(OR($B61="",L61=""),0,IF(AND($E61="Trưởng tổ",L61="x"),SUMIFS(KT_TRUONG,KT_LOAI,"Tổ",KT_TO,$D61,KT_NGAY,7),SUMIFS(KT_PHAN,KT_LOAI,"Tổ",KT_TO,IF(L61="x",$D61,L61),KT_NGAY,7)))</f>
        <v>0</v>
      </c>
      <c r="AT61" s="31" t="n">
        <f aca="false">IF(OR($B61="",M61=""),0,IF(AND($E61="Trưởng tổ",M61="x"),SUMIFS(KT_TRUONG,KT_LOAI,"Tổ",KT_TO,$D61,KT_NGAY,8),SUMIFS(KT_PHAN,KT_LOAI,"Tổ",KT_TO,IF(M61="x",$D61,M61),KT_NGAY,8)))</f>
        <v>0</v>
      </c>
      <c r="AU61" s="31" t="n">
        <f aca="false">IF(OR($B61="",N61=""),0,IF(AND($E61="Trưởng tổ",N61="x"),SUMIFS(KT_TRUONG,KT_LOAI,"Tổ",KT_TO,$D61,KT_NGAY,9),SUMIFS(KT_PHAN,KT_LOAI,"Tổ",KT_TO,IF(N61="x",$D61,N61),KT_NGAY,9)))</f>
        <v>0</v>
      </c>
      <c r="AV61" s="31" t="n">
        <f aca="false">IF(OR($B61="",O61=""),0,IF(AND($E61="Trưởng tổ",O61="x"),SUMIFS(KT_TRUONG,KT_LOAI,"Tổ",KT_TO,$D61,KT_NGAY,10),SUMIFS(KT_PHAN,KT_LOAI,"Tổ",KT_TO,IF(O61="x",$D61,O61),KT_NGAY,10)))</f>
        <v>0</v>
      </c>
      <c r="AW61" s="31" t="n">
        <f aca="false">IF(OR($B61="",P61=""),0,IF(AND($E61="Trưởng tổ",P61="x"),SUMIFS(KT_TRUONG,KT_LOAI,"Tổ",KT_TO,$D61,KT_NGAY,11),SUMIFS(KT_PHAN,KT_LOAI,"Tổ",KT_TO,IF(P61="x",$D61,P61),KT_NGAY,11)))</f>
        <v>0</v>
      </c>
      <c r="AX61" s="31" t="n">
        <f aca="false">IF(OR($B61="",Q61=""),0,IF(AND($E61="Trưởng tổ",Q61="x"),SUMIFS(KT_TRUONG,KT_LOAI,"Tổ",KT_TO,$D61,KT_NGAY,12),SUMIFS(KT_PHAN,KT_LOAI,"Tổ",KT_TO,IF(Q61="x",$D61,Q61),KT_NGAY,12)))</f>
        <v>0</v>
      </c>
      <c r="AY61" s="31" t="n">
        <f aca="false">IF(OR($B61="",R61=""),0,IF(AND($E61="Trưởng tổ",R61="x"),SUMIFS(KT_TRUONG,KT_LOAI,"Tổ",KT_TO,$D61,KT_NGAY,13),SUMIFS(KT_PHAN,KT_LOAI,"Tổ",KT_TO,IF(R61="x",$D61,R61),KT_NGAY,13)))</f>
        <v>0</v>
      </c>
      <c r="AZ61" s="31" t="n">
        <f aca="false">IF(OR($B61="",S61=""),0,IF(AND($E61="Trưởng tổ",S61="x"),SUMIFS(KT_TRUONG,KT_LOAI,"Tổ",KT_TO,$D61,KT_NGAY,14),SUMIFS(KT_PHAN,KT_LOAI,"Tổ",KT_TO,IF(S61="x",$D61,S61),KT_NGAY,14)))</f>
        <v>0</v>
      </c>
      <c r="BA61" s="31" t="n">
        <f aca="false">IF(OR($B61="",T61=""),0,IF(AND($E61="Trưởng tổ",T61="x"),SUMIFS(KT_TRUONG,KT_LOAI,"Tổ",KT_TO,$D61,KT_NGAY,15),SUMIFS(KT_PHAN,KT_LOAI,"Tổ",KT_TO,IF(T61="x",$D61,T61),KT_NGAY,15)))</f>
        <v>0</v>
      </c>
      <c r="BB61" s="31" t="n">
        <f aca="false">IF(OR($B61="",U61=""),0,IF(AND($E61="Trưởng tổ",U61="x"),SUMIFS(KT_TRUONG,KT_LOAI,"Tổ",KT_TO,$D61,KT_NGAY,16),SUMIFS(KT_PHAN,KT_LOAI,"Tổ",KT_TO,IF(U61="x",$D61,U61),KT_NGAY,16)))</f>
        <v>0</v>
      </c>
      <c r="BC61" s="31" t="n">
        <f aca="false">IF(OR($B61="",V61=""),0,IF(AND($E61="Trưởng tổ",V61="x"),SUMIFS(KT_TRUONG,KT_LOAI,"Tổ",KT_TO,$D61,KT_NGAY,17),SUMIFS(KT_PHAN,KT_LOAI,"Tổ",KT_TO,IF(V61="x",$D61,V61),KT_NGAY,17)))</f>
        <v>0</v>
      </c>
      <c r="BD61" s="31" t="n">
        <f aca="false">IF(OR($B61="",W61=""),0,IF(AND($E61="Trưởng tổ",W61="x"),SUMIFS(KT_TRUONG,KT_LOAI,"Tổ",KT_TO,$D61,KT_NGAY,18),SUMIFS(KT_PHAN,KT_LOAI,"Tổ",KT_TO,IF(W61="x",$D61,W61),KT_NGAY,18)))</f>
        <v>439000</v>
      </c>
      <c r="BE61" s="31" t="n">
        <f aca="false">IF(OR($B61="",X61=""),0,IF(AND($E61="Trưởng tổ",X61="x"),SUMIFS(KT_TRUONG,KT_LOAI,"Tổ",KT_TO,$D61,KT_NGAY,19),SUMIFS(KT_PHAN,KT_LOAI,"Tổ",KT_TO,IF(X61="x",$D61,X61),KT_NGAY,19)))</f>
        <v>485000</v>
      </c>
      <c r="BF61" s="31" t="n">
        <f aca="false">IF(OR($B61="",Y61=""),0,IF(AND($E61="Trưởng tổ",Y61="x"),SUMIFS(KT_TRUONG,KT_LOAI,"Tổ",KT_TO,$D61,KT_NGAY,20),SUMIFS(KT_PHAN,KT_LOAI,"Tổ",KT_TO,IF(Y61="x",$D61,Y61),KT_NGAY,20)))</f>
        <v>485000</v>
      </c>
      <c r="BG61" s="31" t="n">
        <f aca="false">IF(OR($B61="",Z61=""),0,IF(AND($E61="Trưởng tổ",Z61="x"),SUMIFS(KT_TRUONG,KT_LOAI,"Tổ",KT_TO,$D61,KT_NGAY,21),SUMIFS(KT_PHAN,KT_LOAI,"Tổ",KT_TO,IF(Z61="x",$D61,Z61),KT_NGAY,21)))</f>
        <v>0</v>
      </c>
      <c r="BH61" s="31" t="n">
        <f aca="false">IF(OR($B61="",AA61=""),0,IF(AND($E61="Trưởng tổ",AA61="x"),SUMIFS(KT_TRUONG,KT_LOAI,"Tổ",KT_TO,$D61,KT_NGAY,22),SUMIFS(KT_PHAN,KT_LOAI,"Tổ",KT_TO,IF(AA61="x",$D61,AA61),KT_NGAY,22)))</f>
        <v>0</v>
      </c>
      <c r="BI61" s="31" t="n">
        <f aca="false">IF(OR($B61="",AB61=""),0,IF(AND($E61="Trưởng tổ",AB61="x"),SUMIFS(KT_TRUONG,KT_LOAI,"Tổ",KT_TO,$D61,KT_NGAY,23),SUMIFS(KT_PHAN,KT_LOAI,"Tổ",KT_TO,IF(AB61="x",$D61,AB61),KT_NGAY,23)))</f>
        <v>389000</v>
      </c>
      <c r="BJ61" s="31" t="n">
        <f aca="false">IF(OR($B61="",AC61=""),0,IF(AND($E61="Trưởng tổ",AC61="x"),SUMIFS(KT_TRUONG,KT_LOAI,"Tổ",KT_TO,$D61,KT_NGAY,24),SUMIFS(KT_PHAN,KT_LOAI,"Tổ",KT_TO,IF(AC61="x",$D61,AC61),KT_NGAY,24)))</f>
        <v>439000</v>
      </c>
      <c r="BK61" s="31" t="n">
        <f aca="false">IF(OR($B61="",AD61=""),0,IF(AND($E61="Trưởng tổ",AD61="x"),SUMIFS(KT_TRUONG,KT_LOAI,"Tổ",KT_TO,$D61,KT_NGAY,25),SUMIFS(KT_PHAN,KT_LOAI,"Tổ",KT_TO,IF(AD61="x",$D61,AD61),KT_NGAY,25)))</f>
        <v>380000</v>
      </c>
      <c r="BL61" s="31" t="n">
        <f aca="false">IF(OR($B61="",AE61=""),0,IF(AND($E61="Trưởng tổ",AE61="x"),SUMIFS(KT_TRUONG,KT_LOAI,"Tổ",KT_TO,$D61,KT_NGAY,26),SUMIFS(KT_PHAN,KT_LOAI,"Tổ",KT_TO,IF(AE61="x",$D61,AE61),KT_NGAY,26)))</f>
        <v>294000</v>
      </c>
      <c r="BM61" s="31" t="n">
        <f aca="false">IF(OR($B61="",AF61=""),0,IF(AND($E61="Trưởng tổ",AF61="x"),SUMIFS(KT_TRUONG,KT_LOAI,"Tổ",KT_TO,$D61,KT_NGAY,27),SUMIFS(KT_PHAN,KT_LOAI,"Tổ",KT_TO,IF(AF61="x",$D61,AF61),KT_NGAY,27)))</f>
        <v>0</v>
      </c>
      <c r="BN61" s="31" t="n">
        <f aca="false">IF(OR($B61="",AG61=""),0,IF(AND($E61="Trưởng tổ",AG61="x"),SUMIFS(KT_TRUONG,KT_LOAI,"Tổ",KT_TO,$D61,KT_NGAY,28),SUMIFS(KT_PHAN,KT_LOAI,"Tổ",KT_TO,IF(AG61="x",$D61,AG61),KT_NGAY,28)))</f>
        <v>0</v>
      </c>
      <c r="BO61" s="31" t="n">
        <f aca="false">IF(OR($B61="",AH61=""),0,IF(AND($E61="Trưởng tổ",AH61="x"),SUMIFS(KT_TRUONG,KT_LOAI,"Tổ",KT_TO,$D61,KT_NGAY,29),SUMIFS(KT_PHAN,KT_LOAI,"Tổ",KT_TO,IF(AH61="x",$D61,AH61),KT_NGAY,29)))</f>
        <v>0</v>
      </c>
      <c r="BP61" s="31" t="n">
        <f aca="false">IF(OR($B61="",AI61=""),0,IF(AND($E61="Trưởng tổ",AI61="x"),SUMIFS(KT_TRUONG,KT_LOAI,"Tổ",KT_TO,$D61,KT_NGAY,30),SUMIFS(KT_PHAN,KT_LOAI,"Tổ",KT_TO,IF(AI61="x",$D61,AI61),KT_NGAY,30)))</f>
        <v>0</v>
      </c>
      <c r="BQ61" s="31" t="n">
        <f aca="false">IF(OR($B61="",AJ61=""),0,IF(AND($E61="Trưởng tổ",AJ61="x"),SUMIFS(KT_TRUONG,KT_LOAI,"Tổ",KT_TO,$D61,KT_NGAY,31),SUMIFS(KT_PHAN,KT_LOAI,"Tổ",KT_TO,IF(AJ61="x",$D61,AJ61),KT_NGAY,31)))</f>
        <v>0</v>
      </c>
    </row>
    <row r="62" customFormat="false" ht="15" hidden="false" customHeight="false" outlineLevel="0" collapsed="false">
      <c r="A62" s="17" t="str">
        <f aca="false">IF(B62="","",ROW()-5)</f>
        <v/>
      </c>
      <c r="B62" s="29" t="str">
        <f aca="false">IF(OR(BCC!B62="",BCC!D62&lt;&gt;"Thời vụ HAQT"),"",BCC!B62)</f>
        <v/>
      </c>
      <c r="C62" s="17" t="str">
        <f aca="false">IF(B62="","",BCC!C62)</f>
        <v/>
      </c>
      <c r="D62" s="17" t="str">
        <f aca="false">IF(B62="","",IFERROR(INDEX(NV_TO,MATCH(B62,NV_MA,0)),""))</f>
        <v/>
      </c>
      <c r="E62" s="17" t="str">
        <f aca="false">IF(B62="","",IFERROR(INDEX(NV_VT,MATCH(B62,NV_MA,0)),""))</f>
        <v/>
      </c>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17" t="str">
        <f aca="false">IF(B62="","",COUNTA(F62:AJ62))</f>
        <v/>
      </c>
      <c r="AL62" s="30" t="str">
        <f aca="false">IF(B62="","",SUM(AM62:BQ62))</f>
        <v/>
      </c>
      <c r="AM62" s="31" t="n">
        <f aca="false">IF(OR($B62="",F62=""),0,IF(AND($E62="Trưởng tổ",F62="x"),SUMIFS(KT_TRUONG,KT_LOAI,"Tổ",KT_TO,$D62,KT_NGAY,1),SUMIFS(KT_PHAN,KT_LOAI,"Tổ",KT_TO,IF(F62="x",$D62,F62),KT_NGAY,1)))</f>
        <v>0</v>
      </c>
      <c r="AN62" s="31" t="n">
        <f aca="false">IF(OR($B62="",G62=""),0,IF(AND($E62="Trưởng tổ",G62="x"),SUMIFS(KT_TRUONG,KT_LOAI,"Tổ",KT_TO,$D62,KT_NGAY,2),SUMIFS(KT_PHAN,KT_LOAI,"Tổ",KT_TO,IF(G62="x",$D62,G62),KT_NGAY,2)))</f>
        <v>0</v>
      </c>
      <c r="AO62" s="31" t="n">
        <f aca="false">IF(OR($B62="",H62=""),0,IF(AND($E62="Trưởng tổ",H62="x"),SUMIFS(KT_TRUONG,KT_LOAI,"Tổ",KT_TO,$D62,KT_NGAY,3),SUMIFS(KT_PHAN,KT_LOAI,"Tổ",KT_TO,IF(H62="x",$D62,H62),KT_NGAY,3)))</f>
        <v>0</v>
      </c>
      <c r="AP62" s="31" t="n">
        <f aca="false">IF(OR($B62="",I62=""),0,IF(AND($E62="Trưởng tổ",I62="x"),SUMIFS(KT_TRUONG,KT_LOAI,"Tổ",KT_TO,$D62,KT_NGAY,4),SUMIFS(KT_PHAN,KT_LOAI,"Tổ",KT_TO,IF(I62="x",$D62,I62),KT_NGAY,4)))</f>
        <v>0</v>
      </c>
      <c r="AQ62" s="31" t="n">
        <f aca="false">IF(OR($B62="",J62=""),0,IF(AND($E62="Trưởng tổ",J62="x"),SUMIFS(KT_TRUONG,KT_LOAI,"Tổ",KT_TO,$D62,KT_NGAY,5),SUMIFS(KT_PHAN,KT_LOAI,"Tổ",KT_TO,IF(J62="x",$D62,J62),KT_NGAY,5)))</f>
        <v>0</v>
      </c>
      <c r="AR62" s="31" t="n">
        <f aca="false">IF(OR($B62="",K62=""),0,IF(AND($E62="Trưởng tổ",K62="x"),SUMIFS(KT_TRUONG,KT_LOAI,"Tổ",KT_TO,$D62,KT_NGAY,6),SUMIFS(KT_PHAN,KT_LOAI,"Tổ",KT_TO,IF(K62="x",$D62,K62),KT_NGAY,6)))</f>
        <v>0</v>
      </c>
      <c r="AS62" s="31" t="n">
        <f aca="false">IF(OR($B62="",L62=""),0,IF(AND($E62="Trưởng tổ",L62="x"),SUMIFS(KT_TRUONG,KT_LOAI,"Tổ",KT_TO,$D62,KT_NGAY,7),SUMIFS(KT_PHAN,KT_LOAI,"Tổ",KT_TO,IF(L62="x",$D62,L62),KT_NGAY,7)))</f>
        <v>0</v>
      </c>
      <c r="AT62" s="31" t="n">
        <f aca="false">IF(OR($B62="",M62=""),0,IF(AND($E62="Trưởng tổ",M62="x"),SUMIFS(KT_TRUONG,KT_LOAI,"Tổ",KT_TO,$D62,KT_NGAY,8),SUMIFS(KT_PHAN,KT_LOAI,"Tổ",KT_TO,IF(M62="x",$D62,M62),KT_NGAY,8)))</f>
        <v>0</v>
      </c>
      <c r="AU62" s="31" t="n">
        <f aca="false">IF(OR($B62="",N62=""),0,IF(AND($E62="Trưởng tổ",N62="x"),SUMIFS(KT_TRUONG,KT_LOAI,"Tổ",KT_TO,$D62,KT_NGAY,9),SUMIFS(KT_PHAN,KT_LOAI,"Tổ",KT_TO,IF(N62="x",$D62,N62),KT_NGAY,9)))</f>
        <v>0</v>
      </c>
      <c r="AV62" s="31" t="n">
        <f aca="false">IF(OR($B62="",O62=""),0,IF(AND($E62="Trưởng tổ",O62="x"),SUMIFS(KT_TRUONG,KT_LOAI,"Tổ",KT_TO,$D62,KT_NGAY,10),SUMIFS(KT_PHAN,KT_LOAI,"Tổ",KT_TO,IF(O62="x",$D62,O62),KT_NGAY,10)))</f>
        <v>0</v>
      </c>
      <c r="AW62" s="31" t="n">
        <f aca="false">IF(OR($B62="",P62=""),0,IF(AND($E62="Trưởng tổ",P62="x"),SUMIFS(KT_TRUONG,KT_LOAI,"Tổ",KT_TO,$D62,KT_NGAY,11),SUMIFS(KT_PHAN,KT_LOAI,"Tổ",KT_TO,IF(P62="x",$D62,P62),KT_NGAY,11)))</f>
        <v>0</v>
      </c>
      <c r="AX62" s="31" t="n">
        <f aca="false">IF(OR($B62="",Q62=""),0,IF(AND($E62="Trưởng tổ",Q62="x"),SUMIFS(KT_TRUONG,KT_LOAI,"Tổ",KT_TO,$D62,KT_NGAY,12),SUMIFS(KT_PHAN,KT_LOAI,"Tổ",KT_TO,IF(Q62="x",$D62,Q62),KT_NGAY,12)))</f>
        <v>0</v>
      </c>
      <c r="AY62" s="31" t="n">
        <f aca="false">IF(OR($B62="",R62=""),0,IF(AND($E62="Trưởng tổ",R62="x"),SUMIFS(KT_TRUONG,KT_LOAI,"Tổ",KT_TO,$D62,KT_NGAY,13),SUMIFS(KT_PHAN,KT_LOAI,"Tổ",KT_TO,IF(R62="x",$D62,R62),KT_NGAY,13)))</f>
        <v>0</v>
      </c>
      <c r="AZ62" s="31" t="n">
        <f aca="false">IF(OR($B62="",S62=""),0,IF(AND($E62="Trưởng tổ",S62="x"),SUMIFS(KT_TRUONG,KT_LOAI,"Tổ",KT_TO,$D62,KT_NGAY,14),SUMIFS(KT_PHAN,KT_LOAI,"Tổ",KT_TO,IF(S62="x",$D62,S62),KT_NGAY,14)))</f>
        <v>0</v>
      </c>
      <c r="BA62" s="31" t="n">
        <f aca="false">IF(OR($B62="",T62=""),0,IF(AND($E62="Trưởng tổ",T62="x"),SUMIFS(KT_TRUONG,KT_LOAI,"Tổ",KT_TO,$D62,KT_NGAY,15),SUMIFS(KT_PHAN,KT_LOAI,"Tổ",KT_TO,IF(T62="x",$D62,T62),KT_NGAY,15)))</f>
        <v>0</v>
      </c>
      <c r="BB62" s="31" t="n">
        <f aca="false">IF(OR($B62="",U62=""),0,IF(AND($E62="Trưởng tổ",U62="x"),SUMIFS(KT_TRUONG,KT_LOAI,"Tổ",KT_TO,$D62,KT_NGAY,16),SUMIFS(KT_PHAN,KT_LOAI,"Tổ",KT_TO,IF(U62="x",$D62,U62),KT_NGAY,16)))</f>
        <v>0</v>
      </c>
      <c r="BC62" s="31" t="n">
        <f aca="false">IF(OR($B62="",V62=""),0,IF(AND($E62="Trưởng tổ",V62="x"),SUMIFS(KT_TRUONG,KT_LOAI,"Tổ",KT_TO,$D62,KT_NGAY,17),SUMIFS(KT_PHAN,KT_LOAI,"Tổ",KT_TO,IF(V62="x",$D62,V62),KT_NGAY,17)))</f>
        <v>0</v>
      </c>
      <c r="BD62" s="31" t="n">
        <f aca="false">IF(OR($B62="",W62=""),0,IF(AND($E62="Trưởng tổ",W62="x"),SUMIFS(KT_TRUONG,KT_LOAI,"Tổ",KT_TO,$D62,KT_NGAY,18),SUMIFS(KT_PHAN,KT_LOAI,"Tổ",KT_TO,IF(W62="x",$D62,W62),KT_NGAY,18)))</f>
        <v>0</v>
      </c>
      <c r="BE62" s="31" t="n">
        <f aca="false">IF(OR($B62="",X62=""),0,IF(AND($E62="Trưởng tổ",X62="x"),SUMIFS(KT_TRUONG,KT_LOAI,"Tổ",KT_TO,$D62,KT_NGAY,19),SUMIFS(KT_PHAN,KT_LOAI,"Tổ",KT_TO,IF(X62="x",$D62,X62),KT_NGAY,19)))</f>
        <v>0</v>
      </c>
      <c r="BF62" s="31" t="n">
        <f aca="false">IF(OR($B62="",Y62=""),0,IF(AND($E62="Trưởng tổ",Y62="x"),SUMIFS(KT_TRUONG,KT_LOAI,"Tổ",KT_TO,$D62,KT_NGAY,20),SUMIFS(KT_PHAN,KT_LOAI,"Tổ",KT_TO,IF(Y62="x",$D62,Y62),KT_NGAY,20)))</f>
        <v>0</v>
      </c>
      <c r="BG62" s="31" t="n">
        <f aca="false">IF(OR($B62="",Z62=""),0,IF(AND($E62="Trưởng tổ",Z62="x"),SUMIFS(KT_TRUONG,KT_LOAI,"Tổ",KT_TO,$D62,KT_NGAY,21),SUMIFS(KT_PHAN,KT_LOAI,"Tổ",KT_TO,IF(Z62="x",$D62,Z62),KT_NGAY,21)))</f>
        <v>0</v>
      </c>
      <c r="BH62" s="31" t="n">
        <f aca="false">IF(OR($B62="",AA62=""),0,IF(AND($E62="Trưởng tổ",AA62="x"),SUMIFS(KT_TRUONG,KT_LOAI,"Tổ",KT_TO,$D62,KT_NGAY,22),SUMIFS(KT_PHAN,KT_LOAI,"Tổ",KT_TO,IF(AA62="x",$D62,AA62),KT_NGAY,22)))</f>
        <v>0</v>
      </c>
      <c r="BI62" s="31" t="n">
        <f aca="false">IF(OR($B62="",AB62=""),0,IF(AND($E62="Trưởng tổ",AB62="x"),SUMIFS(KT_TRUONG,KT_LOAI,"Tổ",KT_TO,$D62,KT_NGAY,23),SUMIFS(KT_PHAN,KT_LOAI,"Tổ",KT_TO,IF(AB62="x",$D62,AB62),KT_NGAY,23)))</f>
        <v>0</v>
      </c>
      <c r="BJ62" s="31" t="n">
        <f aca="false">IF(OR($B62="",AC62=""),0,IF(AND($E62="Trưởng tổ",AC62="x"),SUMIFS(KT_TRUONG,KT_LOAI,"Tổ",KT_TO,$D62,KT_NGAY,24),SUMIFS(KT_PHAN,KT_LOAI,"Tổ",KT_TO,IF(AC62="x",$D62,AC62),KT_NGAY,24)))</f>
        <v>0</v>
      </c>
      <c r="BK62" s="31" t="n">
        <f aca="false">IF(OR($B62="",AD62=""),0,IF(AND($E62="Trưởng tổ",AD62="x"),SUMIFS(KT_TRUONG,KT_LOAI,"Tổ",KT_TO,$D62,KT_NGAY,25),SUMIFS(KT_PHAN,KT_LOAI,"Tổ",KT_TO,IF(AD62="x",$D62,AD62),KT_NGAY,25)))</f>
        <v>0</v>
      </c>
      <c r="BL62" s="31" t="n">
        <f aca="false">IF(OR($B62="",AE62=""),0,IF(AND($E62="Trưởng tổ",AE62="x"),SUMIFS(KT_TRUONG,KT_LOAI,"Tổ",KT_TO,$D62,KT_NGAY,26),SUMIFS(KT_PHAN,KT_LOAI,"Tổ",KT_TO,IF(AE62="x",$D62,AE62),KT_NGAY,26)))</f>
        <v>0</v>
      </c>
      <c r="BM62" s="31" t="n">
        <f aca="false">IF(OR($B62="",AF62=""),0,IF(AND($E62="Trưởng tổ",AF62="x"),SUMIFS(KT_TRUONG,KT_LOAI,"Tổ",KT_TO,$D62,KT_NGAY,27),SUMIFS(KT_PHAN,KT_LOAI,"Tổ",KT_TO,IF(AF62="x",$D62,AF62),KT_NGAY,27)))</f>
        <v>0</v>
      </c>
      <c r="BN62" s="31" t="n">
        <f aca="false">IF(OR($B62="",AG62=""),0,IF(AND($E62="Trưởng tổ",AG62="x"),SUMIFS(KT_TRUONG,KT_LOAI,"Tổ",KT_TO,$D62,KT_NGAY,28),SUMIFS(KT_PHAN,KT_LOAI,"Tổ",KT_TO,IF(AG62="x",$D62,AG62),KT_NGAY,28)))</f>
        <v>0</v>
      </c>
      <c r="BO62" s="31" t="n">
        <f aca="false">IF(OR($B62="",AH62=""),0,IF(AND($E62="Trưởng tổ",AH62="x"),SUMIFS(KT_TRUONG,KT_LOAI,"Tổ",KT_TO,$D62,KT_NGAY,29),SUMIFS(KT_PHAN,KT_LOAI,"Tổ",KT_TO,IF(AH62="x",$D62,AH62),KT_NGAY,29)))</f>
        <v>0</v>
      </c>
      <c r="BP62" s="31" t="n">
        <f aca="false">IF(OR($B62="",AI62=""),0,IF(AND($E62="Trưởng tổ",AI62="x"),SUMIFS(KT_TRUONG,KT_LOAI,"Tổ",KT_TO,$D62,KT_NGAY,30),SUMIFS(KT_PHAN,KT_LOAI,"Tổ",KT_TO,IF(AI62="x",$D62,AI62),KT_NGAY,30)))</f>
        <v>0</v>
      </c>
      <c r="BQ62" s="31" t="n">
        <f aca="false">IF(OR($B62="",AJ62=""),0,IF(AND($E62="Trưởng tổ",AJ62="x"),SUMIFS(KT_TRUONG,KT_LOAI,"Tổ",KT_TO,$D62,KT_NGAY,31),SUMIFS(KT_PHAN,KT_LOAI,"Tổ",KT_TO,IF(AJ62="x",$D62,AJ62),KT_NGAY,31)))</f>
        <v>0</v>
      </c>
    </row>
    <row r="63" customFormat="false" ht="15" hidden="false" customHeight="false" outlineLevel="0" collapsed="false">
      <c r="A63" s="17" t="str">
        <f aca="false">IF(B63="","",ROW()-5)</f>
        <v/>
      </c>
      <c r="B63" s="29" t="str">
        <f aca="false">IF(OR(BCC!B63="",BCC!D63&lt;&gt;"Thời vụ HAQT"),"",BCC!B63)</f>
        <v/>
      </c>
      <c r="C63" s="17" t="str">
        <f aca="false">IF(B63="","",BCC!C63)</f>
        <v/>
      </c>
      <c r="D63" s="17" t="str">
        <f aca="false">IF(B63="","",IFERROR(INDEX(NV_TO,MATCH(B63,NV_MA,0)),""))</f>
        <v/>
      </c>
      <c r="E63" s="17" t="str">
        <f aca="false">IF(B63="","",IFERROR(INDEX(NV_VT,MATCH(B63,NV_MA,0)),""))</f>
        <v/>
      </c>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17" t="str">
        <f aca="false">IF(B63="","",COUNTA(F63:AJ63))</f>
        <v/>
      </c>
      <c r="AL63" s="30" t="str">
        <f aca="false">IF(B63="","",SUM(AM63:BQ63))</f>
        <v/>
      </c>
      <c r="AM63" s="31" t="n">
        <f aca="false">IF(OR($B63="",F63=""),0,IF(AND($E63="Trưởng tổ",F63="x"),SUMIFS(KT_TRUONG,KT_LOAI,"Tổ",KT_TO,$D63,KT_NGAY,1),SUMIFS(KT_PHAN,KT_LOAI,"Tổ",KT_TO,IF(F63="x",$D63,F63),KT_NGAY,1)))</f>
        <v>0</v>
      </c>
      <c r="AN63" s="31" t="n">
        <f aca="false">IF(OR($B63="",G63=""),0,IF(AND($E63="Trưởng tổ",G63="x"),SUMIFS(KT_TRUONG,KT_LOAI,"Tổ",KT_TO,$D63,KT_NGAY,2),SUMIFS(KT_PHAN,KT_LOAI,"Tổ",KT_TO,IF(G63="x",$D63,G63),KT_NGAY,2)))</f>
        <v>0</v>
      </c>
      <c r="AO63" s="31" t="n">
        <f aca="false">IF(OR($B63="",H63=""),0,IF(AND($E63="Trưởng tổ",H63="x"),SUMIFS(KT_TRUONG,KT_LOAI,"Tổ",KT_TO,$D63,KT_NGAY,3),SUMIFS(KT_PHAN,KT_LOAI,"Tổ",KT_TO,IF(H63="x",$D63,H63),KT_NGAY,3)))</f>
        <v>0</v>
      </c>
      <c r="AP63" s="31" t="n">
        <f aca="false">IF(OR($B63="",I63=""),0,IF(AND($E63="Trưởng tổ",I63="x"),SUMIFS(KT_TRUONG,KT_LOAI,"Tổ",KT_TO,$D63,KT_NGAY,4),SUMIFS(KT_PHAN,KT_LOAI,"Tổ",KT_TO,IF(I63="x",$D63,I63),KT_NGAY,4)))</f>
        <v>0</v>
      </c>
      <c r="AQ63" s="31" t="n">
        <f aca="false">IF(OR($B63="",J63=""),0,IF(AND($E63="Trưởng tổ",J63="x"),SUMIFS(KT_TRUONG,KT_LOAI,"Tổ",KT_TO,$D63,KT_NGAY,5),SUMIFS(KT_PHAN,KT_LOAI,"Tổ",KT_TO,IF(J63="x",$D63,J63),KT_NGAY,5)))</f>
        <v>0</v>
      </c>
      <c r="AR63" s="31" t="n">
        <f aca="false">IF(OR($B63="",K63=""),0,IF(AND($E63="Trưởng tổ",K63="x"),SUMIFS(KT_TRUONG,KT_LOAI,"Tổ",KT_TO,$D63,KT_NGAY,6),SUMIFS(KT_PHAN,KT_LOAI,"Tổ",KT_TO,IF(K63="x",$D63,K63),KT_NGAY,6)))</f>
        <v>0</v>
      </c>
      <c r="AS63" s="31" t="n">
        <f aca="false">IF(OR($B63="",L63=""),0,IF(AND($E63="Trưởng tổ",L63="x"),SUMIFS(KT_TRUONG,KT_LOAI,"Tổ",KT_TO,$D63,KT_NGAY,7),SUMIFS(KT_PHAN,KT_LOAI,"Tổ",KT_TO,IF(L63="x",$D63,L63),KT_NGAY,7)))</f>
        <v>0</v>
      </c>
      <c r="AT63" s="31" t="n">
        <f aca="false">IF(OR($B63="",M63=""),0,IF(AND($E63="Trưởng tổ",M63="x"),SUMIFS(KT_TRUONG,KT_LOAI,"Tổ",KT_TO,$D63,KT_NGAY,8),SUMIFS(KT_PHAN,KT_LOAI,"Tổ",KT_TO,IF(M63="x",$D63,M63),KT_NGAY,8)))</f>
        <v>0</v>
      </c>
      <c r="AU63" s="31" t="n">
        <f aca="false">IF(OR($B63="",N63=""),0,IF(AND($E63="Trưởng tổ",N63="x"),SUMIFS(KT_TRUONG,KT_LOAI,"Tổ",KT_TO,$D63,KT_NGAY,9),SUMIFS(KT_PHAN,KT_LOAI,"Tổ",KT_TO,IF(N63="x",$D63,N63),KT_NGAY,9)))</f>
        <v>0</v>
      </c>
      <c r="AV63" s="31" t="n">
        <f aca="false">IF(OR($B63="",O63=""),0,IF(AND($E63="Trưởng tổ",O63="x"),SUMIFS(KT_TRUONG,KT_LOAI,"Tổ",KT_TO,$D63,KT_NGAY,10),SUMIFS(KT_PHAN,KT_LOAI,"Tổ",KT_TO,IF(O63="x",$D63,O63),KT_NGAY,10)))</f>
        <v>0</v>
      </c>
      <c r="AW63" s="31" t="n">
        <f aca="false">IF(OR($B63="",P63=""),0,IF(AND($E63="Trưởng tổ",P63="x"),SUMIFS(KT_TRUONG,KT_LOAI,"Tổ",KT_TO,$D63,KT_NGAY,11),SUMIFS(KT_PHAN,KT_LOAI,"Tổ",KT_TO,IF(P63="x",$D63,P63),KT_NGAY,11)))</f>
        <v>0</v>
      </c>
      <c r="AX63" s="31" t="n">
        <f aca="false">IF(OR($B63="",Q63=""),0,IF(AND($E63="Trưởng tổ",Q63="x"),SUMIFS(KT_TRUONG,KT_LOAI,"Tổ",KT_TO,$D63,KT_NGAY,12),SUMIFS(KT_PHAN,KT_LOAI,"Tổ",KT_TO,IF(Q63="x",$D63,Q63),KT_NGAY,12)))</f>
        <v>0</v>
      </c>
      <c r="AY63" s="31" t="n">
        <f aca="false">IF(OR($B63="",R63=""),0,IF(AND($E63="Trưởng tổ",R63="x"),SUMIFS(KT_TRUONG,KT_LOAI,"Tổ",KT_TO,$D63,KT_NGAY,13),SUMIFS(KT_PHAN,KT_LOAI,"Tổ",KT_TO,IF(R63="x",$D63,R63),KT_NGAY,13)))</f>
        <v>0</v>
      </c>
      <c r="AZ63" s="31" t="n">
        <f aca="false">IF(OR($B63="",S63=""),0,IF(AND($E63="Trưởng tổ",S63="x"),SUMIFS(KT_TRUONG,KT_LOAI,"Tổ",KT_TO,$D63,KT_NGAY,14),SUMIFS(KT_PHAN,KT_LOAI,"Tổ",KT_TO,IF(S63="x",$D63,S63),KT_NGAY,14)))</f>
        <v>0</v>
      </c>
      <c r="BA63" s="31" t="n">
        <f aca="false">IF(OR($B63="",T63=""),0,IF(AND($E63="Trưởng tổ",T63="x"),SUMIFS(KT_TRUONG,KT_LOAI,"Tổ",KT_TO,$D63,KT_NGAY,15),SUMIFS(KT_PHAN,KT_LOAI,"Tổ",KT_TO,IF(T63="x",$D63,T63),KT_NGAY,15)))</f>
        <v>0</v>
      </c>
      <c r="BB63" s="31" t="n">
        <f aca="false">IF(OR($B63="",U63=""),0,IF(AND($E63="Trưởng tổ",U63="x"),SUMIFS(KT_TRUONG,KT_LOAI,"Tổ",KT_TO,$D63,KT_NGAY,16),SUMIFS(KT_PHAN,KT_LOAI,"Tổ",KT_TO,IF(U63="x",$D63,U63),KT_NGAY,16)))</f>
        <v>0</v>
      </c>
      <c r="BC63" s="31" t="n">
        <f aca="false">IF(OR($B63="",V63=""),0,IF(AND($E63="Trưởng tổ",V63="x"),SUMIFS(KT_TRUONG,KT_LOAI,"Tổ",KT_TO,$D63,KT_NGAY,17),SUMIFS(KT_PHAN,KT_LOAI,"Tổ",KT_TO,IF(V63="x",$D63,V63),KT_NGAY,17)))</f>
        <v>0</v>
      </c>
      <c r="BD63" s="31" t="n">
        <f aca="false">IF(OR($B63="",W63=""),0,IF(AND($E63="Trưởng tổ",W63="x"),SUMIFS(KT_TRUONG,KT_LOAI,"Tổ",KT_TO,$D63,KT_NGAY,18),SUMIFS(KT_PHAN,KT_LOAI,"Tổ",KT_TO,IF(W63="x",$D63,W63),KT_NGAY,18)))</f>
        <v>0</v>
      </c>
      <c r="BE63" s="31" t="n">
        <f aca="false">IF(OR($B63="",X63=""),0,IF(AND($E63="Trưởng tổ",X63="x"),SUMIFS(KT_TRUONG,KT_LOAI,"Tổ",KT_TO,$D63,KT_NGAY,19),SUMIFS(KT_PHAN,KT_LOAI,"Tổ",KT_TO,IF(X63="x",$D63,X63),KT_NGAY,19)))</f>
        <v>0</v>
      </c>
      <c r="BF63" s="31" t="n">
        <f aca="false">IF(OR($B63="",Y63=""),0,IF(AND($E63="Trưởng tổ",Y63="x"),SUMIFS(KT_TRUONG,KT_LOAI,"Tổ",KT_TO,$D63,KT_NGAY,20),SUMIFS(KT_PHAN,KT_LOAI,"Tổ",KT_TO,IF(Y63="x",$D63,Y63),KT_NGAY,20)))</f>
        <v>0</v>
      </c>
      <c r="BG63" s="31" t="n">
        <f aca="false">IF(OR($B63="",Z63=""),0,IF(AND($E63="Trưởng tổ",Z63="x"),SUMIFS(KT_TRUONG,KT_LOAI,"Tổ",KT_TO,$D63,KT_NGAY,21),SUMIFS(KT_PHAN,KT_LOAI,"Tổ",KT_TO,IF(Z63="x",$D63,Z63),KT_NGAY,21)))</f>
        <v>0</v>
      </c>
      <c r="BH63" s="31" t="n">
        <f aca="false">IF(OR($B63="",AA63=""),0,IF(AND($E63="Trưởng tổ",AA63="x"),SUMIFS(KT_TRUONG,KT_LOAI,"Tổ",KT_TO,$D63,KT_NGAY,22),SUMIFS(KT_PHAN,KT_LOAI,"Tổ",KT_TO,IF(AA63="x",$D63,AA63),KT_NGAY,22)))</f>
        <v>0</v>
      </c>
      <c r="BI63" s="31" t="n">
        <f aca="false">IF(OR($B63="",AB63=""),0,IF(AND($E63="Trưởng tổ",AB63="x"),SUMIFS(KT_TRUONG,KT_LOAI,"Tổ",KT_TO,$D63,KT_NGAY,23),SUMIFS(KT_PHAN,KT_LOAI,"Tổ",KT_TO,IF(AB63="x",$D63,AB63),KT_NGAY,23)))</f>
        <v>0</v>
      </c>
      <c r="BJ63" s="31" t="n">
        <f aca="false">IF(OR($B63="",AC63=""),0,IF(AND($E63="Trưởng tổ",AC63="x"),SUMIFS(KT_TRUONG,KT_LOAI,"Tổ",KT_TO,$D63,KT_NGAY,24),SUMIFS(KT_PHAN,KT_LOAI,"Tổ",KT_TO,IF(AC63="x",$D63,AC63),KT_NGAY,24)))</f>
        <v>0</v>
      </c>
      <c r="BK63" s="31" t="n">
        <f aca="false">IF(OR($B63="",AD63=""),0,IF(AND($E63="Trưởng tổ",AD63="x"),SUMIFS(KT_TRUONG,KT_LOAI,"Tổ",KT_TO,$D63,KT_NGAY,25),SUMIFS(KT_PHAN,KT_LOAI,"Tổ",KT_TO,IF(AD63="x",$D63,AD63),KT_NGAY,25)))</f>
        <v>0</v>
      </c>
      <c r="BL63" s="31" t="n">
        <f aca="false">IF(OR($B63="",AE63=""),0,IF(AND($E63="Trưởng tổ",AE63="x"),SUMIFS(KT_TRUONG,KT_LOAI,"Tổ",KT_TO,$D63,KT_NGAY,26),SUMIFS(KT_PHAN,KT_LOAI,"Tổ",KT_TO,IF(AE63="x",$D63,AE63),KT_NGAY,26)))</f>
        <v>0</v>
      </c>
      <c r="BM63" s="31" t="n">
        <f aca="false">IF(OR($B63="",AF63=""),0,IF(AND($E63="Trưởng tổ",AF63="x"),SUMIFS(KT_TRUONG,KT_LOAI,"Tổ",KT_TO,$D63,KT_NGAY,27),SUMIFS(KT_PHAN,KT_LOAI,"Tổ",KT_TO,IF(AF63="x",$D63,AF63),KT_NGAY,27)))</f>
        <v>0</v>
      </c>
      <c r="BN63" s="31" t="n">
        <f aca="false">IF(OR($B63="",AG63=""),0,IF(AND($E63="Trưởng tổ",AG63="x"),SUMIFS(KT_TRUONG,KT_LOAI,"Tổ",KT_TO,$D63,KT_NGAY,28),SUMIFS(KT_PHAN,KT_LOAI,"Tổ",KT_TO,IF(AG63="x",$D63,AG63),KT_NGAY,28)))</f>
        <v>0</v>
      </c>
      <c r="BO63" s="31" t="n">
        <f aca="false">IF(OR($B63="",AH63=""),0,IF(AND($E63="Trưởng tổ",AH63="x"),SUMIFS(KT_TRUONG,KT_LOAI,"Tổ",KT_TO,$D63,KT_NGAY,29),SUMIFS(KT_PHAN,KT_LOAI,"Tổ",KT_TO,IF(AH63="x",$D63,AH63),KT_NGAY,29)))</f>
        <v>0</v>
      </c>
      <c r="BP63" s="31" t="n">
        <f aca="false">IF(OR($B63="",AI63=""),0,IF(AND($E63="Trưởng tổ",AI63="x"),SUMIFS(KT_TRUONG,KT_LOAI,"Tổ",KT_TO,$D63,KT_NGAY,30),SUMIFS(KT_PHAN,KT_LOAI,"Tổ",KT_TO,IF(AI63="x",$D63,AI63),KT_NGAY,30)))</f>
        <v>0</v>
      </c>
      <c r="BQ63" s="31" t="n">
        <f aca="false">IF(OR($B63="",AJ63=""),0,IF(AND($E63="Trưởng tổ",AJ63="x"),SUMIFS(KT_TRUONG,KT_LOAI,"Tổ",KT_TO,$D63,KT_NGAY,31),SUMIFS(KT_PHAN,KT_LOAI,"Tổ",KT_TO,IF(AJ63="x",$D63,AJ63),KT_NGAY,31)))</f>
        <v>0</v>
      </c>
    </row>
    <row r="64" customFormat="false" ht="15" hidden="false" customHeight="false" outlineLevel="0" collapsed="false">
      <c r="A64" s="17" t="str">
        <f aca="false">IF(B64="","",ROW()-5)</f>
        <v/>
      </c>
      <c r="B64" s="29" t="str">
        <f aca="false">IF(OR(BCC!B64="",BCC!D64&lt;&gt;"Thời vụ HAQT"),"",BCC!B64)</f>
        <v/>
      </c>
      <c r="C64" s="17" t="str">
        <f aca="false">IF(B64="","",BCC!C64)</f>
        <v/>
      </c>
      <c r="D64" s="17" t="str">
        <f aca="false">IF(B64="","",IFERROR(INDEX(NV_TO,MATCH(B64,NV_MA,0)),""))</f>
        <v/>
      </c>
      <c r="E64" s="17" t="str">
        <f aca="false">IF(B64="","",IFERROR(INDEX(NV_VT,MATCH(B64,NV_MA,0)),""))</f>
        <v/>
      </c>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17" t="str">
        <f aca="false">IF(B64="","",COUNTA(F64:AJ64))</f>
        <v/>
      </c>
      <c r="AL64" s="30" t="str">
        <f aca="false">IF(B64="","",SUM(AM64:BQ64))</f>
        <v/>
      </c>
      <c r="AM64" s="31" t="n">
        <f aca="false">IF(OR($B64="",F64=""),0,IF(AND($E64="Trưởng tổ",F64="x"),SUMIFS(KT_TRUONG,KT_LOAI,"Tổ",KT_TO,$D64,KT_NGAY,1),SUMIFS(KT_PHAN,KT_LOAI,"Tổ",KT_TO,IF(F64="x",$D64,F64),KT_NGAY,1)))</f>
        <v>0</v>
      </c>
      <c r="AN64" s="31" t="n">
        <f aca="false">IF(OR($B64="",G64=""),0,IF(AND($E64="Trưởng tổ",G64="x"),SUMIFS(KT_TRUONG,KT_LOAI,"Tổ",KT_TO,$D64,KT_NGAY,2),SUMIFS(KT_PHAN,KT_LOAI,"Tổ",KT_TO,IF(G64="x",$D64,G64),KT_NGAY,2)))</f>
        <v>0</v>
      </c>
      <c r="AO64" s="31" t="n">
        <f aca="false">IF(OR($B64="",H64=""),0,IF(AND($E64="Trưởng tổ",H64="x"),SUMIFS(KT_TRUONG,KT_LOAI,"Tổ",KT_TO,$D64,KT_NGAY,3),SUMIFS(KT_PHAN,KT_LOAI,"Tổ",KT_TO,IF(H64="x",$D64,H64),KT_NGAY,3)))</f>
        <v>0</v>
      </c>
      <c r="AP64" s="31" t="n">
        <f aca="false">IF(OR($B64="",I64=""),0,IF(AND($E64="Trưởng tổ",I64="x"),SUMIFS(KT_TRUONG,KT_LOAI,"Tổ",KT_TO,$D64,KT_NGAY,4),SUMIFS(KT_PHAN,KT_LOAI,"Tổ",KT_TO,IF(I64="x",$D64,I64),KT_NGAY,4)))</f>
        <v>0</v>
      </c>
      <c r="AQ64" s="31" t="n">
        <f aca="false">IF(OR($B64="",J64=""),0,IF(AND($E64="Trưởng tổ",J64="x"),SUMIFS(KT_TRUONG,KT_LOAI,"Tổ",KT_TO,$D64,KT_NGAY,5),SUMIFS(KT_PHAN,KT_LOAI,"Tổ",KT_TO,IF(J64="x",$D64,J64),KT_NGAY,5)))</f>
        <v>0</v>
      </c>
      <c r="AR64" s="31" t="n">
        <f aca="false">IF(OR($B64="",K64=""),0,IF(AND($E64="Trưởng tổ",K64="x"),SUMIFS(KT_TRUONG,KT_LOAI,"Tổ",KT_TO,$D64,KT_NGAY,6),SUMIFS(KT_PHAN,KT_LOAI,"Tổ",KT_TO,IF(K64="x",$D64,K64),KT_NGAY,6)))</f>
        <v>0</v>
      </c>
      <c r="AS64" s="31" t="n">
        <f aca="false">IF(OR($B64="",L64=""),0,IF(AND($E64="Trưởng tổ",L64="x"),SUMIFS(KT_TRUONG,KT_LOAI,"Tổ",KT_TO,$D64,KT_NGAY,7),SUMIFS(KT_PHAN,KT_LOAI,"Tổ",KT_TO,IF(L64="x",$D64,L64),KT_NGAY,7)))</f>
        <v>0</v>
      </c>
      <c r="AT64" s="31" t="n">
        <f aca="false">IF(OR($B64="",M64=""),0,IF(AND($E64="Trưởng tổ",M64="x"),SUMIFS(KT_TRUONG,KT_LOAI,"Tổ",KT_TO,$D64,KT_NGAY,8),SUMIFS(KT_PHAN,KT_LOAI,"Tổ",KT_TO,IF(M64="x",$D64,M64),KT_NGAY,8)))</f>
        <v>0</v>
      </c>
      <c r="AU64" s="31" t="n">
        <f aca="false">IF(OR($B64="",N64=""),0,IF(AND($E64="Trưởng tổ",N64="x"),SUMIFS(KT_TRUONG,KT_LOAI,"Tổ",KT_TO,$D64,KT_NGAY,9),SUMIFS(KT_PHAN,KT_LOAI,"Tổ",KT_TO,IF(N64="x",$D64,N64),KT_NGAY,9)))</f>
        <v>0</v>
      </c>
      <c r="AV64" s="31" t="n">
        <f aca="false">IF(OR($B64="",O64=""),0,IF(AND($E64="Trưởng tổ",O64="x"),SUMIFS(KT_TRUONG,KT_LOAI,"Tổ",KT_TO,$D64,KT_NGAY,10),SUMIFS(KT_PHAN,KT_LOAI,"Tổ",KT_TO,IF(O64="x",$D64,O64),KT_NGAY,10)))</f>
        <v>0</v>
      </c>
      <c r="AW64" s="31" t="n">
        <f aca="false">IF(OR($B64="",P64=""),0,IF(AND($E64="Trưởng tổ",P64="x"),SUMIFS(KT_TRUONG,KT_LOAI,"Tổ",KT_TO,$D64,KT_NGAY,11),SUMIFS(KT_PHAN,KT_LOAI,"Tổ",KT_TO,IF(P64="x",$D64,P64),KT_NGAY,11)))</f>
        <v>0</v>
      </c>
      <c r="AX64" s="31" t="n">
        <f aca="false">IF(OR($B64="",Q64=""),0,IF(AND($E64="Trưởng tổ",Q64="x"),SUMIFS(KT_TRUONG,KT_LOAI,"Tổ",KT_TO,$D64,KT_NGAY,12),SUMIFS(KT_PHAN,KT_LOAI,"Tổ",KT_TO,IF(Q64="x",$D64,Q64),KT_NGAY,12)))</f>
        <v>0</v>
      </c>
      <c r="AY64" s="31" t="n">
        <f aca="false">IF(OR($B64="",R64=""),0,IF(AND($E64="Trưởng tổ",R64="x"),SUMIFS(KT_TRUONG,KT_LOAI,"Tổ",KT_TO,$D64,KT_NGAY,13),SUMIFS(KT_PHAN,KT_LOAI,"Tổ",KT_TO,IF(R64="x",$D64,R64),KT_NGAY,13)))</f>
        <v>0</v>
      </c>
      <c r="AZ64" s="31" t="n">
        <f aca="false">IF(OR($B64="",S64=""),0,IF(AND($E64="Trưởng tổ",S64="x"),SUMIFS(KT_TRUONG,KT_LOAI,"Tổ",KT_TO,$D64,KT_NGAY,14),SUMIFS(KT_PHAN,KT_LOAI,"Tổ",KT_TO,IF(S64="x",$D64,S64),KT_NGAY,14)))</f>
        <v>0</v>
      </c>
      <c r="BA64" s="31" t="n">
        <f aca="false">IF(OR($B64="",T64=""),0,IF(AND($E64="Trưởng tổ",T64="x"),SUMIFS(KT_TRUONG,KT_LOAI,"Tổ",KT_TO,$D64,KT_NGAY,15),SUMIFS(KT_PHAN,KT_LOAI,"Tổ",KT_TO,IF(T64="x",$D64,T64),KT_NGAY,15)))</f>
        <v>0</v>
      </c>
      <c r="BB64" s="31" t="n">
        <f aca="false">IF(OR($B64="",U64=""),0,IF(AND($E64="Trưởng tổ",U64="x"),SUMIFS(KT_TRUONG,KT_LOAI,"Tổ",KT_TO,$D64,KT_NGAY,16),SUMIFS(KT_PHAN,KT_LOAI,"Tổ",KT_TO,IF(U64="x",$D64,U64),KT_NGAY,16)))</f>
        <v>0</v>
      </c>
      <c r="BC64" s="31" t="n">
        <f aca="false">IF(OR($B64="",V64=""),0,IF(AND($E64="Trưởng tổ",V64="x"),SUMIFS(KT_TRUONG,KT_LOAI,"Tổ",KT_TO,$D64,KT_NGAY,17),SUMIFS(KT_PHAN,KT_LOAI,"Tổ",KT_TO,IF(V64="x",$D64,V64),KT_NGAY,17)))</f>
        <v>0</v>
      </c>
      <c r="BD64" s="31" t="n">
        <f aca="false">IF(OR($B64="",W64=""),0,IF(AND($E64="Trưởng tổ",W64="x"),SUMIFS(KT_TRUONG,KT_LOAI,"Tổ",KT_TO,$D64,KT_NGAY,18),SUMIFS(KT_PHAN,KT_LOAI,"Tổ",KT_TO,IF(W64="x",$D64,W64),KT_NGAY,18)))</f>
        <v>0</v>
      </c>
      <c r="BE64" s="31" t="n">
        <f aca="false">IF(OR($B64="",X64=""),0,IF(AND($E64="Trưởng tổ",X64="x"),SUMIFS(KT_TRUONG,KT_LOAI,"Tổ",KT_TO,$D64,KT_NGAY,19),SUMIFS(KT_PHAN,KT_LOAI,"Tổ",KT_TO,IF(X64="x",$D64,X64),KT_NGAY,19)))</f>
        <v>0</v>
      </c>
      <c r="BF64" s="31" t="n">
        <f aca="false">IF(OR($B64="",Y64=""),0,IF(AND($E64="Trưởng tổ",Y64="x"),SUMIFS(KT_TRUONG,KT_LOAI,"Tổ",KT_TO,$D64,KT_NGAY,20),SUMIFS(KT_PHAN,KT_LOAI,"Tổ",KT_TO,IF(Y64="x",$D64,Y64),KT_NGAY,20)))</f>
        <v>0</v>
      </c>
      <c r="BG64" s="31" t="n">
        <f aca="false">IF(OR($B64="",Z64=""),0,IF(AND($E64="Trưởng tổ",Z64="x"),SUMIFS(KT_TRUONG,KT_LOAI,"Tổ",KT_TO,$D64,KT_NGAY,21),SUMIFS(KT_PHAN,KT_LOAI,"Tổ",KT_TO,IF(Z64="x",$D64,Z64),KT_NGAY,21)))</f>
        <v>0</v>
      </c>
      <c r="BH64" s="31" t="n">
        <f aca="false">IF(OR($B64="",AA64=""),0,IF(AND($E64="Trưởng tổ",AA64="x"),SUMIFS(KT_TRUONG,KT_LOAI,"Tổ",KT_TO,$D64,KT_NGAY,22),SUMIFS(KT_PHAN,KT_LOAI,"Tổ",KT_TO,IF(AA64="x",$D64,AA64),KT_NGAY,22)))</f>
        <v>0</v>
      </c>
      <c r="BI64" s="31" t="n">
        <f aca="false">IF(OR($B64="",AB64=""),0,IF(AND($E64="Trưởng tổ",AB64="x"),SUMIFS(KT_TRUONG,KT_LOAI,"Tổ",KT_TO,$D64,KT_NGAY,23),SUMIFS(KT_PHAN,KT_LOAI,"Tổ",KT_TO,IF(AB64="x",$D64,AB64),KT_NGAY,23)))</f>
        <v>0</v>
      </c>
      <c r="BJ64" s="31" t="n">
        <f aca="false">IF(OR($B64="",AC64=""),0,IF(AND($E64="Trưởng tổ",AC64="x"),SUMIFS(KT_TRUONG,KT_LOAI,"Tổ",KT_TO,$D64,KT_NGAY,24),SUMIFS(KT_PHAN,KT_LOAI,"Tổ",KT_TO,IF(AC64="x",$D64,AC64),KT_NGAY,24)))</f>
        <v>0</v>
      </c>
      <c r="BK64" s="31" t="n">
        <f aca="false">IF(OR($B64="",AD64=""),0,IF(AND($E64="Trưởng tổ",AD64="x"),SUMIFS(KT_TRUONG,KT_LOAI,"Tổ",KT_TO,$D64,KT_NGAY,25),SUMIFS(KT_PHAN,KT_LOAI,"Tổ",KT_TO,IF(AD64="x",$D64,AD64),KT_NGAY,25)))</f>
        <v>0</v>
      </c>
      <c r="BL64" s="31" t="n">
        <f aca="false">IF(OR($B64="",AE64=""),0,IF(AND($E64="Trưởng tổ",AE64="x"),SUMIFS(KT_TRUONG,KT_LOAI,"Tổ",KT_TO,$D64,KT_NGAY,26),SUMIFS(KT_PHAN,KT_LOAI,"Tổ",KT_TO,IF(AE64="x",$D64,AE64),KT_NGAY,26)))</f>
        <v>0</v>
      </c>
      <c r="BM64" s="31" t="n">
        <f aca="false">IF(OR($B64="",AF64=""),0,IF(AND($E64="Trưởng tổ",AF64="x"),SUMIFS(KT_TRUONG,KT_LOAI,"Tổ",KT_TO,$D64,KT_NGAY,27),SUMIFS(KT_PHAN,KT_LOAI,"Tổ",KT_TO,IF(AF64="x",$D64,AF64),KT_NGAY,27)))</f>
        <v>0</v>
      </c>
      <c r="BN64" s="31" t="n">
        <f aca="false">IF(OR($B64="",AG64=""),0,IF(AND($E64="Trưởng tổ",AG64="x"),SUMIFS(KT_TRUONG,KT_LOAI,"Tổ",KT_TO,$D64,KT_NGAY,28),SUMIFS(KT_PHAN,KT_LOAI,"Tổ",KT_TO,IF(AG64="x",$D64,AG64),KT_NGAY,28)))</f>
        <v>0</v>
      </c>
      <c r="BO64" s="31" t="n">
        <f aca="false">IF(OR($B64="",AH64=""),0,IF(AND($E64="Trưởng tổ",AH64="x"),SUMIFS(KT_TRUONG,KT_LOAI,"Tổ",KT_TO,$D64,KT_NGAY,29),SUMIFS(KT_PHAN,KT_LOAI,"Tổ",KT_TO,IF(AH64="x",$D64,AH64),KT_NGAY,29)))</f>
        <v>0</v>
      </c>
      <c r="BP64" s="31" t="n">
        <f aca="false">IF(OR($B64="",AI64=""),0,IF(AND($E64="Trưởng tổ",AI64="x"),SUMIFS(KT_TRUONG,KT_LOAI,"Tổ",KT_TO,$D64,KT_NGAY,30),SUMIFS(KT_PHAN,KT_LOAI,"Tổ",KT_TO,IF(AI64="x",$D64,AI64),KT_NGAY,30)))</f>
        <v>0</v>
      </c>
      <c r="BQ64" s="31" t="n">
        <f aca="false">IF(OR($B64="",AJ64=""),0,IF(AND($E64="Trưởng tổ",AJ64="x"),SUMIFS(KT_TRUONG,KT_LOAI,"Tổ",KT_TO,$D64,KT_NGAY,31),SUMIFS(KT_PHAN,KT_LOAI,"Tổ",KT_TO,IF(AJ64="x",$D64,AJ64),KT_NGAY,31)))</f>
        <v>0</v>
      </c>
    </row>
    <row r="65" customFormat="false" ht="15" hidden="false" customHeight="false" outlineLevel="0" collapsed="false">
      <c r="A65" s="17" t="str">
        <f aca="false">IF(B65="","",ROW()-5)</f>
        <v/>
      </c>
      <c r="B65" s="29" t="str">
        <f aca="false">IF(OR(BCC!B65="",BCC!D65&lt;&gt;"Thời vụ HAQT"),"",BCC!B65)</f>
        <v/>
      </c>
      <c r="C65" s="17" t="str">
        <f aca="false">IF(B65="","",BCC!C65)</f>
        <v/>
      </c>
      <c r="D65" s="17" t="str">
        <f aca="false">IF(B65="","",IFERROR(INDEX(NV_TO,MATCH(B65,NV_MA,0)),""))</f>
        <v/>
      </c>
      <c r="E65" s="17" t="str">
        <f aca="false">IF(B65="","",IFERROR(INDEX(NV_VT,MATCH(B65,NV_MA,0)),""))</f>
        <v/>
      </c>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17" t="str">
        <f aca="false">IF(B65="","",COUNTA(F65:AJ65))</f>
        <v/>
      </c>
      <c r="AL65" s="30" t="str">
        <f aca="false">IF(B65="","",SUM(AM65:BQ65))</f>
        <v/>
      </c>
      <c r="AM65" s="31" t="n">
        <f aca="false">IF(OR($B65="",F65=""),0,IF(AND($E65="Trưởng tổ",F65="x"),SUMIFS(KT_TRUONG,KT_LOAI,"Tổ",KT_TO,$D65,KT_NGAY,1),SUMIFS(KT_PHAN,KT_LOAI,"Tổ",KT_TO,IF(F65="x",$D65,F65),KT_NGAY,1)))</f>
        <v>0</v>
      </c>
      <c r="AN65" s="31" t="n">
        <f aca="false">IF(OR($B65="",G65=""),0,IF(AND($E65="Trưởng tổ",G65="x"),SUMIFS(KT_TRUONG,KT_LOAI,"Tổ",KT_TO,$D65,KT_NGAY,2),SUMIFS(KT_PHAN,KT_LOAI,"Tổ",KT_TO,IF(G65="x",$D65,G65),KT_NGAY,2)))</f>
        <v>0</v>
      </c>
      <c r="AO65" s="31" t="n">
        <f aca="false">IF(OR($B65="",H65=""),0,IF(AND($E65="Trưởng tổ",H65="x"),SUMIFS(KT_TRUONG,KT_LOAI,"Tổ",KT_TO,$D65,KT_NGAY,3),SUMIFS(KT_PHAN,KT_LOAI,"Tổ",KT_TO,IF(H65="x",$D65,H65),KT_NGAY,3)))</f>
        <v>0</v>
      </c>
      <c r="AP65" s="31" t="n">
        <f aca="false">IF(OR($B65="",I65=""),0,IF(AND($E65="Trưởng tổ",I65="x"),SUMIFS(KT_TRUONG,KT_LOAI,"Tổ",KT_TO,$D65,KT_NGAY,4),SUMIFS(KT_PHAN,KT_LOAI,"Tổ",KT_TO,IF(I65="x",$D65,I65),KT_NGAY,4)))</f>
        <v>0</v>
      </c>
      <c r="AQ65" s="31" t="n">
        <f aca="false">IF(OR($B65="",J65=""),0,IF(AND($E65="Trưởng tổ",J65="x"),SUMIFS(KT_TRUONG,KT_LOAI,"Tổ",KT_TO,$D65,KT_NGAY,5),SUMIFS(KT_PHAN,KT_LOAI,"Tổ",KT_TO,IF(J65="x",$D65,J65),KT_NGAY,5)))</f>
        <v>0</v>
      </c>
      <c r="AR65" s="31" t="n">
        <f aca="false">IF(OR($B65="",K65=""),0,IF(AND($E65="Trưởng tổ",K65="x"),SUMIFS(KT_TRUONG,KT_LOAI,"Tổ",KT_TO,$D65,KT_NGAY,6),SUMIFS(KT_PHAN,KT_LOAI,"Tổ",KT_TO,IF(K65="x",$D65,K65),KT_NGAY,6)))</f>
        <v>0</v>
      </c>
      <c r="AS65" s="31" t="n">
        <f aca="false">IF(OR($B65="",L65=""),0,IF(AND($E65="Trưởng tổ",L65="x"),SUMIFS(KT_TRUONG,KT_LOAI,"Tổ",KT_TO,$D65,KT_NGAY,7),SUMIFS(KT_PHAN,KT_LOAI,"Tổ",KT_TO,IF(L65="x",$D65,L65),KT_NGAY,7)))</f>
        <v>0</v>
      </c>
      <c r="AT65" s="31" t="n">
        <f aca="false">IF(OR($B65="",M65=""),0,IF(AND($E65="Trưởng tổ",M65="x"),SUMIFS(KT_TRUONG,KT_LOAI,"Tổ",KT_TO,$D65,KT_NGAY,8),SUMIFS(KT_PHAN,KT_LOAI,"Tổ",KT_TO,IF(M65="x",$D65,M65),KT_NGAY,8)))</f>
        <v>0</v>
      </c>
      <c r="AU65" s="31" t="n">
        <f aca="false">IF(OR($B65="",N65=""),0,IF(AND($E65="Trưởng tổ",N65="x"),SUMIFS(KT_TRUONG,KT_LOAI,"Tổ",KT_TO,$D65,KT_NGAY,9),SUMIFS(KT_PHAN,KT_LOAI,"Tổ",KT_TO,IF(N65="x",$D65,N65),KT_NGAY,9)))</f>
        <v>0</v>
      </c>
      <c r="AV65" s="31" t="n">
        <f aca="false">IF(OR($B65="",O65=""),0,IF(AND($E65="Trưởng tổ",O65="x"),SUMIFS(KT_TRUONG,KT_LOAI,"Tổ",KT_TO,$D65,KT_NGAY,10),SUMIFS(KT_PHAN,KT_LOAI,"Tổ",KT_TO,IF(O65="x",$D65,O65),KT_NGAY,10)))</f>
        <v>0</v>
      </c>
      <c r="AW65" s="31" t="n">
        <f aca="false">IF(OR($B65="",P65=""),0,IF(AND($E65="Trưởng tổ",P65="x"),SUMIFS(KT_TRUONG,KT_LOAI,"Tổ",KT_TO,$D65,KT_NGAY,11),SUMIFS(KT_PHAN,KT_LOAI,"Tổ",KT_TO,IF(P65="x",$D65,P65),KT_NGAY,11)))</f>
        <v>0</v>
      </c>
      <c r="AX65" s="31" t="n">
        <f aca="false">IF(OR($B65="",Q65=""),0,IF(AND($E65="Trưởng tổ",Q65="x"),SUMIFS(KT_TRUONG,KT_LOAI,"Tổ",KT_TO,$D65,KT_NGAY,12),SUMIFS(KT_PHAN,KT_LOAI,"Tổ",KT_TO,IF(Q65="x",$D65,Q65),KT_NGAY,12)))</f>
        <v>0</v>
      </c>
      <c r="AY65" s="31" t="n">
        <f aca="false">IF(OR($B65="",R65=""),0,IF(AND($E65="Trưởng tổ",R65="x"),SUMIFS(KT_TRUONG,KT_LOAI,"Tổ",KT_TO,$D65,KT_NGAY,13),SUMIFS(KT_PHAN,KT_LOAI,"Tổ",KT_TO,IF(R65="x",$D65,R65),KT_NGAY,13)))</f>
        <v>0</v>
      </c>
      <c r="AZ65" s="31" t="n">
        <f aca="false">IF(OR($B65="",S65=""),0,IF(AND($E65="Trưởng tổ",S65="x"),SUMIFS(KT_TRUONG,KT_LOAI,"Tổ",KT_TO,$D65,KT_NGAY,14),SUMIFS(KT_PHAN,KT_LOAI,"Tổ",KT_TO,IF(S65="x",$D65,S65),KT_NGAY,14)))</f>
        <v>0</v>
      </c>
      <c r="BA65" s="31" t="n">
        <f aca="false">IF(OR($B65="",T65=""),0,IF(AND($E65="Trưởng tổ",T65="x"),SUMIFS(KT_TRUONG,KT_LOAI,"Tổ",KT_TO,$D65,KT_NGAY,15),SUMIFS(KT_PHAN,KT_LOAI,"Tổ",KT_TO,IF(T65="x",$D65,T65),KT_NGAY,15)))</f>
        <v>0</v>
      </c>
      <c r="BB65" s="31" t="n">
        <f aca="false">IF(OR($B65="",U65=""),0,IF(AND($E65="Trưởng tổ",U65="x"),SUMIFS(KT_TRUONG,KT_LOAI,"Tổ",KT_TO,$D65,KT_NGAY,16),SUMIFS(KT_PHAN,KT_LOAI,"Tổ",KT_TO,IF(U65="x",$D65,U65),KT_NGAY,16)))</f>
        <v>0</v>
      </c>
      <c r="BC65" s="31" t="n">
        <f aca="false">IF(OR($B65="",V65=""),0,IF(AND($E65="Trưởng tổ",V65="x"),SUMIFS(KT_TRUONG,KT_LOAI,"Tổ",KT_TO,$D65,KT_NGAY,17),SUMIFS(KT_PHAN,KT_LOAI,"Tổ",KT_TO,IF(V65="x",$D65,V65),KT_NGAY,17)))</f>
        <v>0</v>
      </c>
      <c r="BD65" s="31" t="n">
        <f aca="false">IF(OR($B65="",W65=""),0,IF(AND($E65="Trưởng tổ",W65="x"),SUMIFS(KT_TRUONG,KT_LOAI,"Tổ",KT_TO,$D65,KT_NGAY,18),SUMIFS(KT_PHAN,KT_LOAI,"Tổ",KT_TO,IF(W65="x",$D65,W65),KT_NGAY,18)))</f>
        <v>0</v>
      </c>
      <c r="BE65" s="31" t="n">
        <f aca="false">IF(OR($B65="",X65=""),0,IF(AND($E65="Trưởng tổ",X65="x"),SUMIFS(KT_TRUONG,KT_LOAI,"Tổ",KT_TO,$D65,KT_NGAY,19),SUMIFS(KT_PHAN,KT_LOAI,"Tổ",KT_TO,IF(X65="x",$D65,X65),KT_NGAY,19)))</f>
        <v>0</v>
      </c>
      <c r="BF65" s="31" t="n">
        <f aca="false">IF(OR($B65="",Y65=""),0,IF(AND($E65="Trưởng tổ",Y65="x"),SUMIFS(KT_TRUONG,KT_LOAI,"Tổ",KT_TO,$D65,KT_NGAY,20),SUMIFS(KT_PHAN,KT_LOAI,"Tổ",KT_TO,IF(Y65="x",$D65,Y65),KT_NGAY,20)))</f>
        <v>0</v>
      </c>
      <c r="BG65" s="31" t="n">
        <f aca="false">IF(OR($B65="",Z65=""),0,IF(AND($E65="Trưởng tổ",Z65="x"),SUMIFS(KT_TRUONG,KT_LOAI,"Tổ",KT_TO,$D65,KT_NGAY,21),SUMIFS(KT_PHAN,KT_LOAI,"Tổ",KT_TO,IF(Z65="x",$D65,Z65),KT_NGAY,21)))</f>
        <v>0</v>
      </c>
      <c r="BH65" s="31" t="n">
        <f aca="false">IF(OR($B65="",AA65=""),0,IF(AND($E65="Trưởng tổ",AA65="x"),SUMIFS(KT_TRUONG,KT_LOAI,"Tổ",KT_TO,$D65,KT_NGAY,22),SUMIFS(KT_PHAN,KT_LOAI,"Tổ",KT_TO,IF(AA65="x",$D65,AA65),KT_NGAY,22)))</f>
        <v>0</v>
      </c>
      <c r="BI65" s="31" t="n">
        <f aca="false">IF(OR($B65="",AB65=""),0,IF(AND($E65="Trưởng tổ",AB65="x"),SUMIFS(KT_TRUONG,KT_LOAI,"Tổ",KT_TO,$D65,KT_NGAY,23),SUMIFS(KT_PHAN,KT_LOAI,"Tổ",KT_TO,IF(AB65="x",$D65,AB65),KT_NGAY,23)))</f>
        <v>0</v>
      </c>
      <c r="BJ65" s="31" t="n">
        <f aca="false">IF(OR($B65="",AC65=""),0,IF(AND($E65="Trưởng tổ",AC65="x"),SUMIFS(KT_TRUONG,KT_LOAI,"Tổ",KT_TO,$D65,KT_NGAY,24),SUMIFS(KT_PHAN,KT_LOAI,"Tổ",KT_TO,IF(AC65="x",$D65,AC65),KT_NGAY,24)))</f>
        <v>0</v>
      </c>
      <c r="BK65" s="31" t="n">
        <f aca="false">IF(OR($B65="",AD65=""),0,IF(AND($E65="Trưởng tổ",AD65="x"),SUMIFS(KT_TRUONG,KT_LOAI,"Tổ",KT_TO,$D65,KT_NGAY,25),SUMIFS(KT_PHAN,KT_LOAI,"Tổ",KT_TO,IF(AD65="x",$D65,AD65),KT_NGAY,25)))</f>
        <v>0</v>
      </c>
      <c r="BL65" s="31" t="n">
        <f aca="false">IF(OR($B65="",AE65=""),0,IF(AND($E65="Trưởng tổ",AE65="x"),SUMIFS(KT_TRUONG,KT_LOAI,"Tổ",KT_TO,$D65,KT_NGAY,26),SUMIFS(KT_PHAN,KT_LOAI,"Tổ",KT_TO,IF(AE65="x",$D65,AE65),KT_NGAY,26)))</f>
        <v>0</v>
      </c>
      <c r="BM65" s="31" t="n">
        <f aca="false">IF(OR($B65="",AF65=""),0,IF(AND($E65="Trưởng tổ",AF65="x"),SUMIFS(KT_TRUONG,KT_LOAI,"Tổ",KT_TO,$D65,KT_NGAY,27),SUMIFS(KT_PHAN,KT_LOAI,"Tổ",KT_TO,IF(AF65="x",$D65,AF65),KT_NGAY,27)))</f>
        <v>0</v>
      </c>
      <c r="BN65" s="31" t="n">
        <f aca="false">IF(OR($B65="",AG65=""),0,IF(AND($E65="Trưởng tổ",AG65="x"),SUMIFS(KT_TRUONG,KT_LOAI,"Tổ",KT_TO,$D65,KT_NGAY,28),SUMIFS(KT_PHAN,KT_LOAI,"Tổ",KT_TO,IF(AG65="x",$D65,AG65),KT_NGAY,28)))</f>
        <v>0</v>
      </c>
      <c r="BO65" s="31" t="n">
        <f aca="false">IF(OR($B65="",AH65=""),0,IF(AND($E65="Trưởng tổ",AH65="x"),SUMIFS(KT_TRUONG,KT_LOAI,"Tổ",KT_TO,$D65,KT_NGAY,29),SUMIFS(KT_PHAN,KT_LOAI,"Tổ",KT_TO,IF(AH65="x",$D65,AH65),KT_NGAY,29)))</f>
        <v>0</v>
      </c>
      <c r="BP65" s="31" t="n">
        <f aca="false">IF(OR($B65="",AI65=""),0,IF(AND($E65="Trưởng tổ",AI65="x"),SUMIFS(KT_TRUONG,KT_LOAI,"Tổ",KT_TO,$D65,KT_NGAY,30),SUMIFS(KT_PHAN,KT_LOAI,"Tổ",KT_TO,IF(AI65="x",$D65,AI65),KT_NGAY,30)))</f>
        <v>0</v>
      </c>
      <c r="BQ65" s="31" t="n">
        <f aca="false">IF(OR($B65="",AJ65=""),0,IF(AND($E65="Trưởng tổ",AJ65="x"),SUMIFS(KT_TRUONG,KT_LOAI,"Tổ",KT_TO,$D65,KT_NGAY,31),SUMIFS(KT_PHAN,KT_LOAI,"Tổ",KT_TO,IF(AJ65="x",$D65,AJ65),KT_NGAY,31)))</f>
        <v>0</v>
      </c>
    </row>
    <row r="66" customFormat="false" ht="15" hidden="false" customHeight="false" outlineLevel="0" collapsed="false">
      <c r="A66" s="17" t="str">
        <f aca="false">IF(B66="","",ROW()-5)</f>
        <v/>
      </c>
      <c r="B66" s="29" t="str">
        <f aca="false">IF(OR(BCC!B66="",BCC!D66&lt;&gt;"Thời vụ HAQT"),"",BCC!B66)</f>
        <v/>
      </c>
      <c r="C66" s="17" t="str">
        <f aca="false">IF(B66="","",BCC!C66)</f>
        <v/>
      </c>
      <c r="D66" s="17" t="str">
        <f aca="false">IF(B66="","",IFERROR(INDEX(NV_TO,MATCH(B66,NV_MA,0)),""))</f>
        <v/>
      </c>
      <c r="E66" s="17" t="str">
        <f aca="false">IF(B66="","",IFERROR(INDEX(NV_VT,MATCH(B66,NV_MA,0)),""))</f>
        <v/>
      </c>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17" t="str">
        <f aca="false">IF(B66="","",COUNTA(F66:AJ66))</f>
        <v/>
      </c>
      <c r="AL66" s="30" t="str">
        <f aca="false">IF(B66="","",SUM(AM66:BQ66))</f>
        <v/>
      </c>
      <c r="AM66" s="31" t="n">
        <f aca="false">IF(OR($B66="",F66=""),0,IF(AND($E66="Trưởng tổ",F66="x"),SUMIFS(KT_TRUONG,KT_LOAI,"Tổ",KT_TO,$D66,KT_NGAY,1),SUMIFS(KT_PHAN,KT_LOAI,"Tổ",KT_TO,IF(F66="x",$D66,F66),KT_NGAY,1)))</f>
        <v>0</v>
      </c>
      <c r="AN66" s="31" t="n">
        <f aca="false">IF(OR($B66="",G66=""),0,IF(AND($E66="Trưởng tổ",G66="x"),SUMIFS(KT_TRUONG,KT_LOAI,"Tổ",KT_TO,$D66,KT_NGAY,2),SUMIFS(KT_PHAN,KT_LOAI,"Tổ",KT_TO,IF(G66="x",$D66,G66),KT_NGAY,2)))</f>
        <v>0</v>
      </c>
      <c r="AO66" s="31" t="n">
        <f aca="false">IF(OR($B66="",H66=""),0,IF(AND($E66="Trưởng tổ",H66="x"),SUMIFS(KT_TRUONG,KT_LOAI,"Tổ",KT_TO,$D66,KT_NGAY,3),SUMIFS(KT_PHAN,KT_LOAI,"Tổ",KT_TO,IF(H66="x",$D66,H66),KT_NGAY,3)))</f>
        <v>0</v>
      </c>
      <c r="AP66" s="31" t="n">
        <f aca="false">IF(OR($B66="",I66=""),0,IF(AND($E66="Trưởng tổ",I66="x"),SUMIFS(KT_TRUONG,KT_LOAI,"Tổ",KT_TO,$D66,KT_NGAY,4),SUMIFS(KT_PHAN,KT_LOAI,"Tổ",KT_TO,IF(I66="x",$D66,I66),KT_NGAY,4)))</f>
        <v>0</v>
      </c>
      <c r="AQ66" s="31" t="n">
        <f aca="false">IF(OR($B66="",J66=""),0,IF(AND($E66="Trưởng tổ",J66="x"),SUMIFS(KT_TRUONG,KT_LOAI,"Tổ",KT_TO,$D66,KT_NGAY,5),SUMIFS(KT_PHAN,KT_LOAI,"Tổ",KT_TO,IF(J66="x",$D66,J66),KT_NGAY,5)))</f>
        <v>0</v>
      </c>
      <c r="AR66" s="31" t="n">
        <f aca="false">IF(OR($B66="",K66=""),0,IF(AND($E66="Trưởng tổ",K66="x"),SUMIFS(KT_TRUONG,KT_LOAI,"Tổ",KT_TO,$D66,KT_NGAY,6),SUMIFS(KT_PHAN,KT_LOAI,"Tổ",KT_TO,IF(K66="x",$D66,K66),KT_NGAY,6)))</f>
        <v>0</v>
      </c>
      <c r="AS66" s="31" t="n">
        <f aca="false">IF(OR($B66="",L66=""),0,IF(AND($E66="Trưởng tổ",L66="x"),SUMIFS(KT_TRUONG,KT_LOAI,"Tổ",KT_TO,$D66,KT_NGAY,7),SUMIFS(KT_PHAN,KT_LOAI,"Tổ",KT_TO,IF(L66="x",$D66,L66),KT_NGAY,7)))</f>
        <v>0</v>
      </c>
      <c r="AT66" s="31" t="n">
        <f aca="false">IF(OR($B66="",M66=""),0,IF(AND($E66="Trưởng tổ",M66="x"),SUMIFS(KT_TRUONG,KT_LOAI,"Tổ",KT_TO,$D66,KT_NGAY,8),SUMIFS(KT_PHAN,KT_LOAI,"Tổ",KT_TO,IF(M66="x",$D66,M66),KT_NGAY,8)))</f>
        <v>0</v>
      </c>
      <c r="AU66" s="31" t="n">
        <f aca="false">IF(OR($B66="",N66=""),0,IF(AND($E66="Trưởng tổ",N66="x"),SUMIFS(KT_TRUONG,KT_LOAI,"Tổ",KT_TO,$D66,KT_NGAY,9),SUMIFS(KT_PHAN,KT_LOAI,"Tổ",KT_TO,IF(N66="x",$D66,N66),KT_NGAY,9)))</f>
        <v>0</v>
      </c>
      <c r="AV66" s="31" t="n">
        <f aca="false">IF(OR($B66="",O66=""),0,IF(AND($E66="Trưởng tổ",O66="x"),SUMIFS(KT_TRUONG,KT_LOAI,"Tổ",KT_TO,$D66,KT_NGAY,10),SUMIFS(KT_PHAN,KT_LOAI,"Tổ",KT_TO,IF(O66="x",$D66,O66),KT_NGAY,10)))</f>
        <v>0</v>
      </c>
      <c r="AW66" s="31" t="n">
        <f aca="false">IF(OR($B66="",P66=""),0,IF(AND($E66="Trưởng tổ",P66="x"),SUMIFS(KT_TRUONG,KT_LOAI,"Tổ",KT_TO,$D66,KT_NGAY,11),SUMIFS(KT_PHAN,KT_LOAI,"Tổ",KT_TO,IF(P66="x",$D66,P66),KT_NGAY,11)))</f>
        <v>0</v>
      </c>
      <c r="AX66" s="31" t="n">
        <f aca="false">IF(OR($B66="",Q66=""),0,IF(AND($E66="Trưởng tổ",Q66="x"),SUMIFS(KT_TRUONG,KT_LOAI,"Tổ",KT_TO,$D66,KT_NGAY,12),SUMIFS(KT_PHAN,KT_LOAI,"Tổ",KT_TO,IF(Q66="x",$D66,Q66),KT_NGAY,12)))</f>
        <v>0</v>
      </c>
      <c r="AY66" s="31" t="n">
        <f aca="false">IF(OR($B66="",R66=""),0,IF(AND($E66="Trưởng tổ",R66="x"),SUMIFS(KT_TRUONG,KT_LOAI,"Tổ",KT_TO,$D66,KT_NGAY,13),SUMIFS(KT_PHAN,KT_LOAI,"Tổ",KT_TO,IF(R66="x",$D66,R66),KT_NGAY,13)))</f>
        <v>0</v>
      </c>
      <c r="AZ66" s="31" t="n">
        <f aca="false">IF(OR($B66="",S66=""),0,IF(AND($E66="Trưởng tổ",S66="x"),SUMIFS(KT_TRUONG,KT_LOAI,"Tổ",KT_TO,$D66,KT_NGAY,14),SUMIFS(KT_PHAN,KT_LOAI,"Tổ",KT_TO,IF(S66="x",$D66,S66),KT_NGAY,14)))</f>
        <v>0</v>
      </c>
      <c r="BA66" s="31" t="n">
        <f aca="false">IF(OR($B66="",T66=""),0,IF(AND($E66="Trưởng tổ",T66="x"),SUMIFS(KT_TRUONG,KT_LOAI,"Tổ",KT_TO,$D66,KT_NGAY,15),SUMIFS(KT_PHAN,KT_LOAI,"Tổ",KT_TO,IF(T66="x",$D66,T66),KT_NGAY,15)))</f>
        <v>0</v>
      </c>
      <c r="BB66" s="31" t="n">
        <f aca="false">IF(OR($B66="",U66=""),0,IF(AND($E66="Trưởng tổ",U66="x"),SUMIFS(KT_TRUONG,KT_LOAI,"Tổ",KT_TO,$D66,KT_NGAY,16),SUMIFS(KT_PHAN,KT_LOAI,"Tổ",KT_TO,IF(U66="x",$D66,U66),KT_NGAY,16)))</f>
        <v>0</v>
      </c>
      <c r="BC66" s="31" t="n">
        <f aca="false">IF(OR($B66="",V66=""),0,IF(AND($E66="Trưởng tổ",V66="x"),SUMIFS(KT_TRUONG,KT_LOAI,"Tổ",KT_TO,$D66,KT_NGAY,17),SUMIFS(KT_PHAN,KT_LOAI,"Tổ",KT_TO,IF(V66="x",$D66,V66),KT_NGAY,17)))</f>
        <v>0</v>
      </c>
      <c r="BD66" s="31" t="n">
        <f aca="false">IF(OR($B66="",W66=""),0,IF(AND($E66="Trưởng tổ",W66="x"),SUMIFS(KT_TRUONG,KT_LOAI,"Tổ",KT_TO,$D66,KT_NGAY,18),SUMIFS(KT_PHAN,KT_LOAI,"Tổ",KT_TO,IF(W66="x",$D66,W66),KT_NGAY,18)))</f>
        <v>0</v>
      </c>
      <c r="BE66" s="31" t="n">
        <f aca="false">IF(OR($B66="",X66=""),0,IF(AND($E66="Trưởng tổ",X66="x"),SUMIFS(KT_TRUONG,KT_LOAI,"Tổ",KT_TO,$D66,KT_NGAY,19),SUMIFS(KT_PHAN,KT_LOAI,"Tổ",KT_TO,IF(X66="x",$D66,X66),KT_NGAY,19)))</f>
        <v>0</v>
      </c>
      <c r="BF66" s="31" t="n">
        <f aca="false">IF(OR($B66="",Y66=""),0,IF(AND($E66="Trưởng tổ",Y66="x"),SUMIFS(KT_TRUONG,KT_LOAI,"Tổ",KT_TO,$D66,KT_NGAY,20),SUMIFS(KT_PHAN,KT_LOAI,"Tổ",KT_TO,IF(Y66="x",$D66,Y66),KT_NGAY,20)))</f>
        <v>0</v>
      </c>
      <c r="BG66" s="31" t="n">
        <f aca="false">IF(OR($B66="",Z66=""),0,IF(AND($E66="Trưởng tổ",Z66="x"),SUMIFS(KT_TRUONG,KT_LOAI,"Tổ",KT_TO,$D66,KT_NGAY,21),SUMIFS(KT_PHAN,KT_LOAI,"Tổ",KT_TO,IF(Z66="x",$D66,Z66),KT_NGAY,21)))</f>
        <v>0</v>
      </c>
      <c r="BH66" s="31" t="n">
        <f aca="false">IF(OR($B66="",AA66=""),0,IF(AND($E66="Trưởng tổ",AA66="x"),SUMIFS(KT_TRUONG,KT_LOAI,"Tổ",KT_TO,$D66,KT_NGAY,22),SUMIFS(KT_PHAN,KT_LOAI,"Tổ",KT_TO,IF(AA66="x",$D66,AA66),KT_NGAY,22)))</f>
        <v>0</v>
      </c>
      <c r="BI66" s="31" t="n">
        <f aca="false">IF(OR($B66="",AB66=""),0,IF(AND($E66="Trưởng tổ",AB66="x"),SUMIFS(KT_TRUONG,KT_LOAI,"Tổ",KT_TO,$D66,KT_NGAY,23),SUMIFS(KT_PHAN,KT_LOAI,"Tổ",KT_TO,IF(AB66="x",$D66,AB66),KT_NGAY,23)))</f>
        <v>0</v>
      </c>
      <c r="BJ66" s="31" t="n">
        <f aca="false">IF(OR($B66="",AC66=""),0,IF(AND($E66="Trưởng tổ",AC66="x"),SUMIFS(KT_TRUONG,KT_LOAI,"Tổ",KT_TO,$D66,KT_NGAY,24),SUMIFS(KT_PHAN,KT_LOAI,"Tổ",KT_TO,IF(AC66="x",$D66,AC66),KT_NGAY,24)))</f>
        <v>0</v>
      </c>
      <c r="BK66" s="31" t="n">
        <f aca="false">IF(OR($B66="",AD66=""),0,IF(AND($E66="Trưởng tổ",AD66="x"),SUMIFS(KT_TRUONG,KT_LOAI,"Tổ",KT_TO,$D66,KT_NGAY,25),SUMIFS(KT_PHAN,KT_LOAI,"Tổ",KT_TO,IF(AD66="x",$D66,AD66),KT_NGAY,25)))</f>
        <v>0</v>
      </c>
      <c r="BL66" s="31" t="n">
        <f aca="false">IF(OR($B66="",AE66=""),0,IF(AND($E66="Trưởng tổ",AE66="x"),SUMIFS(KT_TRUONG,KT_LOAI,"Tổ",KT_TO,$D66,KT_NGAY,26),SUMIFS(KT_PHAN,KT_LOAI,"Tổ",KT_TO,IF(AE66="x",$D66,AE66),KT_NGAY,26)))</f>
        <v>0</v>
      </c>
      <c r="BM66" s="31" t="n">
        <f aca="false">IF(OR($B66="",AF66=""),0,IF(AND($E66="Trưởng tổ",AF66="x"),SUMIFS(KT_TRUONG,KT_LOAI,"Tổ",KT_TO,$D66,KT_NGAY,27),SUMIFS(KT_PHAN,KT_LOAI,"Tổ",KT_TO,IF(AF66="x",$D66,AF66),KT_NGAY,27)))</f>
        <v>0</v>
      </c>
      <c r="BN66" s="31" t="n">
        <f aca="false">IF(OR($B66="",AG66=""),0,IF(AND($E66="Trưởng tổ",AG66="x"),SUMIFS(KT_TRUONG,KT_LOAI,"Tổ",KT_TO,$D66,KT_NGAY,28),SUMIFS(KT_PHAN,KT_LOAI,"Tổ",KT_TO,IF(AG66="x",$D66,AG66),KT_NGAY,28)))</f>
        <v>0</v>
      </c>
      <c r="BO66" s="31" t="n">
        <f aca="false">IF(OR($B66="",AH66=""),0,IF(AND($E66="Trưởng tổ",AH66="x"),SUMIFS(KT_TRUONG,KT_LOAI,"Tổ",KT_TO,$D66,KT_NGAY,29),SUMIFS(KT_PHAN,KT_LOAI,"Tổ",KT_TO,IF(AH66="x",$D66,AH66),KT_NGAY,29)))</f>
        <v>0</v>
      </c>
      <c r="BP66" s="31" t="n">
        <f aca="false">IF(OR($B66="",AI66=""),0,IF(AND($E66="Trưởng tổ",AI66="x"),SUMIFS(KT_TRUONG,KT_LOAI,"Tổ",KT_TO,$D66,KT_NGAY,30),SUMIFS(KT_PHAN,KT_LOAI,"Tổ",KT_TO,IF(AI66="x",$D66,AI66),KT_NGAY,30)))</f>
        <v>0</v>
      </c>
      <c r="BQ66" s="31" t="n">
        <f aca="false">IF(OR($B66="",AJ66=""),0,IF(AND($E66="Trưởng tổ",AJ66="x"),SUMIFS(KT_TRUONG,KT_LOAI,"Tổ",KT_TO,$D66,KT_NGAY,31),SUMIFS(KT_PHAN,KT_LOAI,"Tổ",KT_TO,IF(AJ66="x",$D66,AJ66),KT_NGAY,31)))</f>
        <v>0</v>
      </c>
    </row>
    <row r="67" customFormat="false" ht="15" hidden="false" customHeight="false" outlineLevel="0" collapsed="false">
      <c r="A67" s="17" t="str">
        <f aca="false">IF(B67="","",ROW()-5)</f>
        <v/>
      </c>
      <c r="B67" s="29" t="str">
        <f aca="false">IF(OR(BCC!B67="",BCC!D67&lt;&gt;"Thời vụ HAQT"),"",BCC!B67)</f>
        <v/>
      </c>
      <c r="C67" s="17" t="str">
        <f aca="false">IF(B67="","",BCC!C67)</f>
        <v/>
      </c>
      <c r="D67" s="17" t="str">
        <f aca="false">IF(B67="","",IFERROR(INDEX(NV_TO,MATCH(B67,NV_MA,0)),""))</f>
        <v/>
      </c>
      <c r="E67" s="17" t="str">
        <f aca="false">IF(B67="","",IFERROR(INDEX(NV_VT,MATCH(B67,NV_MA,0)),""))</f>
        <v/>
      </c>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17" t="str">
        <f aca="false">IF(B67="","",COUNTA(F67:AJ67))</f>
        <v/>
      </c>
      <c r="AL67" s="30" t="str">
        <f aca="false">IF(B67="","",SUM(AM67:BQ67))</f>
        <v/>
      </c>
      <c r="AM67" s="31" t="n">
        <f aca="false">IF(OR($B67="",F67=""),0,IF(AND($E67="Trưởng tổ",F67="x"),SUMIFS(KT_TRUONG,KT_LOAI,"Tổ",KT_TO,$D67,KT_NGAY,1),SUMIFS(KT_PHAN,KT_LOAI,"Tổ",KT_TO,IF(F67="x",$D67,F67),KT_NGAY,1)))</f>
        <v>0</v>
      </c>
      <c r="AN67" s="31" t="n">
        <f aca="false">IF(OR($B67="",G67=""),0,IF(AND($E67="Trưởng tổ",G67="x"),SUMIFS(KT_TRUONG,KT_LOAI,"Tổ",KT_TO,$D67,KT_NGAY,2),SUMIFS(KT_PHAN,KT_LOAI,"Tổ",KT_TO,IF(G67="x",$D67,G67),KT_NGAY,2)))</f>
        <v>0</v>
      </c>
      <c r="AO67" s="31" t="n">
        <f aca="false">IF(OR($B67="",H67=""),0,IF(AND($E67="Trưởng tổ",H67="x"),SUMIFS(KT_TRUONG,KT_LOAI,"Tổ",KT_TO,$D67,KT_NGAY,3),SUMIFS(KT_PHAN,KT_LOAI,"Tổ",KT_TO,IF(H67="x",$D67,H67),KT_NGAY,3)))</f>
        <v>0</v>
      </c>
      <c r="AP67" s="31" t="n">
        <f aca="false">IF(OR($B67="",I67=""),0,IF(AND($E67="Trưởng tổ",I67="x"),SUMIFS(KT_TRUONG,KT_LOAI,"Tổ",KT_TO,$D67,KT_NGAY,4),SUMIFS(KT_PHAN,KT_LOAI,"Tổ",KT_TO,IF(I67="x",$D67,I67),KT_NGAY,4)))</f>
        <v>0</v>
      </c>
      <c r="AQ67" s="31" t="n">
        <f aca="false">IF(OR($B67="",J67=""),0,IF(AND($E67="Trưởng tổ",J67="x"),SUMIFS(KT_TRUONG,KT_LOAI,"Tổ",KT_TO,$D67,KT_NGAY,5),SUMIFS(KT_PHAN,KT_LOAI,"Tổ",KT_TO,IF(J67="x",$D67,J67),KT_NGAY,5)))</f>
        <v>0</v>
      </c>
      <c r="AR67" s="31" t="n">
        <f aca="false">IF(OR($B67="",K67=""),0,IF(AND($E67="Trưởng tổ",K67="x"),SUMIFS(KT_TRUONG,KT_LOAI,"Tổ",KT_TO,$D67,KT_NGAY,6),SUMIFS(KT_PHAN,KT_LOAI,"Tổ",KT_TO,IF(K67="x",$D67,K67),KT_NGAY,6)))</f>
        <v>0</v>
      </c>
      <c r="AS67" s="31" t="n">
        <f aca="false">IF(OR($B67="",L67=""),0,IF(AND($E67="Trưởng tổ",L67="x"),SUMIFS(KT_TRUONG,KT_LOAI,"Tổ",KT_TO,$D67,KT_NGAY,7),SUMIFS(KT_PHAN,KT_LOAI,"Tổ",KT_TO,IF(L67="x",$D67,L67),KT_NGAY,7)))</f>
        <v>0</v>
      </c>
      <c r="AT67" s="31" t="n">
        <f aca="false">IF(OR($B67="",M67=""),0,IF(AND($E67="Trưởng tổ",M67="x"),SUMIFS(KT_TRUONG,KT_LOAI,"Tổ",KT_TO,$D67,KT_NGAY,8),SUMIFS(KT_PHAN,KT_LOAI,"Tổ",KT_TO,IF(M67="x",$D67,M67),KT_NGAY,8)))</f>
        <v>0</v>
      </c>
      <c r="AU67" s="31" t="n">
        <f aca="false">IF(OR($B67="",N67=""),0,IF(AND($E67="Trưởng tổ",N67="x"),SUMIFS(KT_TRUONG,KT_LOAI,"Tổ",KT_TO,$D67,KT_NGAY,9),SUMIFS(KT_PHAN,KT_LOAI,"Tổ",KT_TO,IF(N67="x",$D67,N67),KT_NGAY,9)))</f>
        <v>0</v>
      </c>
      <c r="AV67" s="31" t="n">
        <f aca="false">IF(OR($B67="",O67=""),0,IF(AND($E67="Trưởng tổ",O67="x"),SUMIFS(KT_TRUONG,KT_LOAI,"Tổ",KT_TO,$D67,KT_NGAY,10),SUMIFS(KT_PHAN,KT_LOAI,"Tổ",KT_TO,IF(O67="x",$D67,O67),KT_NGAY,10)))</f>
        <v>0</v>
      </c>
      <c r="AW67" s="31" t="n">
        <f aca="false">IF(OR($B67="",P67=""),0,IF(AND($E67="Trưởng tổ",P67="x"),SUMIFS(KT_TRUONG,KT_LOAI,"Tổ",KT_TO,$D67,KT_NGAY,11),SUMIFS(KT_PHAN,KT_LOAI,"Tổ",KT_TO,IF(P67="x",$D67,P67),KT_NGAY,11)))</f>
        <v>0</v>
      </c>
      <c r="AX67" s="31" t="n">
        <f aca="false">IF(OR($B67="",Q67=""),0,IF(AND($E67="Trưởng tổ",Q67="x"),SUMIFS(KT_TRUONG,KT_LOAI,"Tổ",KT_TO,$D67,KT_NGAY,12),SUMIFS(KT_PHAN,KT_LOAI,"Tổ",KT_TO,IF(Q67="x",$D67,Q67),KT_NGAY,12)))</f>
        <v>0</v>
      </c>
      <c r="AY67" s="31" t="n">
        <f aca="false">IF(OR($B67="",R67=""),0,IF(AND($E67="Trưởng tổ",R67="x"),SUMIFS(KT_TRUONG,KT_LOAI,"Tổ",KT_TO,$D67,KT_NGAY,13),SUMIFS(KT_PHAN,KT_LOAI,"Tổ",KT_TO,IF(R67="x",$D67,R67),KT_NGAY,13)))</f>
        <v>0</v>
      </c>
      <c r="AZ67" s="31" t="n">
        <f aca="false">IF(OR($B67="",S67=""),0,IF(AND($E67="Trưởng tổ",S67="x"),SUMIFS(KT_TRUONG,KT_LOAI,"Tổ",KT_TO,$D67,KT_NGAY,14),SUMIFS(KT_PHAN,KT_LOAI,"Tổ",KT_TO,IF(S67="x",$D67,S67),KT_NGAY,14)))</f>
        <v>0</v>
      </c>
      <c r="BA67" s="31" t="n">
        <f aca="false">IF(OR($B67="",T67=""),0,IF(AND($E67="Trưởng tổ",T67="x"),SUMIFS(KT_TRUONG,KT_LOAI,"Tổ",KT_TO,$D67,KT_NGAY,15),SUMIFS(KT_PHAN,KT_LOAI,"Tổ",KT_TO,IF(T67="x",$D67,T67),KT_NGAY,15)))</f>
        <v>0</v>
      </c>
      <c r="BB67" s="31" t="n">
        <f aca="false">IF(OR($B67="",U67=""),0,IF(AND($E67="Trưởng tổ",U67="x"),SUMIFS(KT_TRUONG,KT_LOAI,"Tổ",KT_TO,$D67,KT_NGAY,16),SUMIFS(KT_PHAN,KT_LOAI,"Tổ",KT_TO,IF(U67="x",$D67,U67),KT_NGAY,16)))</f>
        <v>0</v>
      </c>
      <c r="BC67" s="31" t="n">
        <f aca="false">IF(OR($B67="",V67=""),0,IF(AND($E67="Trưởng tổ",V67="x"),SUMIFS(KT_TRUONG,KT_LOAI,"Tổ",KT_TO,$D67,KT_NGAY,17),SUMIFS(KT_PHAN,KT_LOAI,"Tổ",KT_TO,IF(V67="x",$D67,V67),KT_NGAY,17)))</f>
        <v>0</v>
      </c>
      <c r="BD67" s="31" t="n">
        <f aca="false">IF(OR($B67="",W67=""),0,IF(AND($E67="Trưởng tổ",W67="x"),SUMIFS(KT_TRUONG,KT_LOAI,"Tổ",KT_TO,$D67,KT_NGAY,18),SUMIFS(KT_PHAN,KT_LOAI,"Tổ",KT_TO,IF(W67="x",$D67,W67),KT_NGAY,18)))</f>
        <v>0</v>
      </c>
      <c r="BE67" s="31" t="n">
        <f aca="false">IF(OR($B67="",X67=""),0,IF(AND($E67="Trưởng tổ",X67="x"),SUMIFS(KT_TRUONG,KT_LOAI,"Tổ",KT_TO,$D67,KT_NGAY,19),SUMIFS(KT_PHAN,KT_LOAI,"Tổ",KT_TO,IF(X67="x",$D67,X67),KT_NGAY,19)))</f>
        <v>0</v>
      </c>
      <c r="BF67" s="31" t="n">
        <f aca="false">IF(OR($B67="",Y67=""),0,IF(AND($E67="Trưởng tổ",Y67="x"),SUMIFS(KT_TRUONG,KT_LOAI,"Tổ",KT_TO,$D67,KT_NGAY,20),SUMIFS(KT_PHAN,KT_LOAI,"Tổ",KT_TO,IF(Y67="x",$D67,Y67),KT_NGAY,20)))</f>
        <v>0</v>
      </c>
      <c r="BG67" s="31" t="n">
        <f aca="false">IF(OR($B67="",Z67=""),0,IF(AND($E67="Trưởng tổ",Z67="x"),SUMIFS(KT_TRUONG,KT_LOAI,"Tổ",KT_TO,$D67,KT_NGAY,21),SUMIFS(KT_PHAN,KT_LOAI,"Tổ",KT_TO,IF(Z67="x",$D67,Z67),KT_NGAY,21)))</f>
        <v>0</v>
      </c>
      <c r="BH67" s="31" t="n">
        <f aca="false">IF(OR($B67="",AA67=""),0,IF(AND($E67="Trưởng tổ",AA67="x"),SUMIFS(KT_TRUONG,KT_LOAI,"Tổ",KT_TO,$D67,KT_NGAY,22),SUMIFS(KT_PHAN,KT_LOAI,"Tổ",KT_TO,IF(AA67="x",$D67,AA67),KT_NGAY,22)))</f>
        <v>0</v>
      </c>
      <c r="BI67" s="31" t="n">
        <f aca="false">IF(OR($B67="",AB67=""),0,IF(AND($E67="Trưởng tổ",AB67="x"),SUMIFS(KT_TRUONG,KT_LOAI,"Tổ",KT_TO,$D67,KT_NGAY,23),SUMIFS(KT_PHAN,KT_LOAI,"Tổ",KT_TO,IF(AB67="x",$D67,AB67),KT_NGAY,23)))</f>
        <v>0</v>
      </c>
      <c r="BJ67" s="31" t="n">
        <f aca="false">IF(OR($B67="",AC67=""),0,IF(AND($E67="Trưởng tổ",AC67="x"),SUMIFS(KT_TRUONG,KT_LOAI,"Tổ",KT_TO,$D67,KT_NGAY,24),SUMIFS(KT_PHAN,KT_LOAI,"Tổ",KT_TO,IF(AC67="x",$D67,AC67),KT_NGAY,24)))</f>
        <v>0</v>
      </c>
      <c r="BK67" s="31" t="n">
        <f aca="false">IF(OR($B67="",AD67=""),0,IF(AND($E67="Trưởng tổ",AD67="x"),SUMIFS(KT_TRUONG,KT_LOAI,"Tổ",KT_TO,$D67,KT_NGAY,25),SUMIFS(KT_PHAN,KT_LOAI,"Tổ",KT_TO,IF(AD67="x",$D67,AD67),KT_NGAY,25)))</f>
        <v>0</v>
      </c>
      <c r="BL67" s="31" t="n">
        <f aca="false">IF(OR($B67="",AE67=""),0,IF(AND($E67="Trưởng tổ",AE67="x"),SUMIFS(KT_TRUONG,KT_LOAI,"Tổ",KT_TO,$D67,KT_NGAY,26),SUMIFS(KT_PHAN,KT_LOAI,"Tổ",KT_TO,IF(AE67="x",$D67,AE67),KT_NGAY,26)))</f>
        <v>0</v>
      </c>
      <c r="BM67" s="31" t="n">
        <f aca="false">IF(OR($B67="",AF67=""),0,IF(AND($E67="Trưởng tổ",AF67="x"),SUMIFS(KT_TRUONG,KT_LOAI,"Tổ",KT_TO,$D67,KT_NGAY,27),SUMIFS(KT_PHAN,KT_LOAI,"Tổ",KT_TO,IF(AF67="x",$D67,AF67),KT_NGAY,27)))</f>
        <v>0</v>
      </c>
      <c r="BN67" s="31" t="n">
        <f aca="false">IF(OR($B67="",AG67=""),0,IF(AND($E67="Trưởng tổ",AG67="x"),SUMIFS(KT_TRUONG,KT_LOAI,"Tổ",KT_TO,$D67,KT_NGAY,28),SUMIFS(KT_PHAN,KT_LOAI,"Tổ",KT_TO,IF(AG67="x",$D67,AG67),KT_NGAY,28)))</f>
        <v>0</v>
      </c>
      <c r="BO67" s="31" t="n">
        <f aca="false">IF(OR($B67="",AH67=""),0,IF(AND($E67="Trưởng tổ",AH67="x"),SUMIFS(KT_TRUONG,KT_LOAI,"Tổ",KT_TO,$D67,KT_NGAY,29),SUMIFS(KT_PHAN,KT_LOAI,"Tổ",KT_TO,IF(AH67="x",$D67,AH67),KT_NGAY,29)))</f>
        <v>0</v>
      </c>
      <c r="BP67" s="31" t="n">
        <f aca="false">IF(OR($B67="",AI67=""),0,IF(AND($E67="Trưởng tổ",AI67="x"),SUMIFS(KT_TRUONG,KT_LOAI,"Tổ",KT_TO,$D67,KT_NGAY,30),SUMIFS(KT_PHAN,KT_LOAI,"Tổ",KT_TO,IF(AI67="x",$D67,AI67),KT_NGAY,30)))</f>
        <v>0</v>
      </c>
      <c r="BQ67" s="31" t="n">
        <f aca="false">IF(OR($B67="",AJ67=""),0,IF(AND($E67="Trưởng tổ",AJ67="x"),SUMIFS(KT_TRUONG,KT_LOAI,"Tổ",KT_TO,$D67,KT_NGAY,31),SUMIFS(KT_PHAN,KT_LOAI,"Tổ",KT_TO,IF(AJ67="x",$D67,AJ67),KT_NGAY,31)))</f>
        <v>0</v>
      </c>
    </row>
    <row r="68" customFormat="false" ht="15" hidden="false" customHeight="false" outlineLevel="0" collapsed="false">
      <c r="A68" s="17" t="str">
        <f aca="false">IF(B68="","",ROW()-5)</f>
        <v/>
      </c>
      <c r="B68" s="29" t="str">
        <f aca="false">IF(OR(BCC!B68="",BCC!D68&lt;&gt;"Thời vụ HAQT"),"",BCC!B68)</f>
        <v/>
      </c>
      <c r="C68" s="17" t="str">
        <f aca="false">IF(B68="","",BCC!C68)</f>
        <v/>
      </c>
      <c r="D68" s="17" t="str">
        <f aca="false">IF(B68="","",IFERROR(INDEX(NV_TO,MATCH(B68,NV_MA,0)),""))</f>
        <v/>
      </c>
      <c r="E68" s="17" t="str">
        <f aca="false">IF(B68="","",IFERROR(INDEX(NV_VT,MATCH(B68,NV_MA,0)),""))</f>
        <v/>
      </c>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17" t="str">
        <f aca="false">IF(B68="","",COUNTA(F68:AJ68))</f>
        <v/>
      </c>
      <c r="AL68" s="30" t="str">
        <f aca="false">IF(B68="","",SUM(AM68:BQ68))</f>
        <v/>
      </c>
      <c r="AM68" s="31" t="n">
        <f aca="false">IF(OR($B68="",F68=""),0,IF(AND($E68="Trưởng tổ",F68="x"),SUMIFS(KT_TRUONG,KT_LOAI,"Tổ",KT_TO,$D68,KT_NGAY,1),SUMIFS(KT_PHAN,KT_LOAI,"Tổ",KT_TO,IF(F68="x",$D68,F68),KT_NGAY,1)))</f>
        <v>0</v>
      </c>
      <c r="AN68" s="31" t="n">
        <f aca="false">IF(OR($B68="",G68=""),0,IF(AND($E68="Trưởng tổ",G68="x"),SUMIFS(KT_TRUONG,KT_LOAI,"Tổ",KT_TO,$D68,KT_NGAY,2),SUMIFS(KT_PHAN,KT_LOAI,"Tổ",KT_TO,IF(G68="x",$D68,G68),KT_NGAY,2)))</f>
        <v>0</v>
      </c>
      <c r="AO68" s="31" t="n">
        <f aca="false">IF(OR($B68="",H68=""),0,IF(AND($E68="Trưởng tổ",H68="x"),SUMIFS(KT_TRUONG,KT_LOAI,"Tổ",KT_TO,$D68,KT_NGAY,3),SUMIFS(KT_PHAN,KT_LOAI,"Tổ",KT_TO,IF(H68="x",$D68,H68),KT_NGAY,3)))</f>
        <v>0</v>
      </c>
      <c r="AP68" s="31" t="n">
        <f aca="false">IF(OR($B68="",I68=""),0,IF(AND($E68="Trưởng tổ",I68="x"),SUMIFS(KT_TRUONG,KT_LOAI,"Tổ",KT_TO,$D68,KT_NGAY,4),SUMIFS(KT_PHAN,KT_LOAI,"Tổ",KT_TO,IF(I68="x",$D68,I68),KT_NGAY,4)))</f>
        <v>0</v>
      </c>
      <c r="AQ68" s="31" t="n">
        <f aca="false">IF(OR($B68="",J68=""),0,IF(AND($E68="Trưởng tổ",J68="x"),SUMIFS(KT_TRUONG,KT_LOAI,"Tổ",KT_TO,$D68,KT_NGAY,5),SUMIFS(KT_PHAN,KT_LOAI,"Tổ",KT_TO,IF(J68="x",$D68,J68),KT_NGAY,5)))</f>
        <v>0</v>
      </c>
      <c r="AR68" s="31" t="n">
        <f aca="false">IF(OR($B68="",K68=""),0,IF(AND($E68="Trưởng tổ",K68="x"),SUMIFS(KT_TRUONG,KT_LOAI,"Tổ",KT_TO,$D68,KT_NGAY,6),SUMIFS(KT_PHAN,KT_LOAI,"Tổ",KT_TO,IF(K68="x",$D68,K68),KT_NGAY,6)))</f>
        <v>0</v>
      </c>
      <c r="AS68" s="31" t="n">
        <f aca="false">IF(OR($B68="",L68=""),0,IF(AND($E68="Trưởng tổ",L68="x"),SUMIFS(KT_TRUONG,KT_LOAI,"Tổ",KT_TO,$D68,KT_NGAY,7),SUMIFS(KT_PHAN,KT_LOAI,"Tổ",KT_TO,IF(L68="x",$D68,L68),KT_NGAY,7)))</f>
        <v>0</v>
      </c>
      <c r="AT68" s="31" t="n">
        <f aca="false">IF(OR($B68="",M68=""),0,IF(AND($E68="Trưởng tổ",M68="x"),SUMIFS(KT_TRUONG,KT_LOAI,"Tổ",KT_TO,$D68,KT_NGAY,8),SUMIFS(KT_PHAN,KT_LOAI,"Tổ",KT_TO,IF(M68="x",$D68,M68),KT_NGAY,8)))</f>
        <v>0</v>
      </c>
      <c r="AU68" s="31" t="n">
        <f aca="false">IF(OR($B68="",N68=""),0,IF(AND($E68="Trưởng tổ",N68="x"),SUMIFS(KT_TRUONG,KT_LOAI,"Tổ",KT_TO,$D68,KT_NGAY,9),SUMIFS(KT_PHAN,KT_LOAI,"Tổ",KT_TO,IF(N68="x",$D68,N68),KT_NGAY,9)))</f>
        <v>0</v>
      </c>
      <c r="AV68" s="31" t="n">
        <f aca="false">IF(OR($B68="",O68=""),0,IF(AND($E68="Trưởng tổ",O68="x"),SUMIFS(KT_TRUONG,KT_LOAI,"Tổ",KT_TO,$D68,KT_NGAY,10),SUMIFS(KT_PHAN,KT_LOAI,"Tổ",KT_TO,IF(O68="x",$D68,O68),KT_NGAY,10)))</f>
        <v>0</v>
      </c>
      <c r="AW68" s="31" t="n">
        <f aca="false">IF(OR($B68="",P68=""),0,IF(AND($E68="Trưởng tổ",P68="x"),SUMIFS(KT_TRUONG,KT_LOAI,"Tổ",KT_TO,$D68,KT_NGAY,11),SUMIFS(KT_PHAN,KT_LOAI,"Tổ",KT_TO,IF(P68="x",$D68,P68),KT_NGAY,11)))</f>
        <v>0</v>
      </c>
      <c r="AX68" s="31" t="n">
        <f aca="false">IF(OR($B68="",Q68=""),0,IF(AND($E68="Trưởng tổ",Q68="x"),SUMIFS(KT_TRUONG,KT_LOAI,"Tổ",KT_TO,$D68,KT_NGAY,12),SUMIFS(KT_PHAN,KT_LOAI,"Tổ",KT_TO,IF(Q68="x",$D68,Q68),KT_NGAY,12)))</f>
        <v>0</v>
      </c>
      <c r="AY68" s="31" t="n">
        <f aca="false">IF(OR($B68="",R68=""),0,IF(AND($E68="Trưởng tổ",R68="x"),SUMIFS(KT_TRUONG,KT_LOAI,"Tổ",KT_TO,$D68,KT_NGAY,13),SUMIFS(KT_PHAN,KT_LOAI,"Tổ",KT_TO,IF(R68="x",$D68,R68),KT_NGAY,13)))</f>
        <v>0</v>
      </c>
      <c r="AZ68" s="31" t="n">
        <f aca="false">IF(OR($B68="",S68=""),0,IF(AND($E68="Trưởng tổ",S68="x"),SUMIFS(KT_TRUONG,KT_LOAI,"Tổ",KT_TO,$D68,KT_NGAY,14),SUMIFS(KT_PHAN,KT_LOAI,"Tổ",KT_TO,IF(S68="x",$D68,S68),KT_NGAY,14)))</f>
        <v>0</v>
      </c>
      <c r="BA68" s="31" t="n">
        <f aca="false">IF(OR($B68="",T68=""),0,IF(AND($E68="Trưởng tổ",T68="x"),SUMIFS(KT_TRUONG,KT_LOAI,"Tổ",KT_TO,$D68,KT_NGAY,15),SUMIFS(KT_PHAN,KT_LOAI,"Tổ",KT_TO,IF(T68="x",$D68,T68),KT_NGAY,15)))</f>
        <v>0</v>
      </c>
      <c r="BB68" s="31" t="n">
        <f aca="false">IF(OR($B68="",U68=""),0,IF(AND($E68="Trưởng tổ",U68="x"),SUMIFS(KT_TRUONG,KT_LOAI,"Tổ",KT_TO,$D68,KT_NGAY,16),SUMIFS(KT_PHAN,KT_LOAI,"Tổ",KT_TO,IF(U68="x",$D68,U68),KT_NGAY,16)))</f>
        <v>0</v>
      </c>
      <c r="BC68" s="31" t="n">
        <f aca="false">IF(OR($B68="",V68=""),0,IF(AND($E68="Trưởng tổ",V68="x"),SUMIFS(KT_TRUONG,KT_LOAI,"Tổ",KT_TO,$D68,KT_NGAY,17),SUMIFS(KT_PHAN,KT_LOAI,"Tổ",KT_TO,IF(V68="x",$D68,V68),KT_NGAY,17)))</f>
        <v>0</v>
      </c>
      <c r="BD68" s="31" t="n">
        <f aca="false">IF(OR($B68="",W68=""),0,IF(AND($E68="Trưởng tổ",W68="x"),SUMIFS(KT_TRUONG,KT_LOAI,"Tổ",KT_TO,$D68,KT_NGAY,18),SUMIFS(KT_PHAN,KT_LOAI,"Tổ",KT_TO,IF(W68="x",$D68,W68),KT_NGAY,18)))</f>
        <v>0</v>
      </c>
      <c r="BE68" s="31" t="n">
        <f aca="false">IF(OR($B68="",X68=""),0,IF(AND($E68="Trưởng tổ",X68="x"),SUMIFS(KT_TRUONG,KT_LOAI,"Tổ",KT_TO,$D68,KT_NGAY,19),SUMIFS(KT_PHAN,KT_LOAI,"Tổ",KT_TO,IF(X68="x",$D68,X68),KT_NGAY,19)))</f>
        <v>0</v>
      </c>
      <c r="BF68" s="31" t="n">
        <f aca="false">IF(OR($B68="",Y68=""),0,IF(AND($E68="Trưởng tổ",Y68="x"),SUMIFS(KT_TRUONG,KT_LOAI,"Tổ",KT_TO,$D68,KT_NGAY,20),SUMIFS(KT_PHAN,KT_LOAI,"Tổ",KT_TO,IF(Y68="x",$D68,Y68),KT_NGAY,20)))</f>
        <v>0</v>
      </c>
      <c r="BG68" s="31" t="n">
        <f aca="false">IF(OR($B68="",Z68=""),0,IF(AND($E68="Trưởng tổ",Z68="x"),SUMIFS(KT_TRUONG,KT_LOAI,"Tổ",KT_TO,$D68,KT_NGAY,21),SUMIFS(KT_PHAN,KT_LOAI,"Tổ",KT_TO,IF(Z68="x",$D68,Z68),KT_NGAY,21)))</f>
        <v>0</v>
      </c>
      <c r="BH68" s="31" t="n">
        <f aca="false">IF(OR($B68="",AA68=""),0,IF(AND($E68="Trưởng tổ",AA68="x"),SUMIFS(KT_TRUONG,KT_LOAI,"Tổ",KT_TO,$D68,KT_NGAY,22),SUMIFS(KT_PHAN,KT_LOAI,"Tổ",KT_TO,IF(AA68="x",$D68,AA68),KT_NGAY,22)))</f>
        <v>0</v>
      </c>
      <c r="BI68" s="31" t="n">
        <f aca="false">IF(OR($B68="",AB68=""),0,IF(AND($E68="Trưởng tổ",AB68="x"),SUMIFS(KT_TRUONG,KT_LOAI,"Tổ",KT_TO,$D68,KT_NGAY,23),SUMIFS(KT_PHAN,KT_LOAI,"Tổ",KT_TO,IF(AB68="x",$D68,AB68),KT_NGAY,23)))</f>
        <v>0</v>
      </c>
      <c r="BJ68" s="31" t="n">
        <f aca="false">IF(OR($B68="",AC68=""),0,IF(AND($E68="Trưởng tổ",AC68="x"),SUMIFS(KT_TRUONG,KT_LOAI,"Tổ",KT_TO,$D68,KT_NGAY,24),SUMIFS(KT_PHAN,KT_LOAI,"Tổ",KT_TO,IF(AC68="x",$D68,AC68),KT_NGAY,24)))</f>
        <v>0</v>
      </c>
      <c r="BK68" s="31" t="n">
        <f aca="false">IF(OR($B68="",AD68=""),0,IF(AND($E68="Trưởng tổ",AD68="x"),SUMIFS(KT_TRUONG,KT_LOAI,"Tổ",KT_TO,$D68,KT_NGAY,25),SUMIFS(KT_PHAN,KT_LOAI,"Tổ",KT_TO,IF(AD68="x",$D68,AD68),KT_NGAY,25)))</f>
        <v>0</v>
      </c>
      <c r="BL68" s="31" t="n">
        <f aca="false">IF(OR($B68="",AE68=""),0,IF(AND($E68="Trưởng tổ",AE68="x"),SUMIFS(KT_TRUONG,KT_LOAI,"Tổ",KT_TO,$D68,KT_NGAY,26),SUMIFS(KT_PHAN,KT_LOAI,"Tổ",KT_TO,IF(AE68="x",$D68,AE68),KT_NGAY,26)))</f>
        <v>0</v>
      </c>
      <c r="BM68" s="31" t="n">
        <f aca="false">IF(OR($B68="",AF68=""),0,IF(AND($E68="Trưởng tổ",AF68="x"),SUMIFS(KT_TRUONG,KT_LOAI,"Tổ",KT_TO,$D68,KT_NGAY,27),SUMIFS(KT_PHAN,KT_LOAI,"Tổ",KT_TO,IF(AF68="x",$D68,AF68),KT_NGAY,27)))</f>
        <v>0</v>
      </c>
      <c r="BN68" s="31" t="n">
        <f aca="false">IF(OR($B68="",AG68=""),0,IF(AND($E68="Trưởng tổ",AG68="x"),SUMIFS(KT_TRUONG,KT_LOAI,"Tổ",KT_TO,$D68,KT_NGAY,28),SUMIFS(KT_PHAN,KT_LOAI,"Tổ",KT_TO,IF(AG68="x",$D68,AG68),KT_NGAY,28)))</f>
        <v>0</v>
      </c>
      <c r="BO68" s="31" t="n">
        <f aca="false">IF(OR($B68="",AH68=""),0,IF(AND($E68="Trưởng tổ",AH68="x"),SUMIFS(KT_TRUONG,KT_LOAI,"Tổ",KT_TO,$D68,KT_NGAY,29),SUMIFS(KT_PHAN,KT_LOAI,"Tổ",KT_TO,IF(AH68="x",$D68,AH68),KT_NGAY,29)))</f>
        <v>0</v>
      </c>
      <c r="BP68" s="31" t="n">
        <f aca="false">IF(OR($B68="",AI68=""),0,IF(AND($E68="Trưởng tổ",AI68="x"),SUMIFS(KT_TRUONG,KT_LOAI,"Tổ",KT_TO,$D68,KT_NGAY,30),SUMIFS(KT_PHAN,KT_LOAI,"Tổ",KT_TO,IF(AI68="x",$D68,AI68),KT_NGAY,30)))</f>
        <v>0</v>
      </c>
      <c r="BQ68" s="31" t="n">
        <f aca="false">IF(OR($B68="",AJ68=""),0,IF(AND($E68="Trưởng tổ",AJ68="x"),SUMIFS(KT_TRUONG,KT_LOAI,"Tổ",KT_TO,$D68,KT_NGAY,31),SUMIFS(KT_PHAN,KT_LOAI,"Tổ",KT_TO,IF(AJ68="x",$D68,AJ68),KT_NGAY,31)))</f>
        <v>0</v>
      </c>
    </row>
    <row r="69" customFormat="false" ht="15" hidden="false" customHeight="false" outlineLevel="0" collapsed="false">
      <c r="A69" s="17" t="str">
        <f aca="false">IF(B69="","",ROW()-5)</f>
        <v/>
      </c>
      <c r="B69" s="29" t="str">
        <f aca="false">IF(OR(BCC!B69="",BCC!D69&lt;&gt;"Thời vụ HAQT"),"",BCC!B69)</f>
        <v/>
      </c>
      <c r="C69" s="17" t="str">
        <f aca="false">IF(B69="","",BCC!C69)</f>
        <v/>
      </c>
      <c r="D69" s="17" t="str">
        <f aca="false">IF(B69="","",IFERROR(INDEX(NV_TO,MATCH(B69,NV_MA,0)),""))</f>
        <v/>
      </c>
      <c r="E69" s="17" t="str">
        <f aca="false">IF(B69="","",IFERROR(INDEX(NV_VT,MATCH(B69,NV_MA,0)),""))</f>
        <v/>
      </c>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17" t="str">
        <f aca="false">IF(B69="","",COUNTA(F69:AJ69))</f>
        <v/>
      </c>
      <c r="AL69" s="30" t="str">
        <f aca="false">IF(B69="","",SUM(AM69:BQ69))</f>
        <v/>
      </c>
      <c r="AM69" s="31" t="n">
        <f aca="false">IF(OR($B69="",F69=""),0,IF(AND($E69="Trưởng tổ",F69="x"),SUMIFS(KT_TRUONG,KT_LOAI,"Tổ",KT_TO,$D69,KT_NGAY,1),SUMIFS(KT_PHAN,KT_LOAI,"Tổ",KT_TO,IF(F69="x",$D69,F69),KT_NGAY,1)))</f>
        <v>0</v>
      </c>
      <c r="AN69" s="31" t="n">
        <f aca="false">IF(OR($B69="",G69=""),0,IF(AND($E69="Trưởng tổ",G69="x"),SUMIFS(KT_TRUONG,KT_LOAI,"Tổ",KT_TO,$D69,KT_NGAY,2),SUMIFS(KT_PHAN,KT_LOAI,"Tổ",KT_TO,IF(G69="x",$D69,G69),KT_NGAY,2)))</f>
        <v>0</v>
      </c>
      <c r="AO69" s="31" t="n">
        <f aca="false">IF(OR($B69="",H69=""),0,IF(AND($E69="Trưởng tổ",H69="x"),SUMIFS(KT_TRUONG,KT_LOAI,"Tổ",KT_TO,$D69,KT_NGAY,3),SUMIFS(KT_PHAN,KT_LOAI,"Tổ",KT_TO,IF(H69="x",$D69,H69),KT_NGAY,3)))</f>
        <v>0</v>
      </c>
      <c r="AP69" s="31" t="n">
        <f aca="false">IF(OR($B69="",I69=""),0,IF(AND($E69="Trưởng tổ",I69="x"),SUMIFS(KT_TRUONG,KT_LOAI,"Tổ",KT_TO,$D69,KT_NGAY,4),SUMIFS(KT_PHAN,KT_LOAI,"Tổ",KT_TO,IF(I69="x",$D69,I69),KT_NGAY,4)))</f>
        <v>0</v>
      </c>
      <c r="AQ69" s="31" t="n">
        <f aca="false">IF(OR($B69="",J69=""),0,IF(AND($E69="Trưởng tổ",J69="x"),SUMIFS(KT_TRUONG,KT_LOAI,"Tổ",KT_TO,$D69,KT_NGAY,5),SUMIFS(KT_PHAN,KT_LOAI,"Tổ",KT_TO,IF(J69="x",$D69,J69),KT_NGAY,5)))</f>
        <v>0</v>
      </c>
      <c r="AR69" s="31" t="n">
        <f aca="false">IF(OR($B69="",K69=""),0,IF(AND($E69="Trưởng tổ",K69="x"),SUMIFS(KT_TRUONG,KT_LOAI,"Tổ",KT_TO,$D69,KT_NGAY,6),SUMIFS(KT_PHAN,KT_LOAI,"Tổ",KT_TO,IF(K69="x",$D69,K69),KT_NGAY,6)))</f>
        <v>0</v>
      </c>
      <c r="AS69" s="31" t="n">
        <f aca="false">IF(OR($B69="",L69=""),0,IF(AND($E69="Trưởng tổ",L69="x"),SUMIFS(KT_TRUONG,KT_LOAI,"Tổ",KT_TO,$D69,KT_NGAY,7),SUMIFS(KT_PHAN,KT_LOAI,"Tổ",KT_TO,IF(L69="x",$D69,L69),KT_NGAY,7)))</f>
        <v>0</v>
      </c>
      <c r="AT69" s="31" t="n">
        <f aca="false">IF(OR($B69="",M69=""),0,IF(AND($E69="Trưởng tổ",M69="x"),SUMIFS(KT_TRUONG,KT_LOAI,"Tổ",KT_TO,$D69,KT_NGAY,8),SUMIFS(KT_PHAN,KT_LOAI,"Tổ",KT_TO,IF(M69="x",$D69,M69),KT_NGAY,8)))</f>
        <v>0</v>
      </c>
      <c r="AU69" s="31" t="n">
        <f aca="false">IF(OR($B69="",N69=""),0,IF(AND($E69="Trưởng tổ",N69="x"),SUMIFS(KT_TRUONG,KT_LOAI,"Tổ",KT_TO,$D69,KT_NGAY,9),SUMIFS(KT_PHAN,KT_LOAI,"Tổ",KT_TO,IF(N69="x",$D69,N69),KT_NGAY,9)))</f>
        <v>0</v>
      </c>
      <c r="AV69" s="31" t="n">
        <f aca="false">IF(OR($B69="",O69=""),0,IF(AND($E69="Trưởng tổ",O69="x"),SUMIFS(KT_TRUONG,KT_LOAI,"Tổ",KT_TO,$D69,KT_NGAY,10),SUMIFS(KT_PHAN,KT_LOAI,"Tổ",KT_TO,IF(O69="x",$D69,O69),KT_NGAY,10)))</f>
        <v>0</v>
      </c>
      <c r="AW69" s="31" t="n">
        <f aca="false">IF(OR($B69="",P69=""),0,IF(AND($E69="Trưởng tổ",P69="x"),SUMIFS(KT_TRUONG,KT_LOAI,"Tổ",KT_TO,$D69,KT_NGAY,11),SUMIFS(KT_PHAN,KT_LOAI,"Tổ",KT_TO,IF(P69="x",$D69,P69),KT_NGAY,11)))</f>
        <v>0</v>
      </c>
      <c r="AX69" s="31" t="n">
        <f aca="false">IF(OR($B69="",Q69=""),0,IF(AND($E69="Trưởng tổ",Q69="x"),SUMIFS(KT_TRUONG,KT_LOAI,"Tổ",KT_TO,$D69,KT_NGAY,12),SUMIFS(KT_PHAN,KT_LOAI,"Tổ",KT_TO,IF(Q69="x",$D69,Q69),KT_NGAY,12)))</f>
        <v>0</v>
      </c>
      <c r="AY69" s="31" t="n">
        <f aca="false">IF(OR($B69="",R69=""),0,IF(AND($E69="Trưởng tổ",R69="x"),SUMIFS(KT_TRUONG,KT_LOAI,"Tổ",KT_TO,$D69,KT_NGAY,13),SUMIFS(KT_PHAN,KT_LOAI,"Tổ",KT_TO,IF(R69="x",$D69,R69),KT_NGAY,13)))</f>
        <v>0</v>
      </c>
      <c r="AZ69" s="31" t="n">
        <f aca="false">IF(OR($B69="",S69=""),0,IF(AND($E69="Trưởng tổ",S69="x"),SUMIFS(KT_TRUONG,KT_LOAI,"Tổ",KT_TO,$D69,KT_NGAY,14),SUMIFS(KT_PHAN,KT_LOAI,"Tổ",KT_TO,IF(S69="x",$D69,S69),KT_NGAY,14)))</f>
        <v>0</v>
      </c>
      <c r="BA69" s="31" t="n">
        <f aca="false">IF(OR($B69="",T69=""),0,IF(AND($E69="Trưởng tổ",T69="x"),SUMIFS(KT_TRUONG,KT_LOAI,"Tổ",KT_TO,$D69,KT_NGAY,15),SUMIFS(KT_PHAN,KT_LOAI,"Tổ",KT_TO,IF(T69="x",$D69,T69),KT_NGAY,15)))</f>
        <v>0</v>
      </c>
      <c r="BB69" s="31" t="n">
        <f aca="false">IF(OR($B69="",U69=""),0,IF(AND($E69="Trưởng tổ",U69="x"),SUMIFS(KT_TRUONG,KT_LOAI,"Tổ",KT_TO,$D69,KT_NGAY,16),SUMIFS(KT_PHAN,KT_LOAI,"Tổ",KT_TO,IF(U69="x",$D69,U69),KT_NGAY,16)))</f>
        <v>0</v>
      </c>
      <c r="BC69" s="31" t="n">
        <f aca="false">IF(OR($B69="",V69=""),0,IF(AND($E69="Trưởng tổ",V69="x"),SUMIFS(KT_TRUONG,KT_LOAI,"Tổ",KT_TO,$D69,KT_NGAY,17),SUMIFS(KT_PHAN,KT_LOAI,"Tổ",KT_TO,IF(V69="x",$D69,V69),KT_NGAY,17)))</f>
        <v>0</v>
      </c>
      <c r="BD69" s="31" t="n">
        <f aca="false">IF(OR($B69="",W69=""),0,IF(AND($E69="Trưởng tổ",W69="x"),SUMIFS(KT_TRUONG,KT_LOAI,"Tổ",KT_TO,$D69,KT_NGAY,18),SUMIFS(KT_PHAN,KT_LOAI,"Tổ",KT_TO,IF(W69="x",$D69,W69),KT_NGAY,18)))</f>
        <v>0</v>
      </c>
      <c r="BE69" s="31" t="n">
        <f aca="false">IF(OR($B69="",X69=""),0,IF(AND($E69="Trưởng tổ",X69="x"),SUMIFS(KT_TRUONG,KT_LOAI,"Tổ",KT_TO,$D69,KT_NGAY,19),SUMIFS(KT_PHAN,KT_LOAI,"Tổ",KT_TO,IF(X69="x",$D69,X69),KT_NGAY,19)))</f>
        <v>0</v>
      </c>
      <c r="BF69" s="31" t="n">
        <f aca="false">IF(OR($B69="",Y69=""),0,IF(AND($E69="Trưởng tổ",Y69="x"),SUMIFS(KT_TRUONG,KT_LOAI,"Tổ",KT_TO,$D69,KT_NGAY,20),SUMIFS(KT_PHAN,KT_LOAI,"Tổ",KT_TO,IF(Y69="x",$D69,Y69),KT_NGAY,20)))</f>
        <v>0</v>
      </c>
      <c r="BG69" s="31" t="n">
        <f aca="false">IF(OR($B69="",Z69=""),0,IF(AND($E69="Trưởng tổ",Z69="x"),SUMIFS(KT_TRUONG,KT_LOAI,"Tổ",KT_TO,$D69,KT_NGAY,21),SUMIFS(KT_PHAN,KT_LOAI,"Tổ",KT_TO,IF(Z69="x",$D69,Z69),KT_NGAY,21)))</f>
        <v>0</v>
      </c>
      <c r="BH69" s="31" t="n">
        <f aca="false">IF(OR($B69="",AA69=""),0,IF(AND($E69="Trưởng tổ",AA69="x"),SUMIFS(KT_TRUONG,KT_LOAI,"Tổ",KT_TO,$D69,KT_NGAY,22),SUMIFS(KT_PHAN,KT_LOAI,"Tổ",KT_TO,IF(AA69="x",$D69,AA69),KT_NGAY,22)))</f>
        <v>0</v>
      </c>
      <c r="BI69" s="31" t="n">
        <f aca="false">IF(OR($B69="",AB69=""),0,IF(AND($E69="Trưởng tổ",AB69="x"),SUMIFS(KT_TRUONG,KT_LOAI,"Tổ",KT_TO,$D69,KT_NGAY,23),SUMIFS(KT_PHAN,KT_LOAI,"Tổ",KT_TO,IF(AB69="x",$D69,AB69),KT_NGAY,23)))</f>
        <v>0</v>
      </c>
      <c r="BJ69" s="31" t="n">
        <f aca="false">IF(OR($B69="",AC69=""),0,IF(AND($E69="Trưởng tổ",AC69="x"),SUMIFS(KT_TRUONG,KT_LOAI,"Tổ",KT_TO,$D69,KT_NGAY,24),SUMIFS(KT_PHAN,KT_LOAI,"Tổ",KT_TO,IF(AC69="x",$D69,AC69),KT_NGAY,24)))</f>
        <v>0</v>
      </c>
      <c r="BK69" s="31" t="n">
        <f aca="false">IF(OR($B69="",AD69=""),0,IF(AND($E69="Trưởng tổ",AD69="x"),SUMIFS(KT_TRUONG,KT_LOAI,"Tổ",KT_TO,$D69,KT_NGAY,25),SUMIFS(KT_PHAN,KT_LOAI,"Tổ",KT_TO,IF(AD69="x",$D69,AD69),KT_NGAY,25)))</f>
        <v>0</v>
      </c>
      <c r="BL69" s="31" t="n">
        <f aca="false">IF(OR($B69="",AE69=""),0,IF(AND($E69="Trưởng tổ",AE69="x"),SUMIFS(KT_TRUONG,KT_LOAI,"Tổ",KT_TO,$D69,KT_NGAY,26),SUMIFS(KT_PHAN,KT_LOAI,"Tổ",KT_TO,IF(AE69="x",$D69,AE69),KT_NGAY,26)))</f>
        <v>0</v>
      </c>
      <c r="BM69" s="31" t="n">
        <f aca="false">IF(OR($B69="",AF69=""),0,IF(AND($E69="Trưởng tổ",AF69="x"),SUMIFS(KT_TRUONG,KT_LOAI,"Tổ",KT_TO,$D69,KT_NGAY,27),SUMIFS(KT_PHAN,KT_LOAI,"Tổ",KT_TO,IF(AF69="x",$D69,AF69),KT_NGAY,27)))</f>
        <v>0</v>
      </c>
      <c r="BN69" s="31" t="n">
        <f aca="false">IF(OR($B69="",AG69=""),0,IF(AND($E69="Trưởng tổ",AG69="x"),SUMIFS(KT_TRUONG,KT_LOAI,"Tổ",KT_TO,$D69,KT_NGAY,28),SUMIFS(KT_PHAN,KT_LOAI,"Tổ",KT_TO,IF(AG69="x",$D69,AG69),KT_NGAY,28)))</f>
        <v>0</v>
      </c>
      <c r="BO69" s="31" t="n">
        <f aca="false">IF(OR($B69="",AH69=""),0,IF(AND($E69="Trưởng tổ",AH69="x"),SUMIFS(KT_TRUONG,KT_LOAI,"Tổ",KT_TO,$D69,KT_NGAY,29),SUMIFS(KT_PHAN,KT_LOAI,"Tổ",KT_TO,IF(AH69="x",$D69,AH69),KT_NGAY,29)))</f>
        <v>0</v>
      </c>
      <c r="BP69" s="31" t="n">
        <f aca="false">IF(OR($B69="",AI69=""),0,IF(AND($E69="Trưởng tổ",AI69="x"),SUMIFS(KT_TRUONG,KT_LOAI,"Tổ",KT_TO,$D69,KT_NGAY,30),SUMIFS(KT_PHAN,KT_LOAI,"Tổ",KT_TO,IF(AI69="x",$D69,AI69),KT_NGAY,30)))</f>
        <v>0</v>
      </c>
      <c r="BQ69" s="31" t="n">
        <f aca="false">IF(OR($B69="",AJ69=""),0,IF(AND($E69="Trưởng tổ",AJ69="x"),SUMIFS(KT_TRUONG,KT_LOAI,"Tổ",KT_TO,$D69,KT_NGAY,31),SUMIFS(KT_PHAN,KT_LOAI,"Tổ",KT_TO,IF(AJ69="x",$D69,AJ69),KT_NGAY,31)))</f>
        <v>0</v>
      </c>
    </row>
    <row r="70" customFormat="false" ht="15" hidden="false" customHeight="false" outlineLevel="0" collapsed="false">
      <c r="A70" s="17" t="str">
        <f aca="false">IF(B70="","",ROW()-5)</f>
        <v/>
      </c>
      <c r="B70" s="29" t="str">
        <f aca="false">IF(OR(BCC!B70="",BCC!D70&lt;&gt;"Thời vụ HAQT"),"",BCC!B70)</f>
        <v/>
      </c>
      <c r="C70" s="17" t="str">
        <f aca="false">IF(B70="","",BCC!C70)</f>
        <v/>
      </c>
      <c r="D70" s="17" t="str">
        <f aca="false">IF(B70="","",IFERROR(INDEX(NV_TO,MATCH(B70,NV_MA,0)),""))</f>
        <v/>
      </c>
      <c r="E70" s="17" t="str">
        <f aca="false">IF(B70="","",IFERROR(INDEX(NV_VT,MATCH(B70,NV_MA,0)),""))</f>
        <v/>
      </c>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17" t="str">
        <f aca="false">IF(B70="","",COUNTA(F70:AJ70))</f>
        <v/>
      </c>
      <c r="AL70" s="30" t="str">
        <f aca="false">IF(B70="","",SUM(AM70:BQ70))</f>
        <v/>
      </c>
      <c r="AM70" s="31" t="n">
        <f aca="false">IF(OR($B70="",F70=""),0,IF(AND($E70="Trưởng tổ",F70="x"),SUMIFS(KT_TRUONG,KT_LOAI,"Tổ",KT_TO,$D70,KT_NGAY,1),SUMIFS(KT_PHAN,KT_LOAI,"Tổ",KT_TO,IF(F70="x",$D70,F70),KT_NGAY,1)))</f>
        <v>0</v>
      </c>
      <c r="AN70" s="31" t="n">
        <f aca="false">IF(OR($B70="",G70=""),0,IF(AND($E70="Trưởng tổ",G70="x"),SUMIFS(KT_TRUONG,KT_LOAI,"Tổ",KT_TO,$D70,KT_NGAY,2),SUMIFS(KT_PHAN,KT_LOAI,"Tổ",KT_TO,IF(G70="x",$D70,G70),KT_NGAY,2)))</f>
        <v>0</v>
      </c>
      <c r="AO70" s="31" t="n">
        <f aca="false">IF(OR($B70="",H70=""),0,IF(AND($E70="Trưởng tổ",H70="x"),SUMIFS(KT_TRUONG,KT_LOAI,"Tổ",KT_TO,$D70,KT_NGAY,3),SUMIFS(KT_PHAN,KT_LOAI,"Tổ",KT_TO,IF(H70="x",$D70,H70),KT_NGAY,3)))</f>
        <v>0</v>
      </c>
      <c r="AP70" s="31" t="n">
        <f aca="false">IF(OR($B70="",I70=""),0,IF(AND($E70="Trưởng tổ",I70="x"),SUMIFS(KT_TRUONG,KT_LOAI,"Tổ",KT_TO,$D70,KT_NGAY,4),SUMIFS(KT_PHAN,KT_LOAI,"Tổ",KT_TO,IF(I70="x",$D70,I70),KT_NGAY,4)))</f>
        <v>0</v>
      </c>
      <c r="AQ70" s="31" t="n">
        <f aca="false">IF(OR($B70="",J70=""),0,IF(AND($E70="Trưởng tổ",J70="x"),SUMIFS(KT_TRUONG,KT_LOAI,"Tổ",KT_TO,$D70,KT_NGAY,5),SUMIFS(KT_PHAN,KT_LOAI,"Tổ",KT_TO,IF(J70="x",$D70,J70),KT_NGAY,5)))</f>
        <v>0</v>
      </c>
      <c r="AR70" s="31" t="n">
        <f aca="false">IF(OR($B70="",K70=""),0,IF(AND($E70="Trưởng tổ",K70="x"),SUMIFS(KT_TRUONG,KT_LOAI,"Tổ",KT_TO,$D70,KT_NGAY,6),SUMIFS(KT_PHAN,KT_LOAI,"Tổ",KT_TO,IF(K70="x",$D70,K70),KT_NGAY,6)))</f>
        <v>0</v>
      </c>
      <c r="AS70" s="31" t="n">
        <f aca="false">IF(OR($B70="",L70=""),0,IF(AND($E70="Trưởng tổ",L70="x"),SUMIFS(KT_TRUONG,KT_LOAI,"Tổ",KT_TO,$D70,KT_NGAY,7),SUMIFS(KT_PHAN,KT_LOAI,"Tổ",KT_TO,IF(L70="x",$D70,L70),KT_NGAY,7)))</f>
        <v>0</v>
      </c>
      <c r="AT70" s="31" t="n">
        <f aca="false">IF(OR($B70="",M70=""),0,IF(AND($E70="Trưởng tổ",M70="x"),SUMIFS(KT_TRUONG,KT_LOAI,"Tổ",KT_TO,$D70,KT_NGAY,8),SUMIFS(KT_PHAN,KT_LOAI,"Tổ",KT_TO,IF(M70="x",$D70,M70),KT_NGAY,8)))</f>
        <v>0</v>
      </c>
      <c r="AU70" s="31" t="n">
        <f aca="false">IF(OR($B70="",N70=""),0,IF(AND($E70="Trưởng tổ",N70="x"),SUMIFS(KT_TRUONG,KT_LOAI,"Tổ",KT_TO,$D70,KT_NGAY,9),SUMIFS(KT_PHAN,KT_LOAI,"Tổ",KT_TO,IF(N70="x",$D70,N70),KT_NGAY,9)))</f>
        <v>0</v>
      </c>
      <c r="AV70" s="31" t="n">
        <f aca="false">IF(OR($B70="",O70=""),0,IF(AND($E70="Trưởng tổ",O70="x"),SUMIFS(KT_TRUONG,KT_LOAI,"Tổ",KT_TO,$D70,KT_NGAY,10),SUMIFS(KT_PHAN,KT_LOAI,"Tổ",KT_TO,IF(O70="x",$D70,O70),KT_NGAY,10)))</f>
        <v>0</v>
      </c>
      <c r="AW70" s="31" t="n">
        <f aca="false">IF(OR($B70="",P70=""),0,IF(AND($E70="Trưởng tổ",P70="x"),SUMIFS(KT_TRUONG,KT_LOAI,"Tổ",KT_TO,$D70,KT_NGAY,11),SUMIFS(KT_PHAN,KT_LOAI,"Tổ",KT_TO,IF(P70="x",$D70,P70),KT_NGAY,11)))</f>
        <v>0</v>
      </c>
      <c r="AX70" s="31" t="n">
        <f aca="false">IF(OR($B70="",Q70=""),0,IF(AND($E70="Trưởng tổ",Q70="x"),SUMIFS(KT_TRUONG,KT_LOAI,"Tổ",KT_TO,$D70,KT_NGAY,12),SUMIFS(KT_PHAN,KT_LOAI,"Tổ",KT_TO,IF(Q70="x",$D70,Q70),KT_NGAY,12)))</f>
        <v>0</v>
      </c>
      <c r="AY70" s="31" t="n">
        <f aca="false">IF(OR($B70="",R70=""),0,IF(AND($E70="Trưởng tổ",R70="x"),SUMIFS(KT_TRUONG,KT_LOAI,"Tổ",KT_TO,$D70,KT_NGAY,13),SUMIFS(KT_PHAN,KT_LOAI,"Tổ",KT_TO,IF(R70="x",$D70,R70),KT_NGAY,13)))</f>
        <v>0</v>
      </c>
      <c r="AZ70" s="31" t="n">
        <f aca="false">IF(OR($B70="",S70=""),0,IF(AND($E70="Trưởng tổ",S70="x"),SUMIFS(KT_TRUONG,KT_LOAI,"Tổ",KT_TO,$D70,KT_NGAY,14),SUMIFS(KT_PHAN,KT_LOAI,"Tổ",KT_TO,IF(S70="x",$D70,S70),KT_NGAY,14)))</f>
        <v>0</v>
      </c>
      <c r="BA70" s="31" t="n">
        <f aca="false">IF(OR($B70="",T70=""),0,IF(AND($E70="Trưởng tổ",T70="x"),SUMIFS(KT_TRUONG,KT_LOAI,"Tổ",KT_TO,$D70,KT_NGAY,15),SUMIFS(KT_PHAN,KT_LOAI,"Tổ",KT_TO,IF(T70="x",$D70,T70),KT_NGAY,15)))</f>
        <v>0</v>
      </c>
      <c r="BB70" s="31" t="n">
        <f aca="false">IF(OR($B70="",U70=""),0,IF(AND($E70="Trưởng tổ",U70="x"),SUMIFS(KT_TRUONG,KT_LOAI,"Tổ",KT_TO,$D70,KT_NGAY,16),SUMIFS(KT_PHAN,KT_LOAI,"Tổ",KT_TO,IF(U70="x",$D70,U70),KT_NGAY,16)))</f>
        <v>0</v>
      </c>
      <c r="BC70" s="31" t="n">
        <f aca="false">IF(OR($B70="",V70=""),0,IF(AND($E70="Trưởng tổ",V70="x"),SUMIFS(KT_TRUONG,KT_LOAI,"Tổ",KT_TO,$D70,KT_NGAY,17),SUMIFS(KT_PHAN,KT_LOAI,"Tổ",KT_TO,IF(V70="x",$D70,V70),KT_NGAY,17)))</f>
        <v>0</v>
      </c>
      <c r="BD70" s="31" t="n">
        <f aca="false">IF(OR($B70="",W70=""),0,IF(AND($E70="Trưởng tổ",W70="x"),SUMIFS(KT_TRUONG,KT_LOAI,"Tổ",KT_TO,$D70,KT_NGAY,18),SUMIFS(KT_PHAN,KT_LOAI,"Tổ",KT_TO,IF(W70="x",$D70,W70),KT_NGAY,18)))</f>
        <v>0</v>
      </c>
      <c r="BE70" s="31" t="n">
        <f aca="false">IF(OR($B70="",X70=""),0,IF(AND($E70="Trưởng tổ",X70="x"),SUMIFS(KT_TRUONG,KT_LOAI,"Tổ",KT_TO,$D70,KT_NGAY,19),SUMIFS(KT_PHAN,KT_LOAI,"Tổ",KT_TO,IF(X70="x",$D70,X70),KT_NGAY,19)))</f>
        <v>0</v>
      </c>
      <c r="BF70" s="31" t="n">
        <f aca="false">IF(OR($B70="",Y70=""),0,IF(AND($E70="Trưởng tổ",Y70="x"),SUMIFS(KT_TRUONG,KT_LOAI,"Tổ",KT_TO,$D70,KT_NGAY,20),SUMIFS(KT_PHAN,KT_LOAI,"Tổ",KT_TO,IF(Y70="x",$D70,Y70),KT_NGAY,20)))</f>
        <v>0</v>
      </c>
      <c r="BG70" s="31" t="n">
        <f aca="false">IF(OR($B70="",Z70=""),0,IF(AND($E70="Trưởng tổ",Z70="x"),SUMIFS(KT_TRUONG,KT_LOAI,"Tổ",KT_TO,$D70,KT_NGAY,21),SUMIFS(KT_PHAN,KT_LOAI,"Tổ",KT_TO,IF(Z70="x",$D70,Z70),KT_NGAY,21)))</f>
        <v>0</v>
      </c>
      <c r="BH70" s="31" t="n">
        <f aca="false">IF(OR($B70="",AA70=""),0,IF(AND($E70="Trưởng tổ",AA70="x"),SUMIFS(KT_TRUONG,KT_LOAI,"Tổ",KT_TO,$D70,KT_NGAY,22),SUMIFS(KT_PHAN,KT_LOAI,"Tổ",KT_TO,IF(AA70="x",$D70,AA70),KT_NGAY,22)))</f>
        <v>0</v>
      </c>
      <c r="BI70" s="31" t="n">
        <f aca="false">IF(OR($B70="",AB70=""),0,IF(AND($E70="Trưởng tổ",AB70="x"),SUMIFS(KT_TRUONG,KT_LOAI,"Tổ",KT_TO,$D70,KT_NGAY,23),SUMIFS(KT_PHAN,KT_LOAI,"Tổ",KT_TO,IF(AB70="x",$D70,AB70),KT_NGAY,23)))</f>
        <v>0</v>
      </c>
      <c r="BJ70" s="31" t="n">
        <f aca="false">IF(OR($B70="",AC70=""),0,IF(AND($E70="Trưởng tổ",AC70="x"),SUMIFS(KT_TRUONG,KT_LOAI,"Tổ",KT_TO,$D70,KT_NGAY,24),SUMIFS(KT_PHAN,KT_LOAI,"Tổ",KT_TO,IF(AC70="x",$D70,AC70),KT_NGAY,24)))</f>
        <v>0</v>
      </c>
      <c r="BK70" s="31" t="n">
        <f aca="false">IF(OR($B70="",AD70=""),0,IF(AND($E70="Trưởng tổ",AD70="x"),SUMIFS(KT_TRUONG,KT_LOAI,"Tổ",KT_TO,$D70,KT_NGAY,25),SUMIFS(KT_PHAN,KT_LOAI,"Tổ",KT_TO,IF(AD70="x",$D70,AD70),KT_NGAY,25)))</f>
        <v>0</v>
      </c>
      <c r="BL70" s="31" t="n">
        <f aca="false">IF(OR($B70="",AE70=""),0,IF(AND($E70="Trưởng tổ",AE70="x"),SUMIFS(KT_TRUONG,KT_LOAI,"Tổ",KT_TO,$D70,KT_NGAY,26),SUMIFS(KT_PHAN,KT_LOAI,"Tổ",KT_TO,IF(AE70="x",$D70,AE70),KT_NGAY,26)))</f>
        <v>0</v>
      </c>
      <c r="BM70" s="31" t="n">
        <f aca="false">IF(OR($B70="",AF70=""),0,IF(AND($E70="Trưởng tổ",AF70="x"),SUMIFS(KT_TRUONG,KT_LOAI,"Tổ",KT_TO,$D70,KT_NGAY,27),SUMIFS(KT_PHAN,KT_LOAI,"Tổ",KT_TO,IF(AF70="x",$D70,AF70),KT_NGAY,27)))</f>
        <v>0</v>
      </c>
      <c r="BN70" s="31" t="n">
        <f aca="false">IF(OR($B70="",AG70=""),0,IF(AND($E70="Trưởng tổ",AG70="x"),SUMIFS(KT_TRUONG,KT_LOAI,"Tổ",KT_TO,$D70,KT_NGAY,28),SUMIFS(KT_PHAN,KT_LOAI,"Tổ",KT_TO,IF(AG70="x",$D70,AG70),KT_NGAY,28)))</f>
        <v>0</v>
      </c>
      <c r="BO70" s="31" t="n">
        <f aca="false">IF(OR($B70="",AH70=""),0,IF(AND($E70="Trưởng tổ",AH70="x"),SUMIFS(KT_TRUONG,KT_LOAI,"Tổ",KT_TO,$D70,KT_NGAY,29),SUMIFS(KT_PHAN,KT_LOAI,"Tổ",KT_TO,IF(AH70="x",$D70,AH70),KT_NGAY,29)))</f>
        <v>0</v>
      </c>
      <c r="BP70" s="31" t="n">
        <f aca="false">IF(OR($B70="",AI70=""),0,IF(AND($E70="Trưởng tổ",AI70="x"),SUMIFS(KT_TRUONG,KT_LOAI,"Tổ",KT_TO,$D70,KT_NGAY,30),SUMIFS(KT_PHAN,KT_LOAI,"Tổ",KT_TO,IF(AI70="x",$D70,AI70),KT_NGAY,30)))</f>
        <v>0</v>
      </c>
      <c r="BQ70" s="31" t="n">
        <f aca="false">IF(OR($B70="",AJ70=""),0,IF(AND($E70="Trưởng tổ",AJ70="x"),SUMIFS(KT_TRUONG,KT_LOAI,"Tổ",KT_TO,$D70,KT_NGAY,31),SUMIFS(KT_PHAN,KT_LOAI,"Tổ",KT_TO,IF(AJ70="x",$D70,AJ70),KT_NGAY,31)))</f>
        <v>0</v>
      </c>
    </row>
    <row r="71" customFormat="false" ht="15" hidden="false" customHeight="false" outlineLevel="0" collapsed="false">
      <c r="A71" s="17" t="str">
        <f aca="false">IF(B71="","",ROW()-5)</f>
        <v/>
      </c>
      <c r="B71" s="29" t="str">
        <f aca="false">IF(OR(BCC!B71="",BCC!D71&lt;&gt;"Thời vụ HAQT"),"",BCC!B71)</f>
        <v/>
      </c>
      <c r="C71" s="17" t="str">
        <f aca="false">IF(B71="","",BCC!C71)</f>
        <v/>
      </c>
      <c r="D71" s="17" t="str">
        <f aca="false">IF(B71="","",IFERROR(INDEX(NV_TO,MATCH(B71,NV_MA,0)),""))</f>
        <v/>
      </c>
      <c r="E71" s="17" t="str">
        <f aca="false">IF(B71="","",IFERROR(INDEX(NV_VT,MATCH(B71,NV_MA,0)),""))</f>
        <v/>
      </c>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17" t="str">
        <f aca="false">IF(B71="","",COUNTA(F71:AJ71))</f>
        <v/>
      </c>
      <c r="AL71" s="30" t="str">
        <f aca="false">IF(B71="","",SUM(AM71:BQ71))</f>
        <v/>
      </c>
      <c r="AM71" s="31" t="n">
        <f aca="false">IF(OR($B71="",F71=""),0,IF(AND($E71="Trưởng tổ",F71="x"),SUMIFS(KT_TRUONG,KT_LOAI,"Tổ",KT_TO,$D71,KT_NGAY,1),SUMIFS(KT_PHAN,KT_LOAI,"Tổ",KT_TO,IF(F71="x",$D71,F71),KT_NGAY,1)))</f>
        <v>0</v>
      </c>
      <c r="AN71" s="31" t="n">
        <f aca="false">IF(OR($B71="",G71=""),0,IF(AND($E71="Trưởng tổ",G71="x"),SUMIFS(KT_TRUONG,KT_LOAI,"Tổ",KT_TO,$D71,KT_NGAY,2),SUMIFS(KT_PHAN,KT_LOAI,"Tổ",KT_TO,IF(G71="x",$D71,G71),KT_NGAY,2)))</f>
        <v>0</v>
      </c>
      <c r="AO71" s="31" t="n">
        <f aca="false">IF(OR($B71="",H71=""),0,IF(AND($E71="Trưởng tổ",H71="x"),SUMIFS(KT_TRUONG,KT_LOAI,"Tổ",KT_TO,$D71,KT_NGAY,3),SUMIFS(KT_PHAN,KT_LOAI,"Tổ",KT_TO,IF(H71="x",$D71,H71),KT_NGAY,3)))</f>
        <v>0</v>
      </c>
      <c r="AP71" s="31" t="n">
        <f aca="false">IF(OR($B71="",I71=""),0,IF(AND($E71="Trưởng tổ",I71="x"),SUMIFS(KT_TRUONG,KT_LOAI,"Tổ",KT_TO,$D71,KT_NGAY,4),SUMIFS(KT_PHAN,KT_LOAI,"Tổ",KT_TO,IF(I71="x",$D71,I71),KT_NGAY,4)))</f>
        <v>0</v>
      </c>
      <c r="AQ71" s="31" t="n">
        <f aca="false">IF(OR($B71="",J71=""),0,IF(AND($E71="Trưởng tổ",J71="x"),SUMIFS(KT_TRUONG,KT_LOAI,"Tổ",KT_TO,$D71,KT_NGAY,5),SUMIFS(KT_PHAN,KT_LOAI,"Tổ",KT_TO,IF(J71="x",$D71,J71),KT_NGAY,5)))</f>
        <v>0</v>
      </c>
      <c r="AR71" s="31" t="n">
        <f aca="false">IF(OR($B71="",K71=""),0,IF(AND($E71="Trưởng tổ",K71="x"),SUMIFS(KT_TRUONG,KT_LOAI,"Tổ",KT_TO,$D71,KT_NGAY,6),SUMIFS(KT_PHAN,KT_LOAI,"Tổ",KT_TO,IF(K71="x",$D71,K71),KT_NGAY,6)))</f>
        <v>0</v>
      </c>
      <c r="AS71" s="31" t="n">
        <f aca="false">IF(OR($B71="",L71=""),0,IF(AND($E71="Trưởng tổ",L71="x"),SUMIFS(KT_TRUONG,KT_LOAI,"Tổ",KT_TO,$D71,KT_NGAY,7),SUMIFS(KT_PHAN,KT_LOAI,"Tổ",KT_TO,IF(L71="x",$D71,L71),KT_NGAY,7)))</f>
        <v>0</v>
      </c>
      <c r="AT71" s="31" t="n">
        <f aca="false">IF(OR($B71="",M71=""),0,IF(AND($E71="Trưởng tổ",M71="x"),SUMIFS(KT_TRUONG,KT_LOAI,"Tổ",KT_TO,$D71,KT_NGAY,8),SUMIFS(KT_PHAN,KT_LOAI,"Tổ",KT_TO,IF(M71="x",$D71,M71),KT_NGAY,8)))</f>
        <v>0</v>
      </c>
      <c r="AU71" s="31" t="n">
        <f aca="false">IF(OR($B71="",N71=""),0,IF(AND($E71="Trưởng tổ",N71="x"),SUMIFS(KT_TRUONG,KT_LOAI,"Tổ",KT_TO,$D71,KT_NGAY,9),SUMIFS(KT_PHAN,KT_LOAI,"Tổ",KT_TO,IF(N71="x",$D71,N71),KT_NGAY,9)))</f>
        <v>0</v>
      </c>
      <c r="AV71" s="31" t="n">
        <f aca="false">IF(OR($B71="",O71=""),0,IF(AND($E71="Trưởng tổ",O71="x"),SUMIFS(KT_TRUONG,KT_LOAI,"Tổ",KT_TO,$D71,KT_NGAY,10),SUMIFS(KT_PHAN,KT_LOAI,"Tổ",KT_TO,IF(O71="x",$D71,O71),KT_NGAY,10)))</f>
        <v>0</v>
      </c>
      <c r="AW71" s="31" t="n">
        <f aca="false">IF(OR($B71="",P71=""),0,IF(AND($E71="Trưởng tổ",P71="x"),SUMIFS(KT_TRUONG,KT_LOAI,"Tổ",KT_TO,$D71,KT_NGAY,11),SUMIFS(KT_PHAN,KT_LOAI,"Tổ",KT_TO,IF(P71="x",$D71,P71),KT_NGAY,11)))</f>
        <v>0</v>
      </c>
      <c r="AX71" s="31" t="n">
        <f aca="false">IF(OR($B71="",Q71=""),0,IF(AND($E71="Trưởng tổ",Q71="x"),SUMIFS(KT_TRUONG,KT_LOAI,"Tổ",KT_TO,$D71,KT_NGAY,12),SUMIFS(KT_PHAN,KT_LOAI,"Tổ",KT_TO,IF(Q71="x",$D71,Q71),KT_NGAY,12)))</f>
        <v>0</v>
      </c>
      <c r="AY71" s="31" t="n">
        <f aca="false">IF(OR($B71="",R71=""),0,IF(AND($E71="Trưởng tổ",R71="x"),SUMIFS(KT_TRUONG,KT_LOAI,"Tổ",KT_TO,$D71,KT_NGAY,13),SUMIFS(KT_PHAN,KT_LOAI,"Tổ",KT_TO,IF(R71="x",$D71,R71),KT_NGAY,13)))</f>
        <v>0</v>
      </c>
      <c r="AZ71" s="31" t="n">
        <f aca="false">IF(OR($B71="",S71=""),0,IF(AND($E71="Trưởng tổ",S71="x"),SUMIFS(KT_TRUONG,KT_LOAI,"Tổ",KT_TO,$D71,KT_NGAY,14),SUMIFS(KT_PHAN,KT_LOAI,"Tổ",KT_TO,IF(S71="x",$D71,S71),KT_NGAY,14)))</f>
        <v>0</v>
      </c>
      <c r="BA71" s="31" t="n">
        <f aca="false">IF(OR($B71="",T71=""),0,IF(AND($E71="Trưởng tổ",T71="x"),SUMIFS(KT_TRUONG,KT_LOAI,"Tổ",KT_TO,$D71,KT_NGAY,15),SUMIFS(KT_PHAN,KT_LOAI,"Tổ",KT_TO,IF(T71="x",$D71,T71),KT_NGAY,15)))</f>
        <v>0</v>
      </c>
      <c r="BB71" s="31" t="n">
        <f aca="false">IF(OR($B71="",U71=""),0,IF(AND($E71="Trưởng tổ",U71="x"),SUMIFS(KT_TRUONG,KT_LOAI,"Tổ",KT_TO,$D71,KT_NGAY,16),SUMIFS(KT_PHAN,KT_LOAI,"Tổ",KT_TO,IF(U71="x",$D71,U71),KT_NGAY,16)))</f>
        <v>0</v>
      </c>
      <c r="BC71" s="31" t="n">
        <f aca="false">IF(OR($B71="",V71=""),0,IF(AND($E71="Trưởng tổ",V71="x"),SUMIFS(KT_TRUONG,KT_LOAI,"Tổ",KT_TO,$D71,KT_NGAY,17),SUMIFS(KT_PHAN,KT_LOAI,"Tổ",KT_TO,IF(V71="x",$D71,V71),KT_NGAY,17)))</f>
        <v>0</v>
      </c>
      <c r="BD71" s="31" t="n">
        <f aca="false">IF(OR($B71="",W71=""),0,IF(AND($E71="Trưởng tổ",W71="x"),SUMIFS(KT_TRUONG,KT_LOAI,"Tổ",KT_TO,$D71,KT_NGAY,18),SUMIFS(KT_PHAN,KT_LOAI,"Tổ",KT_TO,IF(W71="x",$D71,W71),KT_NGAY,18)))</f>
        <v>0</v>
      </c>
      <c r="BE71" s="31" t="n">
        <f aca="false">IF(OR($B71="",X71=""),0,IF(AND($E71="Trưởng tổ",X71="x"),SUMIFS(KT_TRUONG,KT_LOAI,"Tổ",KT_TO,$D71,KT_NGAY,19),SUMIFS(KT_PHAN,KT_LOAI,"Tổ",KT_TO,IF(X71="x",$D71,X71),KT_NGAY,19)))</f>
        <v>0</v>
      </c>
      <c r="BF71" s="31" t="n">
        <f aca="false">IF(OR($B71="",Y71=""),0,IF(AND($E71="Trưởng tổ",Y71="x"),SUMIFS(KT_TRUONG,KT_LOAI,"Tổ",KT_TO,$D71,KT_NGAY,20),SUMIFS(KT_PHAN,KT_LOAI,"Tổ",KT_TO,IF(Y71="x",$D71,Y71),KT_NGAY,20)))</f>
        <v>0</v>
      </c>
      <c r="BG71" s="31" t="n">
        <f aca="false">IF(OR($B71="",Z71=""),0,IF(AND($E71="Trưởng tổ",Z71="x"),SUMIFS(KT_TRUONG,KT_LOAI,"Tổ",KT_TO,$D71,KT_NGAY,21),SUMIFS(KT_PHAN,KT_LOAI,"Tổ",KT_TO,IF(Z71="x",$D71,Z71),KT_NGAY,21)))</f>
        <v>0</v>
      </c>
      <c r="BH71" s="31" t="n">
        <f aca="false">IF(OR($B71="",AA71=""),0,IF(AND($E71="Trưởng tổ",AA71="x"),SUMIFS(KT_TRUONG,KT_LOAI,"Tổ",KT_TO,$D71,KT_NGAY,22),SUMIFS(KT_PHAN,KT_LOAI,"Tổ",KT_TO,IF(AA71="x",$D71,AA71),KT_NGAY,22)))</f>
        <v>0</v>
      </c>
      <c r="BI71" s="31" t="n">
        <f aca="false">IF(OR($B71="",AB71=""),0,IF(AND($E71="Trưởng tổ",AB71="x"),SUMIFS(KT_TRUONG,KT_LOAI,"Tổ",KT_TO,$D71,KT_NGAY,23),SUMIFS(KT_PHAN,KT_LOAI,"Tổ",KT_TO,IF(AB71="x",$D71,AB71),KT_NGAY,23)))</f>
        <v>0</v>
      </c>
      <c r="BJ71" s="31" t="n">
        <f aca="false">IF(OR($B71="",AC71=""),0,IF(AND($E71="Trưởng tổ",AC71="x"),SUMIFS(KT_TRUONG,KT_LOAI,"Tổ",KT_TO,$D71,KT_NGAY,24),SUMIFS(KT_PHAN,KT_LOAI,"Tổ",KT_TO,IF(AC71="x",$D71,AC71),KT_NGAY,24)))</f>
        <v>0</v>
      </c>
      <c r="BK71" s="31" t="n">
        <f aca="false">IF(OR($B71="",AD71=""),0,IF(AND($E71="Trưởng tổ",AD71="x"),SUMIFS(KT_TRUONG,KT_LOAI,"Tổ",KT_TO,$D71,KT_NGAY,25),SUMIFS(KT_PHAN,KT_LOAI,"Tổ",KT_TO,IF(AD71="x",$D71,AD71),KT_NGAY,25)))</f>
        <v>0</v>
      </c>
      <c r="BL71" s="31" t="n">
        <f aca="false">IF(OR($B71="",AE71=""),0,IF(AND($E71="Trưởng tổ",AE71="x"),SUMIFS(KT_TRUONG,KT_LOAI,"Tổ",KT_TO,$D71,KT_NGAY,26),SUMIFS(KT_PHAN,KT_LOAI,"Tổ",KT_TO,IF(AE71="x",$D71,AE71),KT_NGAY,26)))</f>
        <v>0</v>
      </c>
      <c r="BM71" s="31" t="n">
        <f aca="false">IF(OR($B71="",AF71=""),0,IF(AND($E71="Trưởng tổ",AF71="x"),SUMIFS(KT_TRUONG,KT_LOAI,"Tổ",KT_TO,$D71,KT_NGAY,27),SUMIFS(KT_PHAN,KT_LOAI,"Tổ",KT_TO,IF(AF71="x",$D71,AF71),KT_NGAY,27)))</f>
        <v>0</v>
      </c>
      <c r="BN71" s="31" t="n">
        <f aca="false">IF(OR($B71="",AG71=""),0,IF(AND($E71="Trưởng tổ",AG71="x"),SUMIFS(KT_TRUONG,KT_LOAI,"Tổ",KT_TO,$D71,KT_NGAY,28),SUMIFS(KT_PHAN,KT_LOAI,"Tổ",KT_TO,IF(AG71="x",$D71,AG71),KT_NGAY,28)))</f>
        <v>0</v>
      </c>
      <c r="BO71" s="31" t="n">
        <f aca="false">IF(OR($B71="",AH71=""),0,IF(AND($E71="Trưởng tổ",AH71="x"),SUMIFS(KT_TRUONG,KT_LOAI,"Tổ",KT_TO,$D71,KT_NGAY,29),SUMIFS(KT_PHAN,KT_LOAI,"Tổ",KT_TO,IF(AH71="x",$D71,AH71),KT_NGAY,29)))</f>
        <v>0</v>
      </c>
      <c r="BP71" s="31" t="n">
        <f aca="false">IF(OR($B71="",AI71=""),0,IF(AND($E71="Trưởng tổ",AI71="x"),SUMIFS(KT_TRUONG,KT_LOAI,"Tổ",KT_TO,$D71,KT_NGAY,30),SUMIFS(KT_PHAN,KT_LOAI,"Tổ",KT_TO,IF(AI71="x",$D71,AI71),KT_NGAY,30)))</f>
        <v>0</v>
      </c>
      <c r="BQ71" s="31" t="n">
        <f aca="false">IF(OR($B71="",AJ71=""),0,IF(AND($E71="Trưởng tổ",AJ71="x"),SUMIFS(KT_TRUONG,KT_LOAI,"Tổ",KT_TO,$D71,KT_NGAY,31),SUMIFS(KT_PHAN,KT_LOAI,"Tổ",KT_TO,IF(AJ71="x",$D71,AJ71),KT_NGAY,31)))</f>
        <v>0</v>
      </c>
    </row>
    <row r="72" customFormat="false" ht="15" hidden="false" customHeight="false" outlineLevel="0" collapsed="false">
      <c r="A72" s="17" t="str">
        <f aca="false">IF(B72="","",ROW()-5)</f>
        <v/>
      </c>
      <c r="B72" s="29" t="str">
        <f aca="false">IF(OR(BCC!B72="",BCC!D72&lt;&gt;"Thời vụ HAQT"),"",BCC!B72)</f>
        <v/>
      </c>
      <c r="C72" s="17" t="str">
        <f aca="false">IF(B72="","",BCC!C72)</f>
        <v/>
      </c>
      <c r="D72" s="17" t="str">
        <f aca="false">IF(B72="","",IFERROR(INDEX(NV_TO,MATCH(B72,NV_MA,0)),""))</f>
        <v/>
      </c>
      <c r="E72" s="17" t="str">
        <f aca="false">IF(B72="","",IFERROR(INDEX(NV_VT,MATCH(B72,NV_MA,0)),""))</f>
        <v/>
      </c>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17" t="str">
        <f aca="false">IF(B72="","",COUNTA(F72:AJ72))</f>
        <v/>
      </c>
      <c r="AL72" s="30" t="str">
        <f aca="false">IF(B72="","",SUM(AM72:BQ72))</f>
        <v/>
      </c>
      <c r="AM72" s="31" t="n">
        <f aca="false">IF(OR($B72="",F72=""),0,IF(AND($E72="Trưởng tổ",F72="x"),SUMIFS(KT_TRUONG,KT_LOAI,"Tổ",KT_TO,$D72,KT_NGAY,1),SUMIFS(KT_PHAN,KT_LOAI,"Tổ",KT_TO,IF(F72="x",$D72,F72),KT_NGAY,1)))</f>
        <v>0</v>
      </c>
      <c r="AN72" s="31" t="n">
        <f aca="false">IF(OR($B72="",G72=""),0,IF(AND($E72="Trưởng tổ",G72="x"),SUMIFS(KT_TRUONG,KT_LOAI,"Tổ",KT_TO,$D72,KT_NGAY,2),SUMIFS(KT_PHAN,KT_LOAI,"Tổ",KT_TO,IF(G72="x",$D72,G72),KT_NGAY,2)))</f>
        <v>0</v>
      </c>
      <c r="AO72" s="31" t="n">
        <f aca="false">IF(OR($B72="",H72=""),0,IF(AND($E72="Trưởng tổ",H72="x"),SUMIFS(KT_TRUONG,KT_LOAI,"Tổ",KT_TO,$D72,KT_NGAY,3),SUMIFS(KT_PHAN,KT_LOAI,"Tổ",KT_TO,IF(H72="x",$D72,H72),KT_NGAY,3)))</f>
        <v>0</v>
      </c>
      <c r="AP72" s="31" t="n">
        <f aca="false">IF(OR($B72="",I72=""),0,IF(AND($E72="Trưởng tổ",I72="x"),SUMIFS(KT_TRUONG,KT_LOAI,"Tổ",KT_TO,$D72,KT_NGAY,4),SUMIFS(KT_PHAN,KT_LOAI,"Tổ",KT_TO,IF(I72="x",$D72,I72),KT_NGAY,4)))</f>
        <v>0</v>
      </c>
      <c r="AQ72" s="31" t="n">
        <f aca="false">IF(OR($B72="",J72=""),0,IF(AND($E72="Trưởng tổ",J72="x"),SUMIFS(KT_TRUONG,KT_LOAI,"Tổ",KT_TO,$D72,KT_NGAY,5),SUMIFS(KT_PHAN,KT_LOAI,"Tổ",KT_TO,IF(J72="x",$D72,J72),KT_NGAY,5)))</f>
        <v>0</v>
      </c>
      <c r="AR72" s="31" t="n">
        <f aca="false">IF(OR($B72="",K72=""),0,IF(AND($E72="Trưởng tổ",K72="x"),SUMIFS(KT_TRUONG,KT_LOAI,"Tổ",KT_TO,$D72,KT_NGAY,6),SUMIFS(KT_PHAN,KT_LOAI,"Tổ",KT_TO,IF(K72="x",$D72,K72),KT_NGAY,6)))</f>
        <v>0</v>
      </c>
      <c r="AS72" s="31" t="n">
        <f aca="false">IF(OR($B72="",L72=""),0,IF(AND($E72="Trưởng tổ",L72="x"),SUMIFS(KT_TRUONG,KT_LOAI,"Tổ",KT_TO,$D72,KT_NGAY,7),SUMIFS(KT_PHAN,KT_LOAI,"Tổ",KT_TO,IF(L72="x",$D72,L72),KT_NGAY,7)))</f>
        <v>0</v>
      </c>
      <c r="AT72" s="31" t="n">
        <f aca="false">IF(OR($B72="",M72=""),0,IF(AND($E72="Trưởng tổ",M72="x"),SUMIFS(KT_TRUONG,KT_LOAI,"Tổ",KT_TO,$D72,KT_NGAY,8),SUMIFS(KT_PHAN,KT_LOAI,"Tổ",KT_TO,IF(M72="x",$D72,M72),KT_NGAY,8)))</f>
        <v>0</v>
      </c>
      <c r="AU72" s="31" t="n">
        <f aca="false">IF(OR($B72="",N72=""),0,IF(AND($E72="Trưởng tổ",N72="x"),SUMIFS(KT_TRUONG,KT_LOAI,"Tổ",KT_TO,$D72,KT_NGAY,9),SUMIFS(KT_PHAN,KT_LOAI,"Tổ",KT_TO,IF(N72="x",$D72,N72),KT_NGAY,9)))</f>
        <v>0</v>
      </c>
      <c r="AV72" s="31" t="n">
        <f aca="false">IF(OR($B72="",O72=""),0,IF(AND($E72="Trưởng tổ",O72="x"),SUMIFS(KT_TRUONG,KT_LOAI,"Tổ",KT_TO,$D72,KT_NGAY,10),SUMIFS(KT_PHAN,KT_LOAI,"Tổ",KT_TO,IF(O72="x",$D72,O72),KT_NGAY,10)))</f>
        <v>0</v>
      </c>
      <c r="AW72" s="31" t="n">
        <f aca="false">IF(OR($B72="",P72=""),0,IF(AND($E72="Trưởng tổ",P72="x"),SUMIFS(KT_TRUONG,KT_LOAI,"Tổ",KT_TO,$D72,KT_NGAY,11),SUMIFS(KT_PHAN,KT_LOAI,"Tổ",KT_TO,IF(P72="x",$D72,P72),KT_NGAY,11)))</f>
        <v>0</v>
      </c>
      <c r="AX72" s="31" t="n">
        <f aca="false">IF(OR($B72="",Q72=""),0,IF(AND($E72="Trưởng tổ",Q72="x"),SUMIFS(KT_TRUONG,KT_LOAI,"Tổ",KT_TO,$D72,KT_NGAY,12),SUMIFS(KT_PHAN,KT_LOAI,"Tổ",KT_TO,IF(Q72="x",$D72,Q72),KT_NGAY,12)))</f>
        <v>0</v>
      </c>
      <c r="AY72" s="31" t="n">
        <f aca="false">IF(OR($B72="",R72=""),0,IF(AND($E72="Trưởng tổ",R72="x"),SUMIFS(KT_TRUONG,KT_LOAI,"Tổ",KT_TO,$D72,KT_NGAY,13),SUMIFS(KT_PHAN,KT_LOAI,"Tổ",KT_TO,IF(R72="x",$D72,R72),KT_NGAY,13)))</f>
        <v>0</v>
      </c>
      <c r="AZ72" s="31" t="n">
        <f aca="false">IF(OR($B72="",S72=""),0,IF(AND($E72="Trưởng tổ",S72="x"),SUMIFS(KT_TRUONG,KT_LOAI,"Tổ",KT_TO,$D72,KT_NGAY,14),SUMIFS(KT_PHAN,KT_LOAI,"Tổ",KT_TO,IF(S72="x",$D72,S72),KT_NGAY,14)))</f>
        <v>0</v>
      </c>
      <c r="BA72" s="31" t="n">
        <f aca="false">IF(OR($B72="",T72=""),0,IF(AND($E72="Trưởng tổ",T72="x"),SUMIFS(KT_TRUONG,KT_LOAI,"Tổ",KT_TO,$D72,KT_NGAY,15),SUMIFS(KT_PHAN,KT_LOAI,"Tổ",KT_TO,IF(T72="x",$D72,T72),KT_NGAY,15)))</f>
        <v>0</v>
      </c>
      <c r="BB72" s="31" t="n">
        <f aca="false">IF(OR($B72="",U72=""),0,IF(AND($E72="Trưởng tổ",U72="x"),SUMIFS(KT_TRUONG,KT_LOAI,"Tổ",KT_TO,$D72,KT_NGAY,16),SUMIFS(KT_PHAN,KT_LOAI,"Tổ",KT_TO,IF(U72="x",$D72,U72),KT_NGAY,16)))</f>
        <v>0</v>
      </c>
      <c r="BC72" s="31" t="n">
        <f aca="false">IF(OR($B72="",V72=""),0,IF(AND($E72="Trưởng tổ",V72="x"),SUMIFS(KT_TRUONG,KT_LOAI,"Tổ",KT_TO,$D72,KT_NGAY,17),SUMIFS(KT_PHAN,KT_LOAI,"Tổ",KT_TO,IF(V72="x",$D72,V72),KT_NGAY,17)))</f>
        <v>0</v>
      </c>
      <c r="BD72" s="31" t="n">
        <f aca="false">IF(OR($B72="",W72=""),0,IF(AND($E72="Trưởng tổ",W72="x"),SUMIFS(KT_TRUONG,KT_LOAI,"Tổ",KT_TO,$D72,KT_NGAY,18),SUMIFS(KT_PHAN,KT_LOAI,"Tổ",KT_TO,IF(W72="x",$D72,W72),KT_NGAY,18)))</f>
        <v>0</v>
      </c>
      <c r="BE72" s="31" t="n">
        <f aca="false">IF(OR($B72="",X72=""),0,IF(AND($E72="Trưởng tổ",X72="x"),SUMIFS(KT_TRUONG,KT_LOAI,"Tổ",KT_TO,$D72,KT_NGAY,19),SUMIFS(KT_PHAN,KT_LOAI,"Tổ",KT_TO,IF(X72="x",$D72,X72),KT_NGAY,19)))</f>
        <v>0</v>
      </c>
      <c r="BF72" s="31" t="n">
        <f aca="false">IF(OR($B72="",Y72=""),0,IF(AND($E72="Trưởng tổ",Y72="x"),SUMIFS(KT_TRUONG,KT_LOAI,"Tổ",KT_TO,$D72,KT_NGAY,20),SUMIFS(KT_PHAN,KT_LOAI,"Tổ",KT_TO,IF(Y72="x",$D72,Y72),KT_NGAY,20)))</f>
        <v>0</v>
      </c>
      <c r="BG72" s="31" t="n">
        <f aca="false">IF(OR($B72="",Z72=""),0,IF(AND($E72="Trưởng tổ",Z72="x"),SUMIFS(KT_TRUONG,KT_LOAI,"Tổ",KT_TO,$D72,KT_NGAY,21),SUMIFS(KT_PHAN,KT_LOAI,"Tổ",KT_TO,IF(Z72="x",$D72,Z72),KT_NGAY,21)))</f>
        <v>0</v>
      </c>
      <c r="BH72" s="31" t="n">
        <f aca="false">IF(OR($B72="",AA72=""),0,IF(AND($E72="Trưởng tổ",AA72="x"),SUMIFS(KT_TRUONG,KT_LOAI,"Tổ",KT_TO,$D72,KT_NGAY,22),SUMIFS(KT_PHAN,KT_LOAI,"Tổ",KT_TO,IF(AA72="x",$D72,AA72),KT_NGAY,22)))</f>
        <v>0</v>
      </c>
      <c r="BI72" s="31" t="n">
        <f aca="false">IF(OR($B72="",AB72=""),0,IF(AND($E72="Trưởng tổ",AB72="x"),SUMIFS(KT_TRUONG,KT_LOAI,"Tổ",KT_TO,$D72,KT_NGAY,23),SUMIFS(KT_PHAN,KT_LOAI,"Tổ",KT_TO,IF(AB72="x",$D72,AB72),KT_NGAY,23)))</f>
        <v>0</v>
      </c>
      <c r="BJ72" s="31" t="n">
        <f aca="false">IF(OR($B72="",AC72=""),0,IF(AND($E72="Trưởng tổ",AC72="x"),SUMIFS(KT_TRUONG,KT_LOAI,"Tổ",KT_TO,$D72,KT_NGAY,24),SUMIFS(KT_PHAN,KT_LOAI,"Tổ",KT_TO,IF(AC72="x",$D72,AC72),KT_NGAY,24)))</f>
        <v>0</v>
      </c>
      <c r="BK72" s="31" t="n">
        <f aca="false">IF(OR($B72="",AD72=""),0,IF(AND($E72="Trưởng tổ",AD72="x"),SUMIFS(KT_TRUONG,KT_LOAI,"Tổ",KT_TO,$D72,KT_NGAY,25),SUMIFS(KT_PHAN,KT_LOAI,"Tổ",KT_TO,IF(AD72="x",$D72,AD72),KT_NGAY,25)))</f>
        <v>0</v>
      </c>
      <c r="BL72" s="31" t="n">
        <f aca="false">IF(OR($B72="",AE72=""),0,IF(AND($E72="Trưởng tổ",AE72="x"),SUMIFS(KT_TRUONG,KT_LOAI,"Tổ",KT_TO,$D72,KT_NGAY,26),SUMIFS(KT_PHAN,KT_LOAI,"Tổ",KT_TO,IF(AE72="x",$D72,AE72),KT_NGAY,26)))</f>
        <v>0</v>
      </c>
      <c r="BM72" s="31" t="n">
        <f aca="false">IF(OR($B72="",AF72=""),0,IF(AND($E72="Trưởng tổ",AF72="x"),SUMIFS(KT_TRUONG,KT_LOAI,"Tổ",KT_TO,$D72,KT_NGAY,27),SUMIFS(KT_PHAN,KT_LOAI,"Tổ",KT_TO,IF(AF72="x",$D72,AF72),KT_NGAY,27)))</f>
        <v>0</v>
      </c>
      <c r="BN72" s="31" t="n">
        <f aca="false">IF(OR($B72="",AG72=""),0,IF(AND($E72="Trưởng tổ",AG72="x"),SUMIFS(KT_TRUONG,KT_LOAI,"Tổ",KT_TO,$D72,KT_NGAY,28),SUMIFS(KT_PHAN,KT_LOAI,"Tổ",KT_TO,IF(AG72="x",$D72,AG72),KT_NGAY,28)))</f>
        <v>0</v>
      </c>
      <c r="BO72" s="31" t="n">
        <f aca="false">IF(OR($B72="",AH72=""),0,IF(AND($E72="Trưởng tổ",AH72="x"),SUMIFS(KT_TRUONG,KT_LOAI,"Tổ",KT_TO,$D72,KT_NGAY,29),SUMIFS(KT_PHAN,KT_LOAI,"Tổ",KT_TO,IF(AH72="x",$D72,AH72),KT_NGAY,29)))</f>
        <v>0</v>
      </c>
      <c r="BP72" s="31" t="n">
        <f aca="false">IF(OR($B72="",AI72=""),0,IF(AND($E72="Trưởng tổ",AI72="x"),SUMIFS(KT_TRUONG,KT_LOAI,"Tổ",KT_TO,$D72,KT_NGAY,30),SUMIFS(KT_PHAN,KT_LOAI,"Tổ",KT_TO,IF(AI72="x",$D72,AI72),KT_NGAY,30)))</f>
        <v>0</v>
      </c>
      <c r="BQ72" s="31" t="n">
        <f aca="false">IF(OR($B72="",AJ72=""),0,IF(AND($E72="Trưởng tổ",AJ72="x"),SUMIFS(KT_TRUONG,KT_LOAI,"Tổ",KT_TO,$D72,KT_NGAY,31),SUMIFS(KT_PHAN,KT_LOAI,"Tổ",KT_TO,IF(AJ72="x",$D72,AJ72),KT_NGAY,31)))</f>
        <v>0</v>
      </c>
    </row>
    <row r="73" customFormat="false" ht="15" hidden="false" customHeight="false" outlineLevel="0" collapsed="false">
      <c r="A73" s="17" t="str">
        <f aca="false">IF(B73="","",ROW()-5)</f>
        <v/>
      </c>
      <c r="B73" s="29" t="str">
        <f aca="false">IF(OR(BCC!B73="",BCC!D73&lt;&gt;"Thời vụ HAQT"),"",BCC!B73)</f>
        <v/>
      </c>
      <c r="C73" s="17" t="str">
        <f aca="false">IF(B73="","",BCC!C73)</f>
        <v/>
      </c>
      <c r="D73" s="17" t="str">
        <f aca="false">IF(B73="","",IFERROR(INDEX(NV_TO,MATCH(B73,NV_MA,0)),""))</f>
        <v/>
      </c>
      <c r="E73" s="17" t="str">
        <f aca="false">IF(B73="","",IFERROR(INDEX(NV_VT,MATCH(B73,NV_MA,0)),""))</f>
        <v/>
      </c>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17" t="str">
        <f aca="false">IF(B73="","",COUNTA(F73:AJ73))</f>
        <v/>
      </c>
      <c r="AL73" s="30" t="str">
        <f aca="false">IF(B73="","",SUM(AM73:BQ73))</f>
        <v/>
      </c>
      <c r="AM73" s="31" t="n">
        <f aca="false">IF(OR($B73="",F73=""),0,IF(AND($E73="Trưởng tổ",F73="x"),SUMIFS(KT_TRUONG,KT_LOAI,"Tổ",KT_TO,$D73,KT_NGAY,1),SUMIFS(KT_PHAN,KT_LOAI,"Tổ",KT_TO,IF(F73="x",$D73,F73),KT_NGAY,1)))</f>
        <v>0</v>
      </c>
      <c r="AN73" s="31" t="n">
        <f aca="false">IF(OR($B73="",G73=""),0,IF(AND($E73="Trưởng tổ",G73="x"),SUMIFS(KT_TRUONG,KT_LOAI,"Tổ",KT_TO,$D73,KT_NGAY,2),SUMIFS(KT_PHAN,KT_LOAI,"Tổ",KT_TO,IF(G73="x",$D73,G73),KT_NGAY,2)))</f>
        <v>0</v>
      </c>
      <c r="AO73" s="31" t="n">
        <f aca="false">IF(OR($B73="",H73=""),0,IF(AND($E73="Trưởng tổ",H73="x"),SUMIFS(KT_TRUONG,KT_LOAI,"Tổ",KT_TO,$D73,KT_NGAY,3),SUMIFS(KT_PHAN,KT_LOAI,"Tổ",KT_TO,IF(H73="x",$D73,H73),KT_NGAY,3)))</f>
        <v>0</v>
      </c>
      <c r="AP73" s="31" t="n">
        <f aca="false">IF(OR($B73="",I73=""),0,IF(AND($E73="Trưởng tổ",I73="x"),SUMIFS(KT_TRUONG,KT_LOAI,"Tổ",KT_TO,$D73,KT_NGAY,4),SUMIFS(KT_PHAN,KT_LOAI,"Tổ",KT_TO,IF(I73="x",$D73,I73),KT_NGAY,4)))</f>
        <v>0</v>
      </c>
      <c r="AQ73" s="31" t="n">
        <f aca="false">IF(OR($B73="",J73=""),0,IF(AND($E73="Trưởng tổ",J73="x"),SUMIFS(KT_TRUONG,KT_LOAI,"Tổ",KT_TO,$D73,KT_NGAY,5),SUMIFS(KT_PHAN,KT_LOAI,"Tổ",KT_TO,IF(J73="x",$D73,J73),KT_NGAY,5)))</f>
        <v>0</v>
      </c>
      <c r="AR73" s="31" t="n">
        <f aca="false">IF(OR($B73="",K73=""),0,IF(AND($E73="Trưởng tổ",K73="x"),SUMIFS(KT_TRUONG,KT_LOAI,"Tổ",KT_TO,$D73,KT_NGAY,6),SUMIFS(KT_PHAN,KT_LOAI,"Tổ",KT_TO,IF(K73="x",$D73,K73),KT_NGAY,6)))</f>
        <v>0</v>
      </c>
      <c r="AS73" s="31" t="n">
        <f aca="false">IF(OR($B73="",L73=""),0,IF(AND($E73="Trưởng tổ",L73="x"),SUMIFS(KT_TRUONG,KT_LOAI,"Tổ",KT_TO,$D73,KT_NGAY,7),SUMIFS(KT_PHAN,KT_LOAI,"Tổ",KT_TO,IF(L73="x",$D73,L73),KT_NGAY,7)))</f>
        <v>0</v>
      </c>
      <c r="AT73" s="31" t="n">
        <f aca="false">IF(OR($B73="",M73=""),0,IF(AND($E73="Trưởng tổ",M73="x"),SUMIFS(KT_TRUONG,KT_LOAI,"Tổ",KT_TO,$D73,KT_NGAY,8),SUMIFS(KT_PHAN,KT_LOAI,"Tổ",KT_TO,IF(M73="x",$D73,M73),KT_NGAY,8)))</f>
        <v>0</v>
      </c>
      <c r="AU73" s="31" t="n">
        <f aca="false">IF(OR($B73="",N73=""),0,IF(AND($E73="Trưởng tổ",N73="x"),SUMIFS(KT_TRUONG,KT_LOAI,"Tổ",KT_TO,$D73,KT_NGAY,9),SUMIFS(KT_PHAN,KT_LOAI,"Tổ",KT_TO,IF(N73="x",$D73,N73),KT_NGAY,9)))</f>
        <v>0</v>
      </c>
      <c r="AV73" s="31" t="n">
        <f aca="false">IF(OR($B73="",O73=""),0,IF(AND($E73="Trưởng tổ",O73="x"),SUMIFS(KT_TRUONG,KT_LOAI,"Tổ",KT_TO,$D73,KT_NGAY,10),SUMIFS(KT_PHAN,KT_LOAI,"Tổ",KT_TO,IF(O73="x",$D73,O73),KT_NGAY,10)))</f>
        <v>0</v>
      </c>
      <c r="AW73" s="31" t="n">
        <f aca="false">IF(OR($B73="",P73=""),0,IF(AND($E73="Trưởng tổ",P73="x"),SUMIFS(KT_TRUONG,KT_LOAI,"Tổ",KT_TO,$D73,KT_NGAY,11),SUMIFS(KT_PHAN,KT_LOAI,"Tổ",KT_TO,IF(P73="x",$D73,P73),KT_NGAY,11)))</f>
        <v>0</v>
      </c>
      <c r="AX73" s="31" t="n">
        <f aca="false">IF(OR($B73="",Q73=""),0,IF(AND($E73="Trưởng tổ",Q73="x"),SUMIFS(KT_TRUONG,KT_LOAI,"Tổ",KT_TO,$D73,KT_NGAY,12),SUMIFS(KT_PHAN,KT_LOAI,"Tổ",KT_TO,IF(Q73="x",$D73,Q73),KT_NGAY,12)))</f>
        <v>0</v>
      </c>
      <c r="AY73" s="31" t="n">
        <f aca="false">IF(OR($B73="",R73=""),0,IF(AND($E73="Trưởng tổ",R73="x"),SUMIFS(KT_TRUONG,KT_LOAI,"Tổ",KT_TO,$D73,KT_NGAY,13),SUMIFS(KT_PHAN,KT_LOAI,"Tổ",KT_TO,IF(R73="x",$D73,R73),KT_NGAY,13)))</f>
        <v>0</v>
      </c>
      <c r="AZ73" s="31" t="n">
        <f aca="false">IF(OR($B73="",S73=""),0,IF(AND($E73="Trưởng tổ",S73="x"),SUMIFS(KT_TRUONG,KT_LOAI,"Tổ",KT_TO,$D73,KT_NGAY,14),SUMIFS(KT_PHAN,KT_LOAI,"Tổ",KT_TO,IF(S73="x",$D73,S73),KT_NGAY,14)))</f>
        <v>0</v>
      </c>
      <c r="BA73" s="31" t="n">
        <f aca="false">IF(OR($B73="",T73=""),0,IF(AND($E73="Trưởng tổ",T73="x"),SUMIFS(KT_TRUONG,KT_LOAI,"Tổ",KT_TO,$D73,KT_NGAY,15),SUMIFS(KT_PHAN,KT_LOAI,"Tổ",KT_TO,IF(T73="x",$D73,T73),KT_NGAY,15)))</f>
        <v>0</v>
      </c>
      <c r="BB73" s="31" t="n">
        <f aca="false">IF(OR($B73="",U73=""),0,IF(AND($E73="Trưởng tổ",U73="x"),SUMIFS(KT_TRUONG,KT_LOAI,"Tổ",KT_TO,$D73,KT_NGAY,16),SUMIFS(KT_PHAN,KT_LOAI,"Tổ",KT_TO,IF(U73="x",$D73,U73),KT_NGAY,16)))</f>
        <v>0</v>
      </c>
      <c r="BC73" s="31" t="n">
        <f aca="false">IF(OR($B73="",V73=""),0,IF(AND($E73="Trưởng tổ",V73="x"),SUMIFS(KT_TRUONG,KT_LOAI,"Tổ",KT_TO,$D73,KT_NGAY,17),SUMIFS(KT_PHAN,KT_LOAI,"Tổ",KT_TO,IF(V73="x",$D73,V73),KT_NGAY,17)))</f>
        <v>0</v>
      </c>
      <c r="BD73" s="31" t="n">
        <f aca="false">IF(OR($B73="",W73=""),0,IF(AND($E73="Trưởng tổ",W73="x"),SUMIFS(KT_TRUONG,KT_LOAI,"Tổ",KT_TO,$D73,KT_NGAY,18),SUMIFS(KT_PHAN,KT_LOAI,"Tổ",KT_TO,IF(W73="x",$D73,W73),KT_NGAY,18)))</f>
        <v>0</v>
      </c>
      <c r="BE73" s="31" t="n">
        <f aca="false">IF(OR($B73="",X73=""),0,IF(AND($E73="Trưởng tổ",X73="x"),SUMIFS(KT_TRUONG,KT_LOAI,"Tổ",KT_TO,$D73,KT_NGAY,19),SUMIFS(KT_PHAN,KT_LOAI,"Tổ",KT_TO,IF(X73="x",$D73,X73),KT_NGAY,19)))</f>
        <v>0</v>
      </c>
      <c r="BF73" s="31" t="n">
        <f aca="false">IF(OR($B73="",Y73=""),0,IF(AND($E73="Trưởng tổ",Y73="x"),SUMIFS(KT_TRUONG,KT_LOAI,"Tổ",KT_TO,$D73,KT_NGAY,20),SUMIFS(KT_PHAN,KT_LOAI,"Tổ",KT_TO,IF(Y73="x",$D73,Y73),KT_NGAY,20)))</f>
        <v>0</v>
      </c>
      <c r="BG73" s="31" t="n">
        <f aca="false">IF(OR($B73="",Z73=""),0,IF(AND($E73="Trưởng tổ",Z73="x"),SUMIFS(KT_TRUONG,KT_LOAI,"Tổ",KT_TO,$D73,KT_NGAY,21),SUMIFS(KT_PHAN,KT_LOAI,"Tổ",KT_TO,IF(Z73="x",$D73,Z73),KT_NGAY,21)))</f>
        <v>0</v>
      </c>
      <c r="BH73" s="31" t="n">
        <f aca="false">IF(OR($B73="",AA73=""),0,IF(AND($E73="Trưởng tổ",AA73="x"),SUMIFS(KT_TRUONG,KT_LOAI,"Tổ",KT_TO,$D73,KT_NGAY,22),SUMIFS(KT_PHAN,KT_LOAI,"Tổ",KT_TO,IF(AA73="x",$D73,AA73),KT_NGAY,22)))</f>
        <v>0</v>
      </c>
      <c r="BI73" s="31" t="n">
        <f aca="false">IF(OR($B73="",AB73=""),0,IF(AND($E73="Trưởng tổ",AB73="x"),SUMIFS(KT_TRUONG,KT_LOAI,"Tổ",KT_TO,$D73,KT_NGAY,23),SUMIFS(KT_PHAN,KT_LOAI,"Tổ",KT_TO,IF(AB73="x",$D73,AB73),KT_NGAY,23)))</f>
        <v>0</v>
      </c>
      <c r="BJ73" s="31" t="n">
        <f aca="false">IF(OR($B73="",AC73=""),0,IF(AND($E73="Trưởng tổ",AC73="x"),SUMIFS(KT_TRUONG,KT_LOAI,"Tổ",KT_TO,$D73,KT_NGAY,24),SUMIFS(KT_PHAN,KT_LOAI,"Tổ",KT_TO,IF(AC73="x",$D73,AC73),KT_NGAY,24)))</f>
        <v>0</v>
      </c>
      <c r="BK73" s="31" t="n">
        <f aca="false">IF(OR($B73="",AD73=""),0,IF(AND($E73="Trưởng tổ",AD73="x"),SUMIFS(KT_TRUONG,KT_LOAI,"Tổ",KT_TO,$D73,KT_NGAY,25),SUMIFS(KT_PHAN,KT_LOAI,"Tổ",KT_TO,IF(AD73="x",$D73,AD73),KT_NGAY,25)))</f>
        <v>0</v>
      </c>
      <c r="BL73" s="31" t="n">
        <f aca="false">IF(OR($B73="",AE73=""),0,IF(AND($E73="Trưởng tổ",AE73="x"),SUMIFS(KT_TRUONG,KT_LOAI,"Tổ",KT_TO,$D73,KT_NGAY,26),SUMIFS(KT_PHAN,KT_LOAI,"Tổ",KT_TO,IF(AE73="x",$D73,AE73),KT_NGAY,26)))</f>
        <v>0</v>
      </c>
      <c r="BM73" s="31" t="n">
        <f aca="false">IF(OR($B73="",AF73=""),0,IF(AND($E73="Trưởng tổ",AF73="x"),SUMIFS(KT_TRUONG,KT_LOAI,"Tổ",KT_TO,$D73,KT_NGAY,27),SUMIFS(KT_PHAN,KT_LOAI,"Tổ",KT_TO,IF(AF73="x",$D73,AF73),KT_NGAY,27)))</f>
        <v>0</v>
      </c>
      <c r="BN73" s="31" t="n">
        <f aca="false">IF(OR($B73="",AG73=""),0,IF(AND($E73="Trưởng tổ",AG73="x"),SUMIFS(KT_TRUONG,KT_LOAI,"Tổ",KT_TO,$D73,KT_NGAY,28),SUMIFS(KT_PHAN,KT_LOAI,"Tổ",KT_TO,IF(AG73="x",$D73,AG73),KT_NGAY,28)))</f>
        <v>0</v>
      </c>
      <c r="BO73" s="31" t="n">
        <f aca="false">IF(OR($B73="",AH73=""),0,IF(AND($E73="Trưởng tổ",AH73="x"),SUMIFS(KT_TRUONG,KT_LOAI,"Tổ",KT_TO,$D73,KT_NGAY,29),SUMIFS(KT_PHAN,KT_LOAI,"Tổ",KT_TO,IF(AH73="x",$D73,AH73),KT_NGAY,29)))</f>
        <v>0</v>
      </c>
      <c r="BP73" s="31" t="n">
        <f aca="false">IF(OR($B73="",AI73=""),0,IF(AND($E73="Trưởng tổ",AI73="x"),SUMIFS(KT_TRUONG,KT_LOAI,"Tổ",KT_TO,$D73,KT_NGAY,30),SUMIFS(KT_PHAN,KT_LOAI,"Tổ",KT_TO,IF(AI73="x",$D73,AI73),KT_NGAY,30)))</f>
        <v>0</v>
      </c>
      <c r="BQ73" s="31" t="n">
        <f aca="false">IF(OR($B73="",AJ73=""),0,IF(AND($E73="Trưởng tổ",AJ73="x"),SUMIFS(KT_TRUONG,KT_LOAI,"Tổ",KT_TO,$D73,KT_NGAY,31),SUMIFS(KT_PHAN,KT_LOAI,"Tổ",KT_TO,IF(AJ73="x",$D73,AJ73),KT_NGAY,31)))</f>
        <v>0</v>
      </c>
    </row>
    <row r="74" customFormat="false" ht="15" hidden="false" customHeight="false" outlineLevel="0" collapsed="false">
      <c r="A74" s="17" t="str">
        <f aca="false">IF(B74="","",ROW()-5)</f>
        <v/>
      </c>
      <c r="B74" s="29" t="str">
        <f aca="false">IF(OR(BCC!B74="",BCC!D74&lt;&gt;"Thời vụ HAQT"),"",BCC!B74)</f>
        <v/>
      </c>
      <c r="C74" s="17" t="str">
        <f aca="false">IF(B74="","",BCC!C74)</f>
        <v/>
      </c>
      <c r="D74" s="17" t="str">
        <f aca="false">IF(B74="","",IFERROR(INDEX(NV_TO,MATCH(B74,NV_MA,0)),""))</f>
        <v/>
      </c>
      <c r="E74" s="17" t="str">
        <f aca="false">IF(B74="","",IFERROR(INDEX(NV_VT,MATCH(B74,NV_MA,0)),""))</f>
        <v/>
      </c>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17" t="str">
        <f aca="false">IF(B74="","",COUNTA(F74:AJ74))</f>
        <v/>
      </c>
      <c r="AL74" s="30" t="str">
        <f aca="false">IF(B74="","",SUM(AM74:BQ74))</f>
        <v/>
      </c>
      <c r="AM74" s="31" t="n">
        <f aca="false">IF(OR($B74="",F74=""),0,IF(AND($E74="Trưởng tổ",F74="x"),SUMIFS(KT_TRUONG,KT_LOAI,"Tổ",KT_TO,$D74,KT_NGAY,1),SUMIFS(KT_PHAN,KT_LOAI,"Tổ",KT_TO,IF(F74="x",$D74,F74),KT_NGAY,1)))</f>
        <v>0</v>
      </c>
      <c r="AN74" s="31" t="n">
        <f aca="false">IF(OR($B74="",G74=""),0,IF(AND($E74="Trưởng tổ",G74="x"),SUMIFS(KT_TRUONG,KT_LOAI,"Tổ",KT_TO,$D74,KT_NGAY,2),SUMIFS(KT_PHAN,KT_LOAI,"Tổ",KT_TO,IF(G74="x",$D74,G74),KT_NGAY,2)))</f>
        <v>0</v>
      </c>
      <c r="AO74" s="31" t="n">
        <f aca="false">IF(OR($B74="",H74=""),0,IF(AND($E74="Trưởng tổ",H74="x"),SUMIFS(KT_TRUONG,KT_LOAI,"Tổ",KT_TO,$D74,KT_NGAY,3),SUMIFS(KT_PHAN,KT_LOAI,"Tổ",KT_TO,IF(H74="x",$D74,H74),KT_NGAY,3)))</f>
        <v>0</v>
      </c>
      <c r="AP74" s="31" t="n">
        <f aca="false">IF(OR($B74="",I74=""),0,IF(AND($E74="Trưởng tổ",I74="x"),SUMIFS(KT_TRUONG,KT_LOAI,"Tổ",KT_TO,$D74,KT_NGAY,4),SUMIFS(KT_PHAN,KT_LOAI,"Tổ",KT_TO,IF(I74="x",$D74,I74),KT_NGAY,4)))</f>
        <v>0</v>
      </c>
      <c r="AQ74" s="31" t="n">
        <f aca="false">IF(OR($B74="",J74=""),0,IF(AND($E74="Trưởng tổ",J74="x"),SUMIFS(KT_TRUONG,KT_LOAI,"Tổ",KT_TO,$D74,KT_NGAY,5),SUMIFS(KT_PHAN,KT_LOAI,"Tổ",KT_TO,IF(J74="x",$D74,J74),KT_NGAY,5)))</f>
        <v>0</v>
      </c>
      <c r="AR74" s="31" t="n">
        <f aca="false">IF(OR($B74="",K74=""),0,IF(AND($E74="Trưởng tổ",K74="x"),SUMIFS(KT_TRUONG,KT_LOAI,"Tổ",KT_TO,$D74,KT_NGAY,6),SUMIFS(KT_PHAN,KT_LOAI,"Tổ",KT_TO,IF(K74="x",$D74,K74),KT_NGAY,6)))</f>
        <v>0</v>
      </c>
      <c r="AS74" s="31" t="n">
        <f aca="false">IF(OR($B74="",L74=""),0,IF(AND($E74="Trưởng tổ",L74="x"),SUMIFS(KT_TRUONG,KT_LOAI,"Tổ",KT_TO,$D74,KT_NGAY,7),SUMIFS(KT_PHAN,KT_LOAI,"Tổ",KT_TO,IF(L74="x",$D74,L74),KT_NGAY,7)))</f>
        <v>0</v>
      </c>
      <c r="AT74" s="31" t="n">
        <f aca="false">IF(OR($B74="",M74=""),0,IF(AND($E74="Trưởng tổ",M74="x"),SUMIFS(KT_TRUONG,KT_LOAI,"Tổ",KT_TO,$D74,KT_NGAY,8),SUMIFS(KT_PHAN,KT_LOAI,"Tổ",KT_TO,IF(M74="x",$D74,M74),KT_NGAY,8)))</f>
        <v>0</v>
      </c>
      <c r="AU74" s="31" t="n">
        <f aca="false">IF(OR($B74="",N74=""),0,IF(AND($E74="Trưởng tổ",N74="x"),SUMIFS(KT_TRUONG,KT_LOAI,"Tổ",KT_TO,$D74,KT_NGAY,9),SUMIFS(KT_PHAN,KT_LOAI,"Tổ",KT_TO,IF(N74="x",$D74,N74),KT_NGAY,9)))</f>
        <v>0</v>
      </c>
      <c r="AV74" s="31" t="n">
        <f aca="false">IF(OR($B74="",O74=""),0,IF(AND($E74="Trưởng tổ",O74="x"),SUMIFS(KT_TRUONG,KT_LOAI,"Tổ",KT_TO,$D74,KT_NGAY,10),SUMIFS(KT_PHAN,KT_LOAI,"Tổ",KT_TO,IF(O74="x",$D74,O74),KT_NGAY,10)))</f>
        <v>0</v>
      </c>
      <c r="AW74" s="31" t="n">
        <f aca="false">IF(OR($B74="",P74=""),0,IF(AND($E74="Trưởng tổ",P74="x"),SUMIFS(KT_TRUONG,KT_LOAI,"Tổ",KT_TO,$D74,KT_NGAY,11),SUMIFS(KT_PHAN,KT_LOAI,"Tổ",KT_TO,IF(P74="x",$D74,P74),KT_NGAY,11)))</f>
        <v>0</v>
      </c>
      <c r="AX74" s="31" t="n">
        <f aca="false">IF(OR($B74="",Q74=""),0,IF(AND($E74="Trưởng tổ",Q74="x"),SUMIFS(KT_TRUONG,KT_LOAI,"Tổ",KT_TO,$D74,KT_NGAY,12),SUMIFS(KT_PHAN,KT_LOAI,"Tổ",KT_TO,IF(Q74="x",$D74,Q74),KT_NGAY,12)))</f>
        <v>0</v>
      </c>
      <c r="AY74" s="31" t="n">
        <f aca="false">IF(OR($B74="",R74=""),0,IF(AND($E74="Trưởng tổ",R74="x"),SUMIFS(KT_TRUONG,KT_LOAI,"Tổ",KT_TO,$D74,KT_NGAY,13),SUMIFS(KT_PHAN,KT_LOAI,"Tổ",KT_TO,IF(R74="x",$D74,R74),KT_NGAY,13)))</f>
        <v>0</v>
      </c>
      <c r="AZ74" s="31" t="n">
        <f aca="false">IF(OR($B74="",S74=""),0,IF(AND($E74="Trưởng tổ",S74="x"),SUMIFS(KT_TRUONG,KT_LOAI,"Tổ",KT_TO,$D74,KT_NGAY,14),SUMIFS(KT_PHAN,KT_LOAI,"Tổ",KT_TO,IF(S74="x",$D74,S74),KT_NGAY,14)))</f>
        <v>0</v>
      </c>
      <c r="BA74" s="31" t="n">
        <f aca="false">IF(OR($B74="",T74=""),0,IF(AND($E74="Trưởng tổ",T74="x"),SUMIFS(KT_TRUONG,KT_LOAI,"Tổ",KT_TO,$D74,KT_NGAY,15),SUMIFS(KT_PHAN,KT_LOAI,"Tổ",KT_TO,IF(T74="x",$D74,T74),KT_NGAY,15)))</f>
        <v>0</v>
      </c>
      <c r="BB74" s="31" t="n">
        <f aca="false">IF(OR($B74="",U74=""),0,IF(AND($E74="Trưởng tổ",U74="x"),SUMIFS(KT_TRUONG,KT_LOAI,"Tổ",KT_TO,$D74,KT_NGAY,16),SUMIFS(KT_PHAN,KT_LOAI,"Tổ",KT_TO,IF(U74="x",$D74,U74),KT_NGAY,16)))</f>
        <v>0</v>
      </c>
      <c r="BC74" s="31" t="n">
        <f aca="false">IF(OR($B74="",V74=""),0,IF(AND($E74="Trưởng tổ",V74="x"),SUMIFS(KT_TRUONG,KT_LOAI,"Tổ",KT_TO,$D74,KT_NGAY,17),SUMIFS(KT_PHAN,KT_LOAI,"Tổ",KT_TO,IF(V74="x",$D74,V74),KT_NGAY,17)))</f>
        <v>0</v>
      </c>
      <c r="BD74" s="31" t="n">
        <f aca="false">IF(OR($B74="",W74=""),0,IF(AND($E74="Trưởng tổ",W74="x"),SUMIFS(KT_TRUONG,KT_LOAI,"Tổ",KT_TO,$D74,KT_NGAY,18),SUMIFS(KT_PHAN,KT_LOAI,"Tổ",KT_TO,IF(W74="x",$D74,W74),KT_NGAY,18)))</f>
        <v>0</v>
      </c>
      <c r="BE74" s="31" t="n">
        <f aca="false">IF(OR($B74="",X74=""),0,IF(AND($E74="Trưởng tổ",X74="x"),SUMIFS(KT_TRUONG,KT_LOAI,"Tổ",KT_TO,$D74,KT_NGAY,19),SUMIFS(KT_PHAN,KT_LOAI,"Tổ",KT_TO,IF(X74="x",$D74,X74),KT_NGAY,19)))</f>
        <v>0</v>
      </c>
      <c r="BF74" s="31" t="n">
        <f aca="false">IF(OR($B74="",Y74=""),0,IF(AND($E74="Trưởng tổ",Y74="x"),SUMIFS(KT_TRUONG,KT_LOAI,"Tổ",KT_TO,$D74,KT_NGAY,20),SUMIFS(KT_PHAN,KT_LOAI,"Tổ",KT_TO,IF(Y74="x",$D74,Y74),KT_NGAY,20)))</f>
        <v>0</v>
      </c>
      <c r="BG74" s="31" t="n">
        <f aca="false">IF(OR($B74="",Z74=""),0,IF(AND($E74="Trưởng tổ",Z74="x"),SUMIFS(KT_TRUONG,KT_LOAI,"Tổ",KT_TO,$D74,KT_NGAY,21),SUMIFS(KT_PHAN,KT_LOAI,"Tổ",KT_TO,IF(Z74="x",$D74,Z74),KT_NGAY,21)))</f>
        <v>0</v>
      </c>
      <c r="BH74" s="31" t="n">
        <f aca="false">IF(OR($B74="",AA74=""),0,IF(AND($E74="Trưởng tổ",AA74="x"),SUMIFS(KT_TRUONG,KT_LOAI,"Tổ",KT_TO,$D74,KT_NGAY,22),SUMIFS(KT_PHAN,KT_LOAI,"Tổ",KT_TO,IF(AA74="x",$D74,AA74),KT_NGAY,22)))</f>
        <v>0</v>
      </c>
      <c r="BI74" s="31" t="n">
        <f aca="false">IF(OR($B74="",AB74=""),0,IF(AND($E74="Trưởng tổ",AB74="x"),SUMIFS(KT_TRUONG,KT_LOAI,"Tổ",KT_TO,$D74,KT_NGAY,23),SUMIFS(KT_PHAN,KT_LOAI,"Tổ",KT_TO,IF(AB74="x",$D74,AB74),KT_NGAY,23)))</f>
        <v>0</v>
      </c>
      <c r="BJ74" s="31" t="n">
        <f aca="false">IF(OR($B74="",AC74=""),0,IF(AND($E74="Trưởng tổ",AC74="x"),SUMIFS(KT_TRUONG,KT_LOAI,"Tổ",KT_TO,$D74,KT_NGAY,24),SUMIFS(KT_PHAN,KT_LOAI,"Tổ",KT_TO,IF(AC74="x",$D74,AC74),KT_NGAY,24)))</f>
        <v>0</v>
      </c>
      <c r="BK74" s="31" t="n">
        <f aca="false">IF(OR($B74="",AD74=""),0,IF(AND($E74="Trưởng tổ",AD74="x"),SUMIFS(KT_TRUONG,KT_LOAI,"Tổ",KT_TO,$D74,KT_NGAY,25),SUMIFS(KT_PHAN,KT_LOAI,"Tổ",KT_TO,IF(AD74="x",$D74,AD74),KT_NGAY,25)))</f>
        <v>0</v>
      </c>
      <c r="BL74" s="31" t="n">
        <f aca="false">IF(OR($B74="",AE74=""),0,IF(AND($E74="Trưởng tổ",AE74="x"),SUMIFS(KT_TRUONG,KT_LOAI,"Tổ",KT_TO,$D74,KT_NGAY,26),SUMIFS(KT_PHAN,KT_LOAI,"Tổ",KT_TO,IF(AE74="x",$D74,AE74),KT_NGAY,26)))</f>
        <v>0</v>
      </c>
      <c r="BM74" s="31" t="n">
        <f aca="false">IF(OR($B74="",AF74=""),0,IF(AND($E74="Trưởng tổ",AF74="x"),SUMIFS(KT_TRUONG,KT_LOAI,"Tổ",KT_TO,$D74,KT_NGAY,27),SUMIFS(KT_PHAN,KT_LOAI,"Tổ",KT_TO,IF(AF74="x",$D74,AF74),KT_NGAY,27)))</f>
        <v>0</v>
      </c>
      <c r="BN74" s="31" t="n">
        <f aca="false">IF(OR($B74="",AG74=""),0,IF(AND($E74="Trưởng tổ",AG74="x"),SUMIFS(KT_TRUONG,KT_LOAI,"Tổ",KT_TO,$D74,KT_NGAY,28),SUMIFS(KT_PHAN,KT_LOAI,"Tổ",KT_TO,IF(AG74="x",$D74,AG74),KT_NGAY,28)))</f>
        <v>0</v>
      </c>
      <c r="BO74" s="31" t="n">
        <f aca="false">IF(OR($B74="",AH74=""),0,IF(AND($E74="Trưởng tổ",AH74="x"),SUMIFS(KT_TRUONG,KT_LOAI,"Tổ",KT_TO,$D74,KT_NGAY,29),SUMIFS(KT_PHAN,KT_LOAI,"Tổ",KT_TO,IF(AH74="x",$D74,AH74),KT_NGAY,29)))</f>
        <v>0</v>
      </c>
      <c r="BP74" s="31" t="n">
        <f aca="false">IF(OR($B74="",AI74=""),0,IF(AND($E74="Trưởng tổ",AI74="x"),SUMIFS(KT_TRUONG,KT_LOAI,"Tổ",KT_TO,$D74,KT_NGAY,30),SUMIFS(KT_PHAN,KT_LOAI,"Tổ",KT_TO,IF(AI74="x",$D74,AI74),KT_NGAY,30)))</f>
        <v>0</v>
      </c>
      <c r="BQ74" s="31" t="n">
        <f aca="false">IF(OR($B74="",AJ74=""),0,IF(AND($E74="Trưởng tổ",AJ74="x"),SUMIFS(KT_TRUONG,KT_LOAI,"Tổ",KT_TO,$D74,KT_NGAY,31),SUMIFS(KT_PHAN,KT_LOAI,"Tổ",KT_TO,IF(AJ74="x",$D74,AJ74),KT_NGAY,31)))</f>
        <v>0</v>
      </c>
    </row>
    <row r="75" customFormat="false" ht="15" hidden="false" customHeight="false" outlineLevel="0" collapsed="false">
      <c r="A75" s="17" t="str">
        <f aca="false">IF(B75="","",ROW()-5)</f>
        <v/>
      </c>
      <c r="B75" s="29" t="str">
        <f aca="false">IF(OR(BCC!B75="",BCC!D75&lt;&gt;"Thời vụ HAQT"),"",BCC!B75)</f>
        <v/>
      </c>
      <c r="C75" s="17" t="str">
        <f aca="false">IF(B75="","",BCC!C75)</f>
        <v/>
      </c>
      <c r="D75" s="17" t="str">
        <f aca="false">IF(B75="","",IFERROR(INDEX(NV_TO,MATCH(B75,NV_MA,0)),""))</f>
        <v/>
      </c>
      <c r="E75" s="17" t="str">
        <f aca="false">IF(B75="","",IFERROR(INDEX(NV_VT,MATCH(B75,NV_MA,0)),""))</f>
        <v/>
      </c>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17" t="str">
        <f aca="false">IF(B75="","",COUNTA(F75:AJ75))</f>
        <v/>
      </c>
      <c r="AL75" s="30" t="str">
        <f aca="false">IF(B75="","",SUM(AM75:BQ75))</f>
        <v/>
      </c>
      <c r="AM75" s="31" t="n">
        <f aca="false">IF(OR($B75="",F75=""),0,IF(AND($E75="Trưởng tổ",F75="x"),SUMIFS(KT_TRUONG,KT_LOAI,"Tổ",KT_TO,$D75,KT_NGAY,1),SUMIFS(KT_PHAN,KT_LOAI,"Tổ",KT_TO,IF(F75="x",$D75,F75),KT_NGAY,1)))</f>
        <v>0</v>
      </c>
      <c r="AN75" s="31" t="n">
        <f aca="false">IF(OR($B75="",G75=""),0,IF(AND($E75="Trưởng tổ",G75="x"),SUMIFS(KT_TRUONG,KT_LOAI,"Tổ",KT_TO,$D75,KT_NGAY,2),SUMIFS(KT_PHAN,KT_LOAI,"Tổ",KT_TO,IF(G75="x",$D75,G75),KT_NGAY,2)))</f>
        <v>0</v>
      </c>
      <c r="AO75" s="31" t="n">
        <f aca="false">IF(OR($B75="",H75=""),0,IF(AND($E75="Trưởng tổ",H75="x"),SUMIFS(KT_TRUONG,KT_LOAI,"Tổ",KT_TO,$D75,KT_NGAY,3),SUMIFS(KT_PHAN,KT_LOAI,"Tổ",KT_TO,IF(H75="x",$D75,H75),KT_NGAY,3)))</f>
        <v>0</v>
      </c>
      <c r="AP75" s="31" t="n">
        <f aca="false">IF(OR($B75="",I75=""),0,IF(AND($E75="Trưởng tổ",I75="x"),SUMIFS(KT_TRUONG,KT_LOAI,"Tổ",KT_TO,$D75,KT_NGAY,4),SUMIFS(KT_PHAN,KT_LOAI,"Tổ",KT_TO,IF(I75="x",$D75,I75),KT_NGAY,4)))</f>
        <v>0</v>
      </c>
      <c r="AQ75" s="31" t="n">
        <f aca="false">IF(OR($B75="",J75=""),0,IF(AND($E75="Trưởng tổ",J75="x"),SUMIFS(KT_TRUONG,KT_LOAI,"Tổ",KT_TO,$D75,KT_NGAY,5),SUMIFS(KT_PHAN,KT_LOAI,"Tổ",KT_TO,IF(J75="x",$D75,J75),KT_NGAY,5)))</f>
        <v>0</v>
      </c>
      <c r="AR75" s="31" t="n">
        <f aca="false">IF(OR($B75="",K75=""),0,IF(AND($E75="Trưởng tổ",K75="x"),SUMIFS(KT_TRUONG,KT_LOAI,"Tổ",KT_TO,$D75,KT_NGAY,6),SUMIFS(KT_PHAN,KT_LOAI,"Tổ",KT_TO,IF(K75="x",$D75,K75),KT_NGAY,6)))</f>
        <v>0</v>
      </c>
      <c r="AS75" s="31" t="n">
        <f aca="false">IF(OR($B75="",L75=""),0,IF(AND($E75="Trưởng tổ",L75="x"),SUMIFS(KT_TRUONG,KT_LOAI,"Tổ",KT_TO,$D75,KT_NGAY,7),SUMIFS(KT_PHAN,KT_LOAI,"Tổ",KT_TO,IF(L75="x",$D75,L75),KT_NGAY,7)))</f>
        <v>0</v>
      </c>
      <c r="AT75" s="31" t="n">
        <f aca="false">IF(OR($B75="",M75=""),0,IF(AND($E75="Trưởng tổ",M75="x"),SUMIFS(KT_TRUONG,KT_LOAI,"Tổ",KT_TO,$D75,KT_NGAY,8),SUMIFS(KT_PHAN,KT_LOAI,"Tổ",KT_TO,IF(M75="x",$D75,M75),KT_NGAY,8)))</f>
        <v>0</v>
      </c>
      <c r="AU75" s="31" t="n">
        <f aca="false">IF(OR($B75="",N75=""),0,IF(AND($E75="Trưởng tổ",N75="x"),SUMIFS(KT_TRUONG,KT_LOAI,"Tổ",KT_TO,$D75,KT_NGAY,9),SUMIFS(KT_PHAN,KT_LOAI,"Tổ",KT_TO,IF(N75="x",$D75,N75),KT_NGAY,9)))</f>
        <v>0</v>
      </c>
      <c r="AV75" s="31" t="n">
        <f aca="false">IF(OR($B75="",O75=""),0,IF(AND($E75="Trưởng tổ",O75="x"),SUMIFS(KT_TRUONG,KT_LOAI,"Tổ",KT_TO,$D75,KT_NGAY,10),SUMIFS(KT_PHAN,KT_LOAI,"Tổ",KT_TO,IF(O75="x",$D75,O75),KT_NGAY,10)))</f>
        <v>0</v>
      </c>
      <c r="AW75" s="31" t="n">
        <f aca="false">IF(OR($B75="",P75=""),0,IF(AND($E75="Trưởng tổ",P75="x"),SUMIFS(KT_TRUONG,KT_LOAI,"Tổ",KT_TO,$D75,KT_NGAY,11),SUMIFS(KT_PHAN,KT_LOAI,"Tổ",KT_TO,IF(P75="x",$D75,P75),KT_NGAY,11)))</f>
        <v>0</v>
      </c>
      <c r="AX75" s="31" t="n">
        <f aca="false">IF(OR($B75="",Q75=""),0,IF(AND($E75="Trưởng tổ",Q75="x"),SUMIFS(KT_TRUONG,KT_LOAI,"Tổ",KT_TO,$D75,KT_NGAY,12),SUMIFS(KT_PHAN,KT_LOAI,"Tổ",KT_TO,IF(Q75="x",$D75,Q75),KT_NGAY,12)))</f>
        <v>0</v>
      </c>
      <c r="AY75" s="31" t="n">
        <f aca="false">IF(OR($B75="",R75=""),0,IF(AND($E75="Trưởng tổ",R75="x"),SUMIFS(KT_TRUONG,KT_LOAI,"Tổ",KT_TO,$D75,KT_NGAY,13),SUMIFS(KT_PHAN,KT_LOAI,"Tổ",KT_TO,IF(R75="x",$D75,R75),KT_NGAY,13)))</f>
        <v>0</v>
      </c>
      <c r="AZ75" s="31" t="n">
        <f aca="false">IF(OR($B75="",S75=""),0,IF(AND($E75="Trưởng tổ",S75="x"),SUMIFS(KT_TRUONG,KT_LOAI,"Tổ",KT_TO,$D75,KT_NGAY,14),SUMIFS(KT_PHAN,KT_LOAI,"Tổ",KT_TO,IF(S75="x",$D75,S75),KT_NGAY,14)))</f>
        <v>0</v>
      </c>
      <c r="BA75" s="31" t="n">
        <f aca="false">IF(OR($B75="",T75=""),0,IF(AND($E75="Trưởng tổ",T75="x"),SUMIFS(KT_TRUONG,KT_LOAI,"Tổ",KT_TO,$D75,KT_NGAY,15),SUMIFS(KT_PHAN,KT_LOAI,"Tổ",KT_TO,IF(T75="x",$D75,T75),KT_NGAY,15)))</f>
        <v>0</v>
      </c>
      <c r="BB75" s="31" t="n">
        <f aca="false">IF(OR($B75="",U75=""),0,IF(AND($E75="Trưởng tổ",U75="x"),SUMIFS(KT_TRUONG,KT_LOAI,"Tổ",KT_TO,$D75,KT_NGAY,16),SUMIFS(KT_PHAN,KT_LOAI,"Tổ",KT_TO,IF(U75="x",$D75,U75),KT_NGAY,16)))</f>
        <v>0</v>
      </c>
      <c r="BC75" s="31" t="n">
        <f aca="false">IF(OR($B75="",V75=""),0,IF(AND($E75="Trưởng tổ",V75="x"),SUMIFS(KT_TRUONG,KT_LOAI,"Tổ",KT_TO,$D75,KT_NGAY,17),SUMIFS(KT_PHAN,KT_LOAI,"Tổ",KT_TO,IF(V75="x",$D75,V75),KT_NGAY,17)))</f>
        <v>0</v>
      </c>
      <c r="BD75" s="31" t="n">
        <f aca="false">IF(OR($B75="",W75=""),0,IF(AND($E75="Trưởng tổ",W75="x"),SUMIFS(KT_TRUONG,KT_LOAI,"Tổ",KT_TO,$D75,KT_NGAY,18),SUMIFS(KT_PHAN,KT_LOAI,"Tổ",KT_TO,IF(W75="x",$D75,W75),KT_NGAY,18)))</f>
        <v>0</v>
      </c>
      <c r="BE75" s="31" t="n">
        <f aca="false">IF(OR($B75="",X75=""),0,IF(AND($E75="Trưởng tổ",X75="x"),SUMIFS(KT_TRUONG,KT_LOAI,"Tổ",KT_TO,$D75,KT_NGAY,19),SUMIFS(KT_PHAN,KT_LOAI,"Tổ",KT_TO,IF(X75="x",$D75,X75),KT_NGAY,19)))</f>
        <v>0</v>
      </c>
      <c r="BF75" s="31" t="n">
        <f aca="false">IF(OR($B75="",Y75=""),0,IF(AND($E75="Trưởng tổ",Y75="x"),SUMIFS(KT_TRUONG,KT_LOAI,"Tổ",KT_TO,$D75,KT_NGAY,20),SUMIFS(KT_PHAN,KT_LOAI,"Tổ",KT_TO,IF(Y75="x",$D75,Y75),KT_NGAY,20)))</f>
        <v>0</v>
      </c>
      <c r="BG75" s="31" t="n">
        <f aca="false">IF(OR($B75="",Z75=""),0,IF(AND($E75="Trưởng tổ",Z75="x"),SUMIFS(KT_TRUONG,KT_LOAI,"Tổ",KT_TO,$D75,KT_NGAY,21),SUMIFS(KT_PHAN,KT_LOAI,"Tổ",KT_TO,IF(Z75="x",$D75,Z75),KT_NGAY,21)))</f>
        <v>0</v>
      </c>
      <c r="BH75" s="31" t="n">
        <f aca="false">IF(OR($B75="",AA75=""),0,IF(AND($E75="Trưởng tổ",AA75="x"),SUMIFS(KT_TRUONG,KT_LOAI,"Tổ",KT_TO,$D75,KT_NGAY,22),SUMIFS(KT_PHAN,KT_LOAI,"Tổ",KT_TO,IF(AA75="x",$D75,AA75),KT_NGAY,22)))</f>
        <v>0</v>
      </c>
      <c r="BI75" s="31" t="n">
        <f aca="false">IF(OR($B75="",AB75=""),0,IF(AND($E75="Trưởng tổ",AB75="x"),SUMIFS(KT_TRUONG,KT_LOAI,"Tổ",KT_TO,$D75,KT_NGAY,23),SUMIFS(KT_PHAN,KT_LOAI,"Tổ",KT_TO,IF(AB75="x",$D75,AB75),KT_NGAY,23)))</f>
        <v>0</v>
      </c>
      <c r="BJ75" s="31" t="n">
        <f aca="false">IF(OR($B75="",AC75=""),0,IF(AND($E75="Trưởng tổ",AC75="x"),SUMIFS(KT_TRUONG,KT_LOAI,"Tổ",KT_TO,$D75,KT_NGAY,24),SUMIFS(KT_PHAN,KT_LOAI,"Tổ",KT_TO,IF(AC75="x",$D75,AC75),KT_NGAY,24)))</f>
        <v>0</v>
      </c>
      <c r="BK75" s="31" t="n">
        <f aca="false">IF(OR($B75="",AD75=""),0,IF(AND($E75="Trưởng tổ",AD75="x"),SUMIFS(KT_TRUONG,KT_LOAI,"Tổ",KT_TO,$D75,KT_NGAY,25),SUMIFS(KT_PHAN,KT_LOAI,"Tổ",KT_TO,IF(AD75="x",$D75,AD75),KT_NGAY,25)))</f>
        <v>0</v>
      </c>
      <c r="BL75" s="31" t="n">
        <f aca="false">IF(OR($B75="",AE75=""),0,IF(AND($E75="Trưởng tổ",AE75="x"),SUMIFS(KT_TRUONG,KT_LOAI,"Tổ",KT_TO,$D75,KT_NGAY,26),SUMIFS(KT_PHAN,KT_LOAI,"Tổ",KT_TO,IF(AE75="x",$D75,AE75),KT_NGAY,26)))</f>
        <v>0</v>
      </c>
      <c r="BM75" s="31" t="n">
        <f aca="false">IF(OR($B75="",AF75=""),0,IF(AND($E75="Trưởng tổ",AF75="x"),SUMIFS(KT_TRUONG,KT_LOAI,"Tổ",KT_TO,$D75,KT_NGAY,27),SUMIFS(KT_PHAN,KT_LOAI,"Tổ",KT_TO,IF(AF75="x",$D75,AF75),KT_NGAY,27)))</f>
        <v>0</v>
      </c>
      <c r="BN75" s="31" t="n">
        <f aca="false">IF(OR($B75="",AG75=""),0,IF(AND($E75="Trưởng tổ",AG75="x"),SUMIFS(KT_TRUONG,KT_LOAI,"Tổ",KT_TO,$D75,KT_NGAY,28),SUMIFS(KT_PHAN,KT_LOAI,"Tổ",KT_TO,IF(AG75="x",$D75,AG75),KT_NGAY,28)))</f>
        <v>0</v>
      </c>
      <c r="BO75" s="31" t="n">
        <f aca="false">IF(OR($B75="",AH75=""),0,IF(AND($E75="Trưởng tổ",AH75="x"),SUMIFS(KT_TRUONG,KT_LOAI,"Tổ",KT_TO,$D75,KT_NGAY,29),SUMIFS(KT_PHAN,KT_LOAI,"Tổ",KT_TO,IF(AH75="x",$D75,AH75),KT_NGAY,29)))</f>
        <v>0</v>
      </c>
      <c r="BP75" s="31" t="n">
        <f aca="false">IF(OR($B75="",AI75=""),0,IF(AND($E75="Trưởng tổ",AI75="x"),SUMIFS(KT_TRUONG,KT_LOAI,"Tổ",KT_TO,$D75,KT_NGAY,30),SUMIFS(KT_PHAN,KT_LOAI,"Tổ",KT_TO,IF(AI75="x",$D75,AI75),KT_NGAY,30)))</f>
        <v>0</v>
      </c>
      <c r="BQ75" s="31" t="n">
        <f aca="false">IF(OR($B75="",AJ75=""),0,IF(AND($E75="Trưởng tổ",AJ75="x"),SUMIFS(KT_TRUONG,KT_LOAI,"Tổ",KT_TO,$D75,KT_NGAY,31),SUMIFS(KT_PHAN,KT_LOAI,"Tổ",KT_TO,IF(AJ75="x",$D75,AJ75),KT_NGAY,31)))</f>
        <v>0</v>
      </c>
    </row>
    <row r="76" customFormat="false" ht="15" hidden="false" customHeight="false" outlineLevel="0" collapsed="false">
      <c r="A76" s="17" t="str">
        <f aca="false">IF(B76="","",ROW()-5)</f>
        <v/>
      </c>
      <c r="B76" s="29" t="str">
        <f aca="false">IF(OR(BCC!B76="",BCC!D76&lt;&gt;"Thời vụ HAQT"),"",BCC!B76)</f>
        <v/>
      </c>
      <c r="C76" s="17" t="str">
        <f aca="false">IF(B76="","",BCC!C76)</f>
        <v/>
      </c>
      <c r="D76" s="17" t="str">
        <f aca="false">IF(B76="","",IFERROR(INDEX(NV_TO,MATCH(B76,NV_MA,0)),""))</f>
        <v/>
      </c>
      <c r="E76" s="17" t="str">
        <f aca="false">IF(B76="","",IFERROR(INDEX(NV_VT,MATCH(B76,NV_MA,0)),""))</f>
        <v/>
      </c>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17" t="str">
        <f aca="false">IF(B76="","",COUNTA(F76:AJ76))</f>
        <v/>
      </c>
      <c r="AL76" s="30" t="str">
        <f aca="false">IF(B76="","",SUM(AM76:BQ76))</f>
        <v/>
      </c>
      <c r="AM76" s="31" t="n">
        <f aca="false">IF(OR($B76="",F76=""),0,IF(AND($E76="Trưởng tổ",F76="x"),SUMIFS(KT_TRUONG,KT_LOAI,"Tổ",KT_TO,$D76,KT_NGAY,1),SUMIFS(KT_PHAN,KT_LOAI,"Tổ",KT_TO,IF(F76="x",$D76,F76),KT_NGAY,1)))</f>
        <v>0</v>
      </c>
      <c r="AN76" s="31" t="n">
        <f aca="false">IF(OR($B76="",G76=""),0,IF(AND($E76="Trưởng tổ",G76="x"),SUMIFS(KT_TRUONG,KT_LOAI,"Tổ",KT_TO,$D76,KT_NGAY,2),SUMIFS(KT_PHAN,KT_LOAI,"Tổ",KT_TO,IF(G76="x",$D76,G76),KT_NGAY,2)))</f>
        <v>0</v>
      </c>
      <c r="AO76" s="31" t="n">
        <f aca="false">IF(OR($B76="",H76=""),0,IF(AND($E76="Trưởng tổ",H76="x"),SUMIFS(KT_TRUONG,KT_LOAI,"Tổ",KT_TO,$D76,KT_NGAY,3),SUMIFS(KT_PHAN,KT_LOAI,"Tổ",KT_TO,IF(H76="x",$D76,H76),KT_NGAY,3)))</f>
        <v>0</v>
      </c>
      <c r="AP76" s="31" t="n">
        <f aca="false">IF(OR($B76="",I76=""),0,IF(AND($E76="Trưởng tổ",I76="x"),SUMIFS(KT_TRUONG,KT_LOAI,"Tổ",KT_TO,$D76,KT_NGAY,4),SUMIFS(KT_PHAN,KT_LOAI,"Tổ",KT_TO,IF(I76="x",$D76,I76),KT_NGAY,4)))</f>
        <v>0</v>
      </c>
      <c r="AQ76" s="31" t="n">
        <f aca="false">IF(OR($B76="",J76=""),0,IF(AND($E76="Trưởng tổ",J76="x"),SUMIFS(KT_TRUONG,KT_LOAI,"Tổ",KT_TO,$D76,KT_NGAY,5),SUMIFS(KT_PHAN,KT_LOAI,"Tổ",KT_TO,IF(J76="x",$D76,J76),KT_NGAY,5)))</f>
        <v>0</v>
      </c>
      <c r="AR76" s="31" t="n">
        <f aca="false">IF(OR($B76="",K76=""),0,IF(AND($E76="Trưởng tổ",K76="x"),SUMIFS(KT_TRUONG,KT_LOAI,"Tổ",KT_TO,$D76,KT_NGAY,6),SUMIFS(KT_PHAN,KT_LOAI,"Tổ",KT_TO,IF(K76="x",$D76,K76),KT_NGAY,6)))</f>
        <v>0</v>
      </c>
      <c r="AS76" s="31" t="n">
        <f aca="false">IF(OR($B76="",L76=""),0,IF(AND($E76="Trưởng tổ",L76="x"),SUMIFS(KT_TRUONG,KT_LOAI,"Tổ",KT_TO,$D76,KT_NGAY,7),SUMIFS(KT_PHAN,KT_LOAI,"Tổ",KT_TO,IF(L76="x",$D76,L76),KT_NGAY,7)))</f>
        <v>0</v>
      </c>
      <c r="AT76" s="31" t="n">
        <f aca="false">IF(OR($B76="",M76=""),0,IF(AND($E76="Trưởng tổ",M76="x"),SUMIFS(KT_TRUONG,KT_LOAI,"Tổ",KT_TO,$D76,KT_NGAY,8),SUMIFS(KT_PHAN,KT_LOAI,"Tổ",KT_TO,IF(M76="x",$D76,M76),KT_NGAY,8)))</f>
        <v>0</v>
      </c>
      <c r="AU76" s="31" t="n">
        <f aca="false">IF(OR($B76="",N76=""),0,IF(AND($E76="Trưởng tổ",N76="x"),SUMIFS(KT_TRUONG,KT_LOAI,"Tổ",KT_TO,$D76,KT_NGAY,9),SUMIFS(KT_PHAN,KT_LOAI,"Tổ",KT_TO,IF(N76="x",$D76,N76),KT_NGAY,9)))</f>
        <v>0</v>
      </c>
      <c r="AV76" s="31" t="n">
        <f aca="false">IF(OR($B76="",O76=""),0,IF(AND($E76="Trưởng tổ",O76="x"),SUMIFS(KT_TRUONG,KT_LOAI,"Tổ",KT_TO,$D76,KT_NGAY,10),SUMIFS(KT_PHAN,KT_LOAI,"Tổ",KT_TO,IF(O76="x",$D76,O76),KT_NGAY,10)))</f>
        <v>0</v>
      </c>
      <c r="AW76" s="31" t="n">
        <f aca="false">IF(OR($B76="",P76=""),0,IF(AND($E76="Trưởng tổ",P76="x"),SUMIFS(KT_TRUONG,KT_LOAI,"Tổ",KT_TO,$D76,KT_NGAY,11),SUMIFS(KT_PHAN,KT_LOAI,"Tổ",KT_TO,IF(P76="x",$D76,P76),KT_NGAY,11)))</f>
        <v>0</v>
      </c>
      <c r="AX76" s="31" t="n">
        <f aca="false">IF(OR($B76="",Q76=""),0,IF(AND($E76="Trưởng tổ",Q76="x"),SUMIFS(KT_TRUONG,KT_LOAI,"Tổ",KT_TO,$D76,KT_NGAY,12),SUMIFS(KT_PHAN,KT_LOAI,"Tổ",KT_TO,IF(Q76="x",$D76,Q76),KT_NGAY,12)))</f>
        <v>0</v>
      </c>
      <c r="AY76" s="31" t="n">
        <f aca="false">IF(OR($B76="",R76=""),0,IF(AND($E76="Trưởng tổ",R76="x"),SUMIFS(KT_TRUONG,KT_LOAI,"Tổ",KT_TO,$D76,KT_NGAY,13),SUMIFS(KT_PHAN,KT_LOAI,"Tổ",KT_TO,IF(R76="x",$D76,R76),KT_NGAY,13)))</f>
        <v>0</v>
      </c>
      <c r="AZ76" s="31" t="n">
        <f aca="false">IF(OR($B76="",S76=""),0,IF(AND($E76="Trưởng tổ",S76="x"),SUMIFS(KT_TRUONG,KT_LOAI,"Tổ",KT_TO,$D76,KT_NGAY,14),SUMIFS(KT_PHAN,KT_LOAI,"Tổ",KT_TO,IF(S76="x",$D76,S76),KT_NGAY,14)))</f>
        <v>0</v>
      </c>
      <c r="BA76" s="31" t="n">
        <f aca="false">IF(OR($B76="",T76=""),0,IF(AND($E76="Trưởng tổ",T76="x"),SUMIFS(KT_TRUONG,KT_LOAI,"Tổ",KT_TO,$D76,KT_NGAY,15),SUMIFS(KT_PHAN,KT_LOAI,"Tổ",KT_TO,IF(T76="x",$D76,T76),KT_NGAY,15)))</f>
        <v>0</v>
      </c>
      <c r="BB76" s="31" t="n">
        <f aca="false">IF(OR($B76="",U76=""),0,IF(AND($E76="Trưởng tổ",U76="x"),SUMIFS(KT_TRUONG,KT_LOAI,"Tổ",KT_TO,$D76,KT_NGAY,16),SUMIFS(KT_PHAN,KT_LOAI,"Tổ",KT_TO,IF(U76="x",$D76,U76),KT_NGAY,16)))</f>
        <v>0</v>
      </c>
      <c r="BC76" s="31" t="n">
        <f aca="false">IF(OR($B76="",V76=""),0,IF(AND($E76="Trưởng tổ",V76="x"),SUMIFS(KT_TRUONG,KT_LOAI,"Tổ",KT_TO,$D76,KT_NGAY,17),SUMIFS(KT_PHAN,KT_LOAI,"Tổ",KT_TO,IF(V76="x",$D76,V76),KT_NGAY,17)))</f>
        <v>0</v>
      </c>
      <c r="BD76" s="31" t="n">
        <f aca="false">IF(OR($B76="",W76=""),0,IF(AND($E76="Trưởng tổ",W76="x"),SUMIFS(KT_TRUONG,KT_LOAI,"Tổ",KT_TO,$D76,KT_NGAY,18),SUMIFS(KT_PHAN,KT_LOAI,"Tổ",KT_TO,IF(W76="x",$D76,W76),KT_NGAY,18)))</f>
        <v>0</v>
      </c>
      <c r="BE76" s="31" t="n">
        <f aca="false">IF(OR($B76="",X76=""),0,IF(AND($E76="Trưởng tổ",X76="x"),SUMIFS(KT_TRUONG,KT_LOAI,"Tổ",KT_TO,$D76,KT_NGAY,19),SUMIFS(KT_PHAN,KT_LOAI,"Tổ",KT_TO,IF(X76="x",$D76,X76),KT_NGAY,19)))</f>
        <v>0</v>
      </c>
      <c r="BF76" s="31" t="n">
        <f aca="false">IF(OR($B76="",Y76=""),0,IF(AND($E76="Trưởng tổ",Y76="x"),SUMIFS(KT_TRUONG,KT_LOAI,"Tổ",KT_TO,$D76,KT_NGAY,20),SUMIFS(KT_PHAN,KT_LOAI,"Tổ",KT_TO,IF(Y76="x",$D76,Y76),KT_NGAY,20)))</f>
        <v>0</v>
      </c>
      <c r="BG76" s="31" t="n">
        <f aca="false">IF(OR($B76="",Z76=""),0,IF(AND($E76="Trưởng tổ",Z76="x"),SUMIFS(KT_TRUONG,KT_LOAI,"Tổ",KT_TO,$D76,KT_NGAY,21),SUMIFS(KT_PHAN,KT_LOAI,"Tổ",KT_TO,IF(Z76="x",$D76,Z76),KT_NGAY,21)))</f>
        <v>0</v>
      </c>
      <c r="BH76" s="31" t="n">
        <f aca="false">IF(OR($B76="",AA76=""),0,IF(AND($E76="Trưởng tổ",AA76="x"),SUMIFS(KT_TRUONG,KT_LOAI,"Tổ",KT_TO,$D76,KT_NGAY,22),SUMIFS(KT_PHAN,KT_LOAI,"Tổ",KT_TO,IF(AA76="x",$D76,AA76),KT_NGAY,22)))</f>
        <v>0</v>
      </c>
      <c r="BI76" s="31" t="n">
        <f aca="false">IF(OR($B76="",AB76=""),0,IF(AND($E76="Trưởng tổ",AB76="x"),SUMIFS(KT_TRUONG,KT_LOAI,"Tổ",KT_TO,$D76,KT_NGAY,23),SUMIFS(KT_PHAN,KT_LOAI,"Tổ",KT_TO,IF(AB76="x",$D76,AB76),KT_NGAY,23)))</f>
        <v>0</v>
      </c>
      <c r="BJ76" s="31" t="n">
        <f aca="false">IF(OR($B76="",AC76=""),0,IF(AND($E76="Trưởng tổ",AC76="x"),SUMIFS(KT_TRUONG,KT_LOAI,"Tổ",KT_TO,$D76,KT_NGAY,24),SUMIFS(KT_PHAN,KT_LOAI,"Tổ",KT_TO,IF(AC76="x",$D76,AC76),KT_NGAY,24)))</f>
        <v>0</v>
      </c>
      <c r="BK76" s="31" t="n">
        <f aca="false">IF(OR($B76="",AD76=""),0,IF(AND($E76="Trưởng tổ",AD76="x"),SUMIFS(KT_TRUONG,KT_LOAI,"Tổ",KT_TO,$D76,KT_NGAY,25),SUMIFS(KT_PHAN,KT_LOAI,"Tổ",KT_TO,IF(AD76="x",$D76,AD76),KT_NGAY,25)))</f>
        <v>0</v>
      </c>
      <c r="BL76" s="31" t="n">
        <f aca="false">IF(OR($B76="",AE76=""),0,IF(AND($E76="Trưởng tổ",AE76="x"),SUMIFS(KT_TRUONG,KT_LOAI,"Tổ",KT_TO,$D76,KT_NGAY,26),SUMIFS(KT_PHAN,KT_LOAI,"Tổ",KT_TO,IF(AE76="x",$D76,AE76),KT_NGAY,26)))</f>
        <v>0</v>
      </c>
      <c r="BM76" s="31" t="n">
        <f aca="false">IF(OR($B76="",AF76=""),0,IF(AND($E76="Trưởng tổ",AF76="x"),SUMIFS(KT_TRUONG,KT_LOAI,"Tổ",KT_TO,$D76,KT_NGAY,27),SUMIFS(KT_PHAN,KT_LOAI,"Tổ",KT_TO,IF(AF76="x",$D76,AF76),KT_NGAY,27)))</f>
        <v>0</v>
      </c>
      <c r="BN76" s="31" t="n">
        <f aca="false">IF(OR($B76="",AG76=""),0,IF(AND($E76="Trưởng tổ",AG76="x"),SUMIFS(KT_TRUONG,KT_LOAI,"Tổ",KT_TO,$D76,KT_NGAY,28),SUMIFS(KT_PHAN,KT_LOAI,"Tổ",KT_TO,IF(AG76="x",$D76,AG76),KT_NGAY,28)))</f>
        <v>0</v>
      </c>
      <c r="BO76" s="31" t="n">
        <f aca="false">IF(OR($B76="",AH76=""),0,IF(AND($E76="Trưởng tổ",AH76="x"),SUMIFS(KT_TRUONG,KT_LOAI,"Tổ",KT_TO,$D76,KT_NGAY,29),SUMIFS(KT_PHAN,KT_LOAI,"Tổ",KT_TO,IF(AH76="x",$D76,AH76),KT_NGAY,29)))</f>
        <v>0</v>
      </c>
      <c r="BP76" s="31" t="n">
        <f aca="false">IF(OR($B76="",AI76=""),0,IF(AND($E76="Trưởng tổ",AI76="x"),SUMIFS(KT_TRUONG,KT_LOAI,"Tổ",KT_TO,$D76,KT_NGAY,30),SUMIFS(KT_PHAN,KT_LOAI,"Tổ",KT_TO,IF(AI76="x",$D76,AI76),KT_NGAY,30)))</f>
        <v>0</v>
      </c>
      <c r="BQ76" s="31" t="n">
        <f aca="false">IF(OR($B76="",AJ76=""),0,IF(AND($E76="Trưởng tổ",AJ76="x"),SUMIFS(KT_TRUONG,KT_LOAI,"Tổ",KT_TO,$D76,KT_NGAY,31),SUMIFS(KT_PHAN,KT_LOAI,"Tổ",KT_TO,IF(AJ76="x",$D76,AJ76),KT_NGAY,31)))</f>
        <v>0</v>
      </c>
    </row>
    <row r="77" customFormat="false" ht="15" hidden="false" customHeight="false" outlineLevel="0" collapsed="false">
      <c r="A77" s="17" t="str">
        <f aca="false">IF(B77="","",ROW()-5)</f>
        <v/>
      </c>
      <c r="B77" s="29" t="str">
        <f aca="false">IF(OR(BCC!B77="",BCC!D77&lt;&gt;"Thời vụ HAQT"),"",BCC!B77)</f>
        <v/>
      </c>
      <c r="C77" s="17" t="str">
        <f aca="false">IF(B77="","",BCC!C77)</f>
        <v/>
      </c>
      <c r="D77" s="17" t="str">
        <f aca="false">IF(B77="","",IFERROR(INDEX(NV_TO,MATCH(B77,NV_MA,0)),""))</f>
        <v/>
      </c>
      <c r="E77" s="17" t="str">
        <f aca="false">IF(B77="","",IFERROR(INDEX(NV_VT,MATCH(B77,NV_MA,0)),""))</f>
        <v/>
      </c>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17" t="str">
        <f aca="false">IF(B77="","",COUNTA(F77:AJ77))</f>
        <v/>
      </c>
      <c r="AL77" s="30" t="str">
        <f aca="false">IF(B77="","",SUM(AM77:BQ77))</f>
        <v/>
      </c>
      <c r="AM77" s="31" t="n">
        <f aca="false">IF(OR($B77="",F77=""),0,IF(AND($E77="Trưởng tổ",F77="x"),SUMIFS(KT_TRUONG,KT_LOAI,"Tổ",KT_TO,$D77,KT_NGAY,1),SUMIFS(KT_PHAN,KT_LOAI,"Tổ",KT_TO,IF(F77="x",$D77,F77),KT_NGAY,1)))</f>
        <v>0</v>
      </c>
      <c r="AN77" s="31" t="n">
        <f aca="false">IF(OR($B77="",G77=""),0,IF(AND($E77="Trưởng tổ",G77="x"),SUMIFS(KT_TRUONG,KT_LOAI,"Tổ",KT_TO,$D77,KT_NGAY,2),SUMIFS(KT_PHAN,KT_LOAI,"Tổ",KT_TO,IF(G77="x",$D77,G77),KT_NGAY,2)))</f>
        <v>0</v>
      </c>
      <c r="AO77" s="31" t="n">
        <f aca="false">IF(OR($B77="",H77=""),0,IF(AND($E77="Trưởng tổ",H77="x"),SUMIFS(KT_TRUONG,KT_LOAI,"Tổ",KT_TO,$D77,KT_NGAY,3),SUMIFS(KT_PHAN,KT_LOAI,"Tổ",KT_TO,IF(H77="x",$D77,H77),KT_NGAY,3)))</f>
        <v>0</v>
      </c>
      <c r="AP77" s="31" t="n">
        <f aca="false">IF(OR($B77="",I77=""),0,IF(AND($E77="Trưởng tổ",I77="x"),SUMIFS(KT_TRUONG,KT_LOAI,"Tổ",KT_TO,$D77,KT_NGAY,4),SUMIFS(KT_PHAN,KT_LOAI,"Tổ",KT_TO,IF(I77="x",$D77,I77),KT_NGAY,4)))</f>
        <v>0</v>
      </c>
      <c r="AQ77" s="31" t="n">
        <f aca="false">IF(OR($B77="",J77=""),0,IF(AND($E77="Trưởng tổ",J77="x"),SUMIFS(KT_TRUONG,KT_LOAI,"Tổ",KT_TO,$D77,KT_NGAY,5),SUMIFS(KT_PHAN,KT_LOAI,"Tổ",KT_TO,IF(J77="x",$D77,J77),KT_NGAY,5)))</f>
        <v>0</v>
      </c>
      <c r="AR77" s="31" t="n">
        <f aca="false">IF(OR($B77="",K77=""),0,IF(AND($E77="Trưởng tổ",K77="x"),SUMIFS(KT_TRUONG,KT_LOAI,"Tổ",KT_TO,$D77,KT_NGAY,6),SUMIFS(KT_PHAN,KT_LOAI,"Tổ",KT_TO,IF(K77="x",$D77,K77),KT_NGAY,6)))</f>
        <v>0</v>
      </c>
      <c r="AS77" s="31" t="n">
        <f aca="false">IF(OR($B77="",L77=""),0,IF(AND($E77="Trưởng tổ",L77="x"),SUMIFS(KT_TRUONG,KT_LOAI,"Tổ",KT_TO,$D77,KT_NGAY,7),SUMIFS(KT_PHAN,KT_LOAI,"Tổ",KT_TO,IF(L77="x",$D77,L77),KT_NGAY,7)))</f>
        <v>0</v>
      </c>
      <c r="AT77" s="31" t="n">
        <f aca="false">IF(OR($B77="",M77=""),0,IF(AND($E77="Trưởng tổ",M77="x"),SUMIFS(KT_TRUONG,KT_LOAI,"Tổ",KT_TO,$D77,KT_NGAY,8),SUMIFS(KT_PHAN,KT_LOAI,"Tổ",KT_TO,IF(M77="x",$D77,M77),KT_NGAY,8)))</f>
        <v>0</v>
      </c>
      <c r="AU77" s="31" t="n">
        <f aca="false">IF(OR($B77="",N77=""),0,IF(AND($E77="Trưởng tổ",N77="x"),SUMIFS(KT_TRUONG,KT_LOAI,"Tổ",KT_TO,$D77,KT_NGAY,9),SUMIFS(KT_PHAN,KT_LOAI,"Tổ",KT_TO,IF(N77="x",$D77,N77),KT_NGAY,9)))</f>
        <v>0</v>
      </c>
      <c r="AV77" s="31" t="n">
        <f aca="false">IF(OR($B77="",O77=""),0,IF(AND($E77="Trưởng tổ",O77="x"),SUMIFS(KT_TRUONG,KT_LOAI,"Tổ",KT_TO,$D77,KT_NGAY,10),SUMIFS(KT_PHAN,KT_LOAI,"Tổ",KT_TO,IF(O77="x",$D77,O77),KT_NGAY,10)))</f>
        <v>0</v>
      </c>
      <c r="AW77" s="31" t="n">
        <f aca="false">IF(OR($B77="",P77=""),0,IF(AND($E77="Trưởng tổ",P77="x"),SUMIFS(KT_TRUONG,KT_LOAI,"Tổ",KT_TO,$D77,KT_NGAY,11),SUMIFS(KT_PHAN,KT_LOAI,"Tổ",KT_TO,IF(P77="x",$D77,P77),KT_NGAY,11)))</f>
        <v>0</v>
      </c>
      <c r="AX77" s="31" t="n">
        <f aca="false">IF(OR($B77="",Q77=""),0,IF(AND($E77="Trưởng tổ",Q77="x"),SUMIFS(KT_TRUONG,KT_LOAI,"Tổ",KT_TO,$D77,KT_NGAY,12),SUMIFS(KT_PHAN,KT_LOAI,"Tổ",KT_TO,IF(Q77="x",$D77,Q77),KT_NGAY,12)))</f>
        <v>0</v>
      </c>
      <c r="AY77" s="31" t="n">
        <f aca="false">IF(OR($B77="",R77=""),0,IF(AND($E77="Trưởng tổ",R77="x"),SUMIFS(KT_TRUONG,KT_LOAI,"Tổ",KT_TO,$D77,KT_NGAY,13),SUMIFS(KT_PHAN,KT_LOAI,"Tổ",KT_TO,IF(R77="x",$D77,R77),KT_NGAY,13)))</f>
        <v>0</v>
      </c>
      <c r="AZ77" s="31" t="n">
        <f aca="false">IF(OR($B77="",S77=""),0,IF(AND($E77="Trưởng tổ",S77="x"),SUMIFS(KT_TRUONG,KT_LOAI,"Tổ",KT_TO,$D77,KT_NGAY,14),SUMIFS(KT_PHAN,KT_LOAI,"Tổ",KT_TO,IF(S77="x",$D77,S77),KT_NGAY,14)))</f>
        <v>0</v>
      </c>
      <c r="BA77" s="31" t="n">
        <f aca="false">IF(OR($B77="",T77=""),0,IF(AND($E77="Trưởng tổ",T77="x"),SUMIFS(KT_TRUONG,KT_LOAI,"Tổ",KT_TO,$D77,KT_NGAY,15),SUMIFS(KT_PHAN,KT_LOAI,"Tổ",KT_TO,IF(T77="x",$D77,T77),KT_NGAY,15)))</f>
        <v>0</v>
      </c>
      <c r="BB77" s="31" t="n">
        <f aca="false">IF(OR($B77="",U77=""),0,IF(AND($E77="Trưởng tổ",U77="x"),SUMIFS(KT_TRUONG,KT_LOAI,"Tổ",KT_TO,$D77,KT_NGAY,16),SUMIFS(KT_PHAN,KT_LOAI,"Tổ",KT_TO,IF(U77="x",$D77,U77),KT_NGAY,16)))</f>
        <v>0</v>
      </c>
      <c r="BC77" s="31" t="n">
        <f aca="false">IF(OR($B77="",V77=""),0,IF(AND($E77="Trưởng tổ",V77="x"),SUMIFS(KT_TRUONG,KT_LOAI,"Tổ",KT_TO,$D77,KT_NGAY,17),SUMIFS(KT_PHAN,KT_LOAI,"Tổ",KT_TO,IF(V77="x",$D77,V77),KT_NGAY,17)))</f>
        <v>0</v>
      </c>
      <c r="BD77" s="31" t="n">
        <f aca="false">IF(OR($B77="",W77=""),0,IF(AND($E77="Trưởng tổ",W77="x"),SUMIFS(KT_TRUONG,KT_LOAI,"Tổ",KT_TO,$D77,KT_NGAY,18),SUMIFS(KT_PHAN,KT_LOAI,"Tổ",KT_TO,IF(W77="x",$D77,W77),KT_NGAY,18)))</f>
        <v>0</v>
      </c>
      <c r="BE77" s="31" t="n">
        <f aca="false">IF(OR($B77="",X77=""),0,IF(AND($E77="Trưởng tổ",X77="x"),SUMIFS(KT_TRUONG,KT_LOAI,"Tổ",KT_TO,$D77,KT_NGAY,19),SUMIFS(KT_PHAN,KT_LOAI,"Tổ",KT_TO,IF(X77="x",$D77,X77),KT_NGAY,19)))</f>
        <v>0</v>
      </c>
      <c r="BF77" s="31" t="n">
        <f aca="false">IF(OR($B77="",Y77=""),0,IF(AND($E77="Trưởng tổ",Y77="x"),SUMIFS(KT_TRUONG,KT_LOAI,"Tổ",KT_TO,$D77,KT_NGAY,20),SUMIFS(KT_PHAN,KT_LOAI,"Tổ",KT_TO,IF(Y77="x",$D77,Y77),KT_NGAY,20)))</f>
        <v>0</v>
      </c>
      <c r="BG77" s="31" t="n">
        <f aca="false">IF(OR($B77="",Z77=""),0,IF(AND($E77="Trưởng tổ",Z77="x"),SUMIFS(KT_TRUONG,KT_LOAI,"Tổ",KT_TO,$D77,KT_NGAY,21),SUMIFS(KT_PHAN,KT_LOAI,"Tổ",KT_TO,IF(Z77="x",$D77,Z77),KT_NGAY,21)))</f>
        <v>0</v>
      </c>
      <c r="BH77" s="31" t="n">
        <f aca="false">IF(OR($B77="",AA77=""),0,IF(AND($E77="Trưởng tổ",AA77="x"),SUMIFS(KT_TRUONG,KT_LOAI,"Tổ",KT_TO,$D77,KT_NGAY,22),SUMIFS(KT_PHAN,KT_LOAI,"Tổ",KT_TO,IF(AA77="x",$D77,AA77),KT_NGAY,22)))</f>
        <v>0</v>
      </c>
      <c r="BI77" s="31" t="n">
        <f aca="false">IF(OR($B77="",AB77=""),0,IF(AND($E77="Trưởng tổ",AB77="x"),SUMIFS(KT_TRUONG,KT_LOAI,"Tổ",KT_TO,$D77,KT_NGAY,23),SUMIFS(KT_PHAN,KT_LOAI,"Tổ",KT_TO,IF(AB77="x",$D77,AB77),KT_NGAY,23)))</f>
        <v>0</v>
      </c>
      <c r="BJ77" s="31" t="n">
        <f aca="false">IF(OR($B77="",AC77=""),0,IF(AND($E77="Trưởng tổ",AC77="x"),SUMIFS(KT_TRUONG,KT_LOAI,"Tổ",KT_TO,$D77,KT_NGAY,24),SUMIFS(KT_PHAN,KT_LOAI,"Tổ",KT_TO,IF(AC77="x",$D77,AC77),KT_NGAY,24)))</f>
        <v>0</v>
      </c>
      <c r="BK77" s="31" t="n">
        <f aca="false">IF(OR($B77="",AD77=""),0,IF(AND($E77="Trưởng tổ",AD77="x"),SUMIFS(KT_TRUONG,KT_LOAI,"Tổ",KT_TO,$D77,KT_NGAY,25),SUMIFS(KT_PHAN,KT_LOAI,"Tổ",KT_TO,IF(AD77="x",$D77,AD77),KT_NGAY,25)))</f>
        <v>0</v>
      </c>
      <c r="BL77" s="31" t="n">
        <f aca="false">IF(OR($B77="",AE77=""),0,IF(AND($E77="Trưởng tổ",AE77="x"),SUMIFS(KT_TRUONG,KT_LOAI,"Tổ",KT_TO,$D77,KT_NGAY,26),SUMIFS(KT_PHAN,KT_LOAI,"Tổ",KT_TO,IF(AE77="x",$D77,AE77),KT_NGAY,26)))</f>
        <v>0</v>
      </c>
      <c r="BM77" s="31" t="n">
        <f aca="false">IF(OR($B77="",AF77=""),0,IF(AND($E77="Trưởng tổ",AF77="x"),SUMIFS(KT_TRUONG,KT_LOAI,"Tổ",KT_TO,$D77,KT_NGAY,27),SUMIFS(KT_PHAN,KT_LOAI,"Tổ",KT_TO,IF(AF77="x",$D77,AF77),KT_NGAY,27)))</f>
        <v>0</v>
      </c>
      <c r="BN77" s="31" t="n">
        <f aca="false">IF(OR($B77="",AG77=""),0,IF(AND($E77="Trưởng tổ",AG77="x"),SUMIFS(KT_TRUONG,KT_LOAI,"Tổ",KT_TO,$D77,KT_NGAY,28),SUMIFS(KT_PHAN,KT_LOAI,"Tổ",KT_TO,IF(AG77="x",$D77,AG77),KT_NGAY,28)))</f>
        <v>0</v>
      </c>
      <c r="BO77" s="31" t="n">
        <f aca="false">IF(OR($B77="",AH77=""),0,IF(AND($E77="Trưởng tổ",AH77="x"),SUMIFS(KT_TRUONG,KT_LOAI,"Tổ",KT_TO,$D77,KT_NGAY,29),SUMIFS(KT_PHAN,KT_LOAI,"Tổ",KT_TO,IF(AH77="x",$D77,AH77),KT_NGAY,29)))</f>
        <v>0</v>
      </c>
      <c r="BP77" s="31" t="n">
        <f aca="false">IF(OR($B77="",AI77=""),0,IF(AND($E77="Trưởng tổ",AI77="x"),SUMIFS(KT_TRUONG,KT_LOAI,"Tổ",KT_TO,$D77,KT_NGAY,30),SUMIFS(KT_PHAN,KT_LOAI,"Tổ",KT_TO,IF(AI77="x",$D77,AI77),KT_NGAY,30)))</f>
        <v>0</v>
      </c>
      <c r="BQ77" s="31" t="n">
        <f aca="false">IF(OR($B77="",AJ77=""),0,IF(AND($E77="Trưởng tổ",AJ77="x"),SUMIFS(KT_TRUONG,KT_LOAI,"Tổ",KT_TO,$D77,KT_NGAY,31),SUMIFS(KT_PHAN,KT_LOAI,"Tổ",KT_TO,IF(AJ77="x",$D77,AJ77),KT_NGAY,31)))</f>
        <v>0</v>
      </c>
    </row>
    <row r="78" customFormat="false" ht="15" hidden="false" customHeight="false" outlineLevel="0" collapsed="false">
      <c r="A78" s="17" t="str">
        <f aca="false">IF(B78="","",ROW()-5)</f>
        <v/>
      </c>
      <c r="B78" s="29" t="str">
        <f aca="false">IF(OR(BCC!B78="",BCC!D78&lt;&gt;"Thời vụ HAQT"),"",BCC!B78)</f>
        <v/>
      </c>
      <c r="C78" s="17" t="str">
        <f aca="false">IF(B78="","",BCC!C78)</f>
        <v/>
      </c>
      <c r="D78" s="17" t="str">
        <f aca="false">IF(B78="","",IFERROR(INDEX(NV_TO,MATCH(B78,NV_MA,0)),""))</f>
        <v/>
      </c>
      <c r="E78" s="17" t="str">
        <f aca="false">IF(B78="","",IFERROR(INDEX(NV_VT,MATCH(B78,NV_MA,0)),""))</f>
        <v/>
      </c>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17" t="str">
        <f aca="false">IF(B78="","",COUNTA(F78:AJ78))</f>
        <v/>
      </c>
      <c r="AL78" s="30" t="str">
        <f aca="false">IF(B78="","",SUM(AM78:BQ78))</f>
        <v/>
      </c>
      <c r="AM78" s="31" t="n">
        <f aca="false">IF(OR($B78="",F78=""),0,IF(AND($E78="Trưởng tổ",F78="x"),SUMIFS(KT_TRUONG,KT_LOAI,"Tổ",KT_TO,$D78,KT_NGAY,1),SUMIFS(KT_PHAN,KT_LOAI,"Tổ",KT_TO,IF(F78="x",$D78,F78),KT_NGAY,1)))</f>
        <v>0</v>
      </c>
      <c r="AN78" s="31" t="n">
        <f aca="false">IF(OR($B78="",G78=""),0,IF(AND($E78="Trưởng tổ",G78="x"),SUMIFS(KT_TRUONG,KT_LOAI,"Tổ",KT_TO,$D78,KT_NGAY,2),SUMIFS(KT_PHAN,KT_LOAI,"Tổ",KT_TO,IF(G78="x",$D78,G78),KT_NGAY,2)))</f>
        <v>0</v>
      </c>
      <c r="AO78" s="31" t="n">
        <f aca="false">IF(OR($B78="",H78=""),0,IF(AND($E78="Trưởng tổ",H78="x"),SUMIFS(KT_TRUONG,KT_LOAI,"Tổ",KT_TO,$D78,KT_NGAY,3),SUMIFS(KT_PHAN,KT_LOAI,"Tổ",KT_TO,IF(H78="x",$D78,H78),KT_NGAY,3)))</f>
        <v>0</v>
      </c>
      <c r="AP78" s="31" t="n">
        <f aca="false">IF(OR($B78="",I78=""),0,IF(AND($E78="Trưởng tổ",I78="x"),SUMIFS(KT_TRUONG,KT_LOAI,"Tổ",KT_TO,$D78,KT_NGAY,4),SUMIFS(KT_PHAN,KT_LOAI,"Tổ",KT_TO,IF(I78="x",$D78,I78),KT_NGAY,4)))</f>
        <v>0</v>
      </c>
      <c r="AQ78" s="31" t="n">
        <f aca="false">IF(OR($B78="",J78=""),0,IF(AND($E78="Trưởng tổ",J78="x"),SUMIFS(KT_TRUONG,KT_LOAI,"Tổ",KT_TO,$D78,KT_NGAY,5),SUMIFS(KT_PHAN,KT_LOAI,"Tổ",KT_TO,IF(J78="x",$D78,J78),KT_NGAY,5)))</f>
        <v>0</v>
      </c>
      <c r="AR78" s="31" t="n">
        <f aca="false">IF(OR($B78="",K78=""),0,IF(AND($E78="Trưởng tổ",K78="x"),SUMIFS(KT_TRUONG,KT_LOAI,"Tổ",KT_TO,$D78,KT_NGAY,6),SUMIFS(KT_PHAN,KT_LOAI,"Tổ",KT_TO,IF(K78="x",$D78,K78),KT_NGAY,6)))</f>
        <v>0</v>
      </c>
      <c r="AS78" s="31" t="n">
        <f aca="false">IF(OR($B78="",L78=""),0,IF(AND($E78="Trưởng tổ",L78="x"),SUMIFS(KT_TRUONG,KT_LOAI,"Tổ",KT_TO,$D78,KT_NGAY,7),SUMIFS(KT_PHAN,KT_LOAI,"Tổ",KT_TO,IF(L78="x",$D78,L78),KT_NGAY,7)))</f>
        <v>0</v>
      </c>
      <c r="AT78" s="31" t="n">
        <f aca="false">IF(OR($B78="",M78=""),0,IF(AND($E78="Trưởng tổ",M78="x"),SUMIFS(KT_TRUONG,KT_LOAI,"Tổ",KT_TO,$D78,KT_NGAY,8),SUMIFS(KT_PHAN,KT_LOAI,"Tổ",KT_TO,IF(M78="x",$D78,M78),KT_NGAY,8)))</f>
        <v>0</v>
      </c>
      <c r="AU78" s="31" t="n">
        <f aca="false">IF(OR($B78="",N78=""),0,IF(AND($E78="Trưởng tổ",N78="x"),SUMIFS(KT_TRUONG,KT_LOAI,"Tổ",KT_TO,$D78,KT_NGAY,9),SUMIFS(KT_PHAN,KT_LOAI,"Tổ",KT_TO,IF(N78="x",$D78,N78),KT_NGAY,9)))</f>
        <v>0</v>
      </c>
      <c r="AV78" s="31" t="n">
        <f aca="false">IF(OR($B78="",O78=""),0,IF(AND($E78="Trưởng tổ",O78="x"),SUMIFS(KT_TRUONG,KT_LOAI,"Tổ",KT_TO,$D78,KT_NGAY,10),SUMIFS(KT_PHAN,KT_LOAI,"Tổ",KT_TO,IF(O78="x",$D78,O78),KT_NGAY,10)))</f>
        <v>0</v>
      </c>
      <c r="AW78" s="31" t="n">
        <f aca="false">IF(OR($B78="",P78=""),0,IF(AND($E78="Trưởng tổ",P78="x"),SUMIFS(KT_TRUONG,KT_LOAI,"Tổ",KT_TO,$D78,KT_NGAY,11),SUMIFS(KT_PHAN,KT_LOAI,"Tổ",KT_TO,IF(P78="x",$D78,P78),KT_NGAY,11)))</f>
        <v>0</v>
      </c>
      <c r="AX78" s="31" t="n">
        <f aca="false">IF(OR($B78="",Q78=""),0,IF(AND($E78="Trưởng tổ",Q78="x"),SUMIFS(KT_TRUONG,KT_LOAI,"Tổ",KT_TO,$D78,KT_NGAY,12),SUMIFS(KT_PHAN,KT_LOAI,"Tổ",KT_TO,IF(Q78="x",$D78,Q78),KT_NGAY,12)))</f>
        <v>0</v>
      </c>
      <c r="AY78" s="31" t="n">
        <f aca="false">IF(OR($B78="",R78=""),0,IF(AND($E78="Trưởng tổ",R78="x"),SUMIFS(KT_TRUONG,KT_LOAI,"Tổ",KT_TO,$D78,KT_NGAY,13),SUMIFS(KT_PHAN,KT_LOAI,"Tổ",KT_TO,IF(R78="x",$D78,R78),KT_NGAY,13)))</f>
        <v>0</v>
      </c>
      <c r="AZ78" s="31" t="n">
        <f aca="false">IF(OR($B78="",S78=""),0,IF(AND($E78="Trưởng tổ",S78="x"),SUMIFS(KT_TRUONG,KT_LOAI,"Tổ",KT_TO,$D78,KT_NGAY,14),SUMIFS(KT_PHAN,KT_LOAI,"Tổ",KT_TO,IF(S78="x",$D78,S78),KT_NGAY,14)))</f>
        <v>0</v>
      </c>
      <c r="BA78" s="31" t="n">
        <f aca="false">IF(OR($B78="",T78=""),0,IF(AND($E78="Trưởng tổ",T78="x"),SUMIFS(KT_TRUONG,KT_LOAI,"Tổ",KT_TO,$D78,KT_NGAY,15),SUMIFS(KT_PHAN,KT_LOAI,"Tổ",KT_TO,IF(T78="x",$D78,T78),KT_NGAY,15)))</f>
        <v>0</v>
      </c>
      <c r="BB78" s="31" t="n">
        <f aca="false">IF(OR($B78="",U78=""),0,IF(AND($E78="Trưởng tổ",U78="x"),SUMIFS(KT_TRUONG,KT_LOAI,"Tổ",KT_TO,$D78,KT_NGAY,16),SUMIFS(KT_PHAN,KT_LOAI,"Tổ",KT_TO,IF(U78="x",$D78,U78),KT_NGAY,16)))</f>
        <v>0</v>
      </c>
      <c r="BC78" s="31" t="n">
        <f aca="false">IF(OR($B78="",V78=""),0,IF(AND($E78="Trưởng tổ",V78="x"),SUMIFS(KT_TRUONG,KT_LOAI,"Tổ",KT_TO,$D78,KT_NGAY,17),SUMIFS(KT_PHAN,KT_LOAI,"Tổ",KT_TO,IF(V78="x",$D78,V78),KT_NGAY,17)))</f>
        <v>0</v>
      </c>
      <c r="BD78" s="31" t="n">
        <f aca="false">IF(OR($B78="",W78=""),0,IF(AND($E78="Trưởng tổ",W78="x"),SUMIFS(KT_TRUONG,KT_LOAI,"Tổ",KT_TO,$D78,KT_NGAY,18),SUMIFS(KT_PHAN,KT_LOAI,"Tổ",KT_TO,IF(W78="x",$D78,W78),KT_NGAY,18)))</f>
        <v>0</v>
      </c>
      <c r="BE78" s="31" t="n">
        <f aca="false">IF(OR($B78="",X78=""),0,IF(AND($E78="Trưởng tổ",X78="x"),SUMIFS(KT_TRUONG,KT_LOAI,"Tổ",KT_TO,$D78,KT_NGAY,19),SUMIFS(KT_PHAN,KT_LOAI,"Tổ",KT_TO,IF(X78="x",$D78,X78),KT_NGAY,19)))</f>
        <v>0</v>
      </c>
      <c r="BF78" s="31" t="n">
        <f aca="false">IF(OR($B78="",Y78=""),0,IF(AND($E78="Trưởng tổ",Y78="x"),SUMIFS(KT_TRUONG,KT_LOAI,"Tổ",KT_TO,$D78,KT_NGAY,20),SUMIFS(KT_PHAN,KT_LOAI,"Tổ",KT_TO,IF(Y78="x",$D78,Y78),KT_NGAY,20)))</f>
        <v>0</v>
      </c>
      <c r="BG78" s="31" t="n">
        <f aca="false">IF(OR($B78="",Z78=""),0,IF(AND($E78="Trưởng tổ",Z78="x"),SUMIFS(KT_TRUONG,KT_LOAI,"Tổ",KT_TO,$D78,KT_NGAY,21),SUMIFS(KT_PHAN,KT_LOAI,"Tổ",KT_TO,IF(Z78="x",$D78,Z78),KT_NGAY,21)))</f>
        <v>0</v>
      </c>
      <c r="BH78" s="31" t="n">
        <f aca="false">IF(OR($B78="",AA78=""),0,IF(AND($E78="Trưởng tổ",AA78="x"),SUMIFS(KT_TRUONG,KT_LOAI,"Tổ",KT_TO,$D78,KT_NGAY,22),SUMIFS(KT_PHAN,KT_LOAI,"Tổ",KT_TO,IF(AA78="x",$D78,AA78),KT_NGAY,22)))</f>
        <v>0</v>
      </c>
      <c r="BI78" s="31" t="n">
        <f aca="false">IF(OR($B78="",AB78=""),0,IF(AND($E78="Trưởng tổ",AB78="x"),SUMIFS(KT_TRUONG,KT_LOAI,"Tổ",KT_TO,$D78,KT_NGAY,23),SUMIFS(KT_PHAN,KT_LOAI,"Tổ",KT_TO,IF(AB78="x",$D78,AB78),KT_NGAY,23)))</f>
        <v>0</v>
      </c>
      <c r="BJ78" s="31" t="n">
        <f aca="false">IF(OR($B78="",AC78=""),0,IF(AND($E78="Trưởng tổ",AC78="x"),SUMIFS(KT_TRUONG,KT_LOAI,"Tổ",KT_TO,$D78,KT_NGAY,24),SUMIFS(KT_PHAN,KT_LOAI,"Tổ",KT_TO,IF(AC78="x",$D78,AC78),KT_NGAY,24)))</f>
        <v>0</v>
      </c>
      <c r="BK78" s="31" t="n">
        <f aca="false">IF(OR($B78="",AD78=""),0,IF(AND($E78="Trưởng tổ",AD78="x"),SUMIFS(KT_TRUONG,KT_LOAI,"Tổ",KT_TO,$D78,KT_NGAY,25),SUMIFS(KT_PHAN,KT_LOAI,"Tổ",KT_TO,IF(AD78="x",$D78,AD78),KT_NGAY,25)))</f>
        <v>0</v>
      </c>
      <c r="BL78" s="31" t="n">
        <f aca="false">IF(OR($B78="",AE78=""),0,IF(AND($E78="Trưởng tổ",AE78="x"),SUMIFS(KT_TRUONG,KT_LOAI,"Tổ",KT_TO,$D78,KT_NGAY,26),SUMIFS(KT_PHAN,KT_LOAI,"Tổ",KT_TO,IF(AE78="x",$D78,AE78),KT_NGAY,26)))</f>
        <v>0</v>
      </c>
      <c r="BM78" s="31" t="n">
        <f aca="false">IF(OR($B78="",AF78=""),0,IF(AND($E78="Trưởng tổ",AF78="x"),SUMIFS(KT_TRUONG,KT_LOAI,"Tổ",KT_TO,$D78,KT_NGAY,27),SUMIFS(KT_PHAN,KT_LOAI,"Tổ",KT_TO,IF(AF78="x",$D78,AF78),KT_NGAY,27)))</f>
        <v>0</v>
      </c>
      <c r="BN78" s="31" t="n">
        <f aca="false">IF(OR($B78="",AG78=""),0,IF(AND($E78="Trưởng tổ",AG78="x"),SUMIFS(KT_TRUONG,KT_LOAI,"Tổ",KT_TO,$D78,KT_NGAY,28),SUMIFS(KT_PHAN,KT_LOAI,"Tổ",KT_TO,IF(AG78="x",$D78,AG78),KT_NGAY,28)))</f>
        <v>0</v>
      </c>
      <c r="BO78" s="31" t="n">
        <f aca="false">IF(OR($B78="",AH78=""),0,IF(AND($E78="Trưởng tổ",AH78="x"),SUMIFS(KT_TRUONG,KT_LOAI,"Tổ",KT_TO,$D78,KT_NGAY,29),SUMIFS(KT_PHAN,KT_LOAI,"Tổ",KT_TO,IF(AH78="x",$D78,AH78),KT_NGAY,29)))</f>
        <v>0</v>
      </c>
      <c r="BP78" s="31" t="n">
        <f aca="false">IF(OR($B78="",AI78=""),0,IF(AND($E78="Trưởng tổ",AI78="x"),SUMIFS(KT_TRUONG,KT_LOAI,"Tổ",KT_TO,$D78,KT_NGAY,30),SUMIFS(KT_PHAN,KT_LOAI,"Tổ",KT_TO,IF(AI78="x",$D78,AI78),KT_NGAY,30)))</f>
        <v>0</v>
      </c>
      <c r="BQ78" s="31" t="n">
        <f aca="false">IF(OR($B78="",AJ78=""),0,IF(AND($E78="Trưởng tổ",AJ78="x"),SUMIFS(KT_TRUONG,KT_LOAI,"Tổ",KT_TO,$D78,KT_NGAY,31),SUMIFS(KT_PHAN,KT_LOAI,"Tổ",KT_TO,IF(AJ78="x",$D78,AJ78),KT_NGAY,31)))</f>
        <v>0</v>
      </c>
    </row>
    <row r="79" customFormat="false" ht="15" hidden="false" customHeight="false" outlineLevel="0" collapsed="false">
      <c r="A79" s="17" t="str">
        <f aca="false">IF(B79="","",ROW()-5)</f>
        <v/>
      </c>
      <c r="B79" s="29" t="str">
        <f aca="false">IF(OR(BCC!B79="",BCC!D79&lt;&gt;"Thời vụ HAQT"),"",BCC!B79)</f>
        <v/>
      </c>
      <c r="C79" s="17" t="str">
        <f aca="false">IF(B79="","",BCC!C79)</f>
        <v/>
      </c>
      <c r="D79" s="17" t="str">
        <f aca="false">IF(B79="","",IFERROR(INDEX(NV_TO,MATCH(B79,NV_MA,0)),""))</f>
        <v/>
      </c>
      <c r="E79" s="17" t="str">
        <f aca="false">IF(B79="","",IFERROR(INDEX(NV_VT,MATCH(B79,NV_MA,0)),""))</f>
        <v/>
      </c>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17" t="str">
        <f aca="false">IF(B79="","",COUNTA(F79:AJ79))</f>
        <v/>
      </c>
      <c r="AL79" s="30" t="str">
        <f aca="false">IF(B79="","",SUM(AM79:BQ79))</f>
        <v/>
      </c>
      <c r="AM79" s="31" t="n">
        <f aca="false">IF(OR($B79="",F79=""),0,IF(AND($E79="Trưởng tổ",F79="x"),SUMIFS(KT_TRUONG,KT_LOAI,"Tổ",KT_TO,$D79,KT_NGAY,1),SUMIFS(KT_PHAN,KT_LOAI,"Tổ",KT_TO,IF(F79="x",$D79,F79),KT_NGAY,1)))</f>
        <v>0</v>
      </c>
      <c r="AN79" s="31" t="n">
        <f aca="false">IF(OR($B79="",G79=""),0,IF(AND($E79="Trưởng tổ",G79="x"),SUMIFS(KT_TRUONG,KT_LOAI,"Tổ",KT_TO,$D79,KT_NGAY,2),SUMIFS(KT_PHAN,KT_LOAI,"Tổ",KT_TO,IF(G79="x",$D79,G79),KT_NGAY,2)))</f>
        <v>0</v>
      </c>
      <c r="AO79" s="31" t="n">
        <f aca="false">IF(OR($B79="",H79=""),0,IF(AND($E79="Trưởng tổ",H79="x"),SUMIFS(KT_TRUONG,KT_LOAI,"Tổ",KT_TO,$D79,KT_NGAY,3),SUMIFS(KT_PHAN,KT_LOAI,"Tổ",KT_TO,IF(H79="x",$D79,H79),KT_NGAY,3)))</f>
        <v>0</v>
      </c>
      <c r="AP79" s="31" t="n">
        <f aca="false">IF(OR($B79="",I79=""),0,IF(AND($E79="Trưởng tổ",I79="x"),SUMIFS(KT_TRUONG,KT_LOAI,"Tổ",KT_TO,$D79,KT_NGAY,4),SUMIFS(KT_PHAN,KT_LOAI,"Tổ",KT_TO,IF(I79="x",$D79,I79),KT_NGAY,4)))</f>
        <v>0</v>
      </c>
      <c r="AQ79" s="31" t="n">
        <f aca="false">IF(OR($B79="",J79=""),0,IF(AND($E79="Trưởng tổ",J79="x"),SUMIFS(KT_TRUONG,KT_LOAI,"Tổ",KT_TO,$D79,KT_NGAY,5),SUMIFS(KT_PHAN,KT_LOAI,"Tổ",KT_TO,IF(J79="x",$D79,J79),KT_NGAY,5)))</f>
        <v>0</v>
      </c>
      <c r="AR79" s="31" t="n">
        <f aca="false">IF(OR($B79="",K79=""),0,IF(AND($E79="Trưởng tổ",K79="x"),SUMIFS(KT_TRUONG,KT_LOAI,"Tổ",KT_TO,$D79,KT_NGAY,6),SUMIFS(KT_PHAN,KT_LOAI,"Tổ",KT_TO,IF(K79="x",$D79,K79),KT_NGAY,6)))</f>
        <v>0</v>
      </c>
      <c r="AS79" s="31" t="n">
        <f aca="false">IF(OR($B79="",L79=""),0,IF(AND($E79="Trưởng tổ",L79="x"),SUMIFS(KT_TRUONG,KT_LOAI,"Tổ",KT_TO,$D79,KT_NGAY,7),SUMIFS(KT_PHAN,KT_LOAI,"Tổ",KT_TO,IF(L79="x",$D79,L79),KT_NGAY,7)))</f>
        <v>0</v>
      </c>
      <c r="AT79" s="31" t="n">
        <f aca="false">IF(OR($B79="",M79=""),0,IF(AND($E79="Trưởng tổ",M79="x"),SUMIFS(KT_TRUONG,KT_LOAI,"Tổ",KT_TO,$D79,KT_NGAY,8),SUMIFS(KT_PHAN,KT_LOAI,"Tổ",KT_TO,IF(M79="x",$D79,M79),KT_NGAY,8)))</f>
        <v>0</v>
      </c>
      <c r="AU79" s="31" t="n">
        <f aca="false">IF(OR($B79="",N79=""),0,IF(AND($E79="Trưởng tổ",N79="x"),SUMIFS(KT_TRUONG,KT_LOAI,"Tổ",KT_TO,$D79,KT_NGAY,9),SUMIFS(KT_PHAN,KT_LOAI,"Tổ",KT_TO,IF(N79="x",$D79,N79),KT_NGAY,9)))</f>
        <v>0</v>
      </c>
      <c r="AV79" s="31" t="n">
        <f aca="false">IF(OR($B79="",O79=""),0,IF(AND($E79="Trưởng tổ",O79="x"),SUMIFS(KT_TRUONG,KT_LOAI,"Tổ",KT_TO,$D79,KT_NGAY,10),SUMIFS(KT_PHAN,KT_LOAI,"Tổ",KT_TO,IF(O79="x",$D79,O79),KT_NGAY,10)))</f>
        <v>0</v>
      </c>
      <c r="AW79" s="31" t="n">
        <f aca="false">IF(OR($B79="",P79=""),0,IF(AND($E79="Trưởng tổ",P79="x"),SUMIFS(KT_TRUONG,KT_LOAI,"Tổ",KT_TO,$D79,KT_NGAY,11),SUMIFS(KT_PHAN,KT_LOAI,"Tổ",KT_TO,IF(P79="x",$D79,P79),KT_NGAY,11)))</f>
        <v>0</v>
      </c>
      <c r="AX79" s="31" t="n">
        <f aca="false">IF(OR($B79="",Q79=""),0,IF(AND($E79="Trưởng tổ",Q79="x"),SUMIFS(KT_TRUONG,KT_LOAI,"Tổ",KT_TO,$D79,KT_NGAY,12),SUMIFS(KT_PHAN,KT_LOAI,"Tổ",KT_TO,IF(Q79="x",$D79,Q79),KT_NGAY,12)))</f>
        <v>0</v>
      </c>
      <c r="AY79" s="31" t="n">
        <f aca="false">IF(OR($B79="",R79=""),0,IF(AND($E79="Trưởng tổ",R79="x"),SUMIFS(KT_TRUONG,KT_LOAI,"Tổ",KT_TO,$D79,KT_NGAY,13),SUMIFS(KT_PHAN,KT_LOAI,"Tổ",KT_TO,IF(R79="x",$D79,R79),KT_NGAY,13)))</f>
        <v>0</v>
      </c>
      <c r="AZ79" s="31" t="n">
        <f aca="false">IF(OR($B79="",S79=""),0,IF(AND($E79="Trưởng tổ",S79="x"),SUMIFS(KT_TRUONG,KT_LOAI,"Tổ",KT_TO,$D79,KT_NGAY,14),SUMIFS(KT_PHAN,KT_LOAI,"Tổ",KT_TO,IF(S79="x",$D79,S79),KT_NGAY,14)))</f>
        <v>0</v>
      </c>
      <c r="BA79" s="31" t="n">
        <f aca="false">IF(OR($B79="",T79=""),0,IF(AND($E79="Trưởng tổ",T79="x"),SUMIFS(KT_TRUONG,KT_LOAI,"Tổ",KT_TO,$D79,KT_NGAY,15),SUMIFS(KT_PHAN,KT_LOAI,"Tổ",KT_TO,IF(T79="x",$D79,T79),KT_NGAY,15)))</f>
        <v>0</v>
      </c>
      <c r="BB79" s="31" t="n">
        <f aca="false">IF(OR($B79="",U79=""),0,IF(AND($E79="Trưởng tổ",U79="x"),SUMIFS(KT_TRUONG,KT_LOAI,"Tổ",KT_TO,$D79,KT_NGAY,16),SUMIFS(KT_PHAN,KT_LOAI,"Tổ",KT_TO,IF(U79="x",$D79,U79),KT_NGAY,16)))</f>
        <v>0</v>
      </c>
      <c r="BC79" s="31" t="n">
        <f aca="false">IF(OR($B79="",V79=""),0,IF(AND($E79="Trưởng tổ",V79="x"),SUMIFS(KT_TRUONG,KT_LOAI,"Tổ",KT_TO,$D79,KT_NGAY,17),SUMIFS(KT_PHAN,KT_LOAI,"Tổ",KT_TO,IF(V79="x",$D79,V79),KT_NGAY,17)))</f>
        <v>0</v>
      </c>
      <c r="BD79" s="31" t="n">
        <f aca="false">IF(OR($B79="",W79=""),0,IF(AND($E79="Trưởng tổ",W79="x"),SUMIFS(KT_TRUONG,KT_LOAI,"Tổ",KT_TO,$D79,KT_NGAY,18),SUMIFS(KT_PHAN,KT_LOAI,"Tổ",KT_TO,IF(W79="x",$D79,W79),KT_NGAY,18)))</f>
        <v>0</v>
      </c>
      <c r="BE79" s="31" t="n">
        <f aca="false">IF(OR($B79="",X79=""),0,IF(AND($E79="Trưởng tổ",X79="x"),SUMIFS(KT_TRUONG,KT_LOAI,"Tổ",KT_TO,$D79,KT_NGAY,19),SUMIFS(KT_PHAN,KT_LOAI,"Tổ",KT_TO,IF(X79="x",$D79,X79),KT_NGAY,19)))</f>
        <v>0</v>
      </c>
      <c r="BF79" s="31" t="n">
        <f aca="false">IF(OR($B79="",Y79=""),0,IF(AND($E79="Trưởng tổ",Y79="x"),SUMIFS(KT_TRUONG,KT_LOAI,"Tổ",KT_TO,$D79,KT_NGAY,20),SUMIFS(KT_PHAN,KT_LOAI,"Tổ",KT_TO,IF(Y79="x",$D79,Y79),KT_NGAY,20)))</f>
        <v>0</v>
      </c>
      <c r="BG79" s="31" t="n">
        <f aca="false">IF(OR($B79="",Z79=""),0,IF(AND($E79="Trưởng tổ",Z79="x"),SUMIFS(KT_TRUONG,KT_LOAI,"Tổ",KT_TO,$D79,KT_NGAY,21),SUMIFS(KT_PHAN,KT_LOAI,"Tổ",KT_TO,IF(Z79="x",$D79,Z79),KT_NGAY,21)))</f>
        <v>0</v>
      </c>
      <c r="BH79" s="31" t="n">
        <f aca="false">IF(OR($B79="",AA79=""),0,IF(AND($E79="Trưởng tổ",AA79="x"),SUMIFS(KT_TRUONG,KT_LOAI,"Tổ",KT_TO,$D79,KT_NGAY,22),SUMIFS(KT_PHAN,KT_LOAI,"Tổ",KT_TO,IF(AA79="x",$D79,AA79),KT_NGAY,22)))</f>
        <v>0</v>
      </c>
      <c r="BI79" s="31" t="n">
        <f aca="false">IF(OR($B79="",AB79=""),0,IF(AND($E79="Trưởng tổ",AB79="x"),SUMIFS(KT_TRUONG,KT_LOAI,"Tổ",KT_TO,$D79,KT_NGAY,23),SUMIFS(KT_PHAN,KT_LOAI,"Tổ",KT_TO,IF(AB79="x",$D79,AB79),KT_NGAY,23)))</f>
        <v>0</v>
      </c>
      <c r="BJ79" s="31" t="n">
        <f aca="false">IF(OR($B79="",AC79=""),0,IF(AND($E79="Trưởng tổ",AC79="x"),SUMIFS(KT_TRUONG,KT_LOAI,"Tổ",KT_TO,$D79,KT_NGAY,24),SUMIFS(KT_PHAN,KT_LOAI,"Tổ",KT_TO,IF(AC79="x",$D79,AC79),KT_NGAY,24)))</f>
        <v>0</v>
      </c>
      <c r="BK79" s="31" t="n">
        <f aca="false">IF(OR($B79="",AD79=""),0,IF(AND($E79="Trưởng tổ",AD79="x"),SUMIFS(KT_TRUONG,KT_LOAI,"Tổ",KT_TO,$D79,KT_NGAY,25),SUMIFS(KT_PHAN,KT_LOAI,"Tổ",KT_TO,IF(AD79="x",$D79,AD79),KT_NGAY,25)))</f>
        <v>0</v>
      </c>
      <c r="BL79" s="31" t="n">
        <f aca="false">IF(OR($B79="",AE79=""),0,IF(AND($E79="Trưởng tổ",AE79="x"),SUMIFS(KT_TRUONG,KT_LOAI,"Tổ",KT_TO,$D79,KT_NGAY,26),SUMIFS(KT_PHAN,KT_LOAI,"Tổ",KT_TO,IF(AE79="x",$D79,AE79),KT_NGAY,26)))</f>
        <v>0</v>
      </c>
      <c r="BM79" s="31" t="n">
        <f aca="false">IF(OR($B79="",AF79=""),0,IF(AND($E79="Trưởng tổ",AF79="x"),SUMIFS(KT_TRUONG,KT_LOAI,"Tổ",KT_TO,$D79,KT_NGAY,27),SUMIFS(KT_PHAN,KT_LOAI,"Tổ",KT_TO,IF(AF79="x",$D79,AF79),KT_NGAY,27)))</f>
        <v>0</v>
      </c>
      <c r="BN79" s="31" t="n">
        <f aca="false">IF(OR($B79="",AG79=""),0,IF(AND($E79="Trưởng tổ",AG79="x"),SUMIFS(KT_TRUONG,KT_LOAI,"Tổ",KT_TO,$D79,KT_NGAY,28),SUMIFS(KT_PHAN,KT_LOAI,"Tổ",KT_TO,IF(AG79="x",$D79,AG79),KT_NGAY,28)))</f>
        <v>0</v>
      </c>
      <c r="BO79" s="31" t="n">
        <f aca="false">IF(OR($B79="",AH79=""),0,IF(AND($E79="Trưởng tổ",AH79="x"),SUMIFS(KT_TRUONG,KT_LOAI,"Tổ",KT_TO,$D79,KT_NGAY,29),SUMIFS(KT_PHAN,KT_LOAI,"Tổ",KT_TO,IF(AH79="x",$D79,AH79),KT_NGAY,29)))</f>
        <v>0</v>
      </c>
      <c r="BP79" s="31" t="n">
        <f aca="false">IF(OR($B79="",AI79=""),0,IF(AND($E79="Trưởng tổ",AI79="x"),SUMIFS(KT_TRUONG,KT_LOAI,"Tổ",KT_TO,$D79,KT_NGAY,30),SUMIFS(KT_PHAN,KT_LOAI,"Tổ",KT_TO,IF(AI79="x",$D79,AI79),KT_NGAY,30)))</f>
        <v>0</v>
      </c>
      <c r="BQ79" s="31" t="n">
        <f aca="false">IF(OR($B79="",AJ79=""),0,IF(AND($E79="Trưởng tổ",AJ79="x"),SUMIFS(KT_TRUONG,KT_LOAI,"Tổ",KT_TO,$D79,KT_NGAY,31),SUMIFS(KT_PHAN,KT_LOAI,"Tổ",KT_TO,IF(AJ79="x",$D79,AJ79),KT_NGAY,31)))</f>
        <v>0</v>
      </c>
    </row>
    <row r="80" customFormat="false" ht="15" hidden="false" customHeight="false" outlineLevel="0" collapsed="false">
      <c r="A80" s="17" t="str">
        <f aca="false">IF(B80="","",ROW()-5)</f>
        <v/>
      </c>
      <c r="B80" s="29" t="str">
        <f aca="false">IF(OR(BCC!B80="",BCC!D80&lt;&gt;"Thời vụ HAQT"),"",BCC!B80)</f>
        <v/>
      </c>
      <c r="C80" s="17" t="str">
        <f aca="false">IF(B80="","",BCC!C80)</f>
        <v/>
      </c>
      <c r="D80" s="17" t="str">
        <f aca="false">IF(B80="","",IFERROR(INDEX(NV_TO,MATCH(B80,NV_MA,0)),""))</f>
        <v/>
      </c>
      <c r="E80" s="17" t="str">
        <f aca="false">IF(B80="","",IFERROR(INDEX(NV_VT,MATCH(B80,NV_MA,0)),""))</f>
        <v/>
      </c>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17" t="str">
        <f aca="false">IF(B80="","",COUNTA(F80:AJ80))</f>
        <v/>
      </c>
      <c r="AL80" s="30" t="str">
        <f aca="false">IF(B80="","",SUM(AM80:BQ80))</f>
        <v/>
      </c>
      <c r="AM80" s="31" t="n">
        <f aca="false">IF(OR($B80="",F80=""),0,IF(AND($E80="Trưởng tổ",F80="x"),SUMIFS(KT_TRUONG,KT_LOAI,"Tổ",KT_TO,$D80,KT_NGAY,1),SUMIFS(KT_PHAN,KT_LOAI,"Tổ",KT_TO,IF(F80="x",$D80,F80),KT_NGAY,1)))</f>
        <v>0</v>
      </c>
      <c r="AN80" s="31" t="n">
        <f aca="false">IF(OR($B80="",G80=""),0,IF(AND($E80="Trưởng tổ",G80="x"),SUMIFS(KT_TRUONG,KT_LOAI,"Tổ",KT_TO,$D80,KT_NGAY,2),SUMIFS(KT_PHAN,KT_LOAI,"Tổ",KT_TO,IF(G80="x",$D80,G80),KT_NGAY,2)))</f>
        <v>0</v>
      </c>
      <c r="AO80" s="31" t="n">
        <f aca="false">IF(OR($B80="",H80=""),0,IF(AND($E80="Trưởng tổ",H80="x"),SUMIFS(KT_TRUONG,KT_LOAI,"Tổ",KT_TO,$D80,KT_NGAY,3),SUMIFS(KT_PHAN,KT_LOAI,"Tổ",KT_TO,IF(H80="x",$D80,H80),KT_NGAY,3)))</f>
        <v>0</v>
      </c>
      <c r="AP80" s="31" t="n">
        <f aca="false">IF(OR($B80="",I80=""),0,IF(AND($E80="Trưởng tổ",I80="x"),SUMIFS(KT_TRUONG,KT_LOAI,"Tổ",KT_TO,$D80,KT_NGAY,4),SUMIFS(KT_PHAN,KT_LOAI,"Tổ",KT_TO,IF(I80="x",$D80,I80),KT_NGAY,4)))</f>
        <v>0</v>
      </c>
      <c r="AQ80" s="31" t="n">
        <f aca="false">IF(OR($B80="",J80=""),0,IF(AND($E80="Trưởng tổ",J80="x"),SUMIFS(KT_TRUONG,KT_LOAI,"Tổ",KT_TO,$D80,KT_NGAY,5),SUMIFS(KT_PHAN,KT_LOAI,"Tổ",KT_TO,IF(J80="x",$D80,J80),KT_NGAY,5)))</f>
        <v>0</v>
      </c>
      <c r="AR80" s="31" t="n">
        <f aca="false">IF(OR($B80="",K80=""),0,IF(AND($E80="Trưởng tổ",K80="x"),SUMIFS(KT_TRUONG,KT_LOAI,"Tổ",KT_TO,$D80,KT_NGAY,6),SUMIFS(KT_PHAN,KT_LOAI,"Tổ",KT_TO,IF(K80="x",$D80,K80),KT_NGAY,6)))</f>
        <v>0</v>
      </c>
      <c r="AS80" s="31" t="n">
        <f aca="false">IF(OR($B80="",L80=""),0,IF(AND($E80="Trưởng tổ",L80="x"),SUMIFS(KT_TRUONG,KT_LOAI,"Tổ",KT_TO,$D80,KT_NGAY,7),SUMIFS(KT_PHAN,KT_LOAI,"Tổ",KT_TO,IF(L80="x",$D80,L80),KT_NGAY,7)))</f>
        <v>0</v>
      </c>
      <c r="AT80" s="31" t="n">
        <f aca="false">IF(OR($B80="",M80=""),0,IF(AND($E80="Trưởng tổ",M80="x"),SUMIFS(KT_TRUONG,KT_LOAI,"Tổ",KT_TO,$D80,KT_NGAY,8),SUMIFS(KT_PHAN,KT_LOAI,"Tổ",KT_TO,IF(M80="x",$D80,M80),KT_NGAY,8)))</f>
        <v>0</v>
      </c>
      <c r="AU80" s="31" t="n">
        <f aca="false">IF(OR($B80="",N80=""),0,IF(AND($E80="Trưởng tổ",N80="x"),SUMIFS(KT_TRUONG,KT_LOAI,"Tổ",KT_TO,$D80,KT_NGAY,9),SUMIFS(KT_PHAN,KT_LOAI,"Tổ",KT_TO,IF(N80="x",$D80,N80),KT_NGAY,9)))</f>
        <v>0</v>
      </c>
      <c r="AV80" s="31" t="n">
        <f aca="false">IF(OR($B80="",O80=""),0,IF(AND($E80="Trưởng tổ",O80="x"),SUMIFS(KT_TRUONG,KT_LOAI,"Tổ",KT_TO,$D80,KT_NGAY,10),SUMIFS(KT_PHAN,KT_LOAI,"Tổ",KT_TO,IF(O80="x",$D80,O80),KT_NGAY,10)))</f>
        <v>0</v>
      </c>
      <c r="AW80" s="31" t="n">
        <f aca="false">IF(OR($B80="",P80=""),0,IF(AND($E80="Trưởng tổ",P80="x"),SUMIFS(KT_TRUONG,KT_LOAI,"Tổ",KT_TO,$D80,KT_NGAY,11),SUMIFS(KT_PHAN,KT_LOAI,"Tổ",KT_TO,IF(P80="x",$D80,P80),KT_NGAY,11)))</f>
        <v>0</v>
      </c>
      <c r="AX80" s="31" t="n">
        <f aca="false">IF(OR($B80="",Q80=""),0,IF(AND($E80="Trưởng tổ",Q80="x"),SUMIFS(KT_TRUONG,KT_LOAI,"Tổ",KT_TO,$D80,KT_NGAY,12),SUMIFS(KT_PHAN,KT_LOAI,"Tổ",KT_TO,IF(Q80="x",$D80,Q80),KT_NGAY,12)))</f>
        <v>0</v>
      </c>
      <c r="AY80" s="31" t="n">
        <f aca="false">IF(OR($B80="",R80=""),0,IF(AND($E80="Trưởng tổ",R80="x"),SUMIFS(KT_TRUONG,KT_LOAI,"Tổ",KT_TO,$D80,KT_NGAY,13),SUMIFS(KT_PHAN,KT_LOAI,"Tổ",KT_TO,IF(R80="x",$D80,R80),KT_NGAY,13)))</f>
        <v>0</v>
      </c>
      <c r="AZ80" s="31" t="n">
        <f aca="false">IF(OR($B80="",S80=""),0,IF(AND($E80="Trưởng tổ",S80="x"),SUMIFS(KT_TRUONG,KT_LOAI,"Tổ",KT_TO,$D80,KT_NGAY,14),SUMIFS(KT_PHAN,KT_LOAI,"Tổ",KT_TO,IF(S80="x",$D80,S80),KT_NGAY,14)))</f>
        <v>0</v>
      </c>
      <c r="BA80" s="31" t="n">
        <f aca="false">IF(OR($B80="",T80=""),0,IF(AND($E80="Trưởng tổ",T80="x"),SUMIFS(KT_TRUONG,KT_LOAI,"Tổ",KT_TO,$D80,KT_NGAY,15),SUMIFS(KT_PHAN,KT_LOAI,"Tổ",KT_TO,IF(T80="x",$D80,T80),KT_NGAY,15)))</f>
        <v>0</v>
      </c>
      <c r="BB80" s="31" t="n">
        <f aca="false">IF(OR($B80="",U80=""),0,IF(AND($E80="Trưởng tổ",U80="x"),SUMIFS(KT_TRUONG,KT_LOAI,"Tổ",KT_TO,$D80,KT_NGAY,16),SUMIFS(KT_PHAN,KT_LOAI,"Tổ",KT_TO,IF(U80="x",$D80,U80),KT_NGAY,16)))</f>
        <v>0</v>
      </c>
      <c r="BC80" s="31" t="n">
        <f aca="false">IF(OR($B80="",V80=""),0,IF(AND($E80="Trưởng tổ",V80="x"),SUMIFS(KT_TRUONG,KT_LOAI,"Tổ",KT_TO,$D80,KT_NGAY,17),SUMIFS(KT_PHAN,KT_LOAI,"Tổ",KT_TO,IF(V80="x",$D80,V80),KT_NGAY,17)))</f>
        <v>0</v>
      </c>
      <c r="BD80" s="31" t="n">
        <f aca="false">IF(OR($B80="",W80=""),0,IF(AND($E80="Trưởng tổ",W80="x"),SUMIFS(KT_TRUONG,KT_LOAI,"Tổ",KT_TO,$D80,KT_NGAY,18),SUMIFS(KT_PHAN,KT_LOAI,"Tổ",KT_TO,IF(W80="x",$D80,W80),KT_NGAY,18)))</f>
        <v>0</v>
      </c>
      <c r="BE80" s="31" t="n">
        <f aca="false">IF(OR($B80="",X80=""),0,IF(AND($E80="Trưởng tổ",X80="x"),SUMIFS(KT_TRUONG,KT_LOAI,"Tổ",KT_TO,$D80,KT_NGAY,19),SUMIFS(KT_PHAN,KT_LOAI,"Tổ",KT_TO,IF(X80="x",$D80,X80),KT_NGAY,19)))</f>
        <v>0</v>
      </c>
      <c r="BF80" s="31" t="n">
        <f aca="false">IF(OR($B80="",Y80=""),0,IF(AND($E80="Trưởng tổ",Y80="x"),SUMIFS(KT_TRUONG,KT_LOAI,"Tổ",KT_TO,$D80,KT_NGAY,20),SUMIFS(KT_PHAN,KT_LOAI,"Tổ",KT_TO,IF(Y80="x",$D80,Y80),KT_NGAY,20)))</f>
        <v>0</v>
      </c>
      <c r="BG80" s="31" t="n">
        <f aca="false">IF(OR($B80="",Z80=""),0,IF(AND($E80="Trưởng tổ",Z80="x"),SUMIFS(KT_TRUONG,KT_LOAI,"Tổ",KT_TO,$D80,KT_NGAY,21),SUMIFS(KT_PHAN,KT_LOAI,"Tổ",KT_TO,IF(Z80="x",$D80,Z80),KT_NGAY,21)))</f>
        <v>0</v>
      </c>
      <c r="BH80" s="31" t="n">
        <f aca="false">IF(OR($B80="",AA80=""),0,IF(AND($E80="Trưởng tổ",AA80="x"),SUMIFS(KT_TRUONG,KT_LOAI,"Tổ",KT_TO,$D80,KT_NGAY,22),SUMIFS(KT_PHAN,KT_LOAI,"Tổ",KT_TO,IF(AA80="x",$D80,AA80),KT_NGAY,22)))</f>
        <v>0</v>
      </c>
      <c r="BI80" s="31" t="n">
        <f aca="false">IF(OR($B80="",AB80=""),0,IF(AND($E80="Trưởng tổ",AB80="x"),SUMIFS(KT_TRUONG,KT_LOAI,"Tổ",KT_TO,$D80,KT_NGAY,23),SUMIFS(KT_PHAN,KT_LOAI,"Tổ",KT_TO,IF(AB80="x",$D80,AB80),KT_NGAY,23)))</f>
        <v>0</v>
      </c>
      <c r="BJ80" s="31" t="n">
        <f aca="false">IF(OR($B80="",AC80=""),0,IF(AND($E80="Trưởng tổ",AC80="x"),SUMIFS(KT_TRUONG,KT_LOAI,"Tổ",KT_TO,$D80,KT_NGAY,24),SUMIFS(KT_PHAN,KT_LOAI,"Tổ",KT_TO,IF(AC80="x",$D80,AC80),KT_NGAY,24)))</f>
        <v>0</v>
      </c>
      <c r="BK80" s="31" t="n">
        <f aca="false">IF(OR($B80="",AD80=""),0,IF(AND($E80="Trưởng tổ",AD80="x"),SUMIFS(KT_TRUONG,KT_LOAI,"Tổ",KT_TO,$D80,KT_NGAY,25),SUMIFS(KT_PHAN,KT_LOAI,"Tổ",KT_TO,IF(AD80="x",$D80,AD80),KT_NGAY,25)))</f>
        <v>0</v>
      </c>
      <c r="BL80" s="31" t="n">
        <f aca="false">IF(OR($B80="",AE80=""),0,IF(AND($E80="Trưởng tổ",AE80="x"),SUMIFS(KT_TRUONG,KT_LOAI,"Tổ",KT_TO,$D80,KT_NGAY,26),SUMIFS(KT_PHAN,KT_LOAI,"Tổ",KT_TO,IF(AE80="x",$D80,AE80),KT_NGAY,26)))</f>
        <v>0</v>
      </c>
      <c r="BM80" s="31" t="n">
        <f aca="false">IF(OR($B80="",AF80=""),0,IF(AND($E80="Trưởng tổ",AF80="x"),SUMIFS(KT_TRUONG,KT_LOAI,"Tổ",KT_TO,$D80,KT_NGAY,27),SUMIFS(KT_PHAN,KT_LOAI,"Tổ",KT_TO,IF(AF80="x",$D80,AF80),KT_NGAY,27)))</f>
        <v>0</v>
      </c>
      <c r="BN80" s="31" t="n">
        <f aca="false">IF(OR($B80="",AG80=""),0,IF(AND($E80="Trưởng tổ",AG80="x"),SUMIFS(KT_TRUONG,KT_LOAI,"Tổ",KT_TO,$D80,KT_NGAY,28),SUMIFS(KT_PHAN,KT_LOAI,"Tổ",KT_TO,IF(AG80="x",$D80,AG80),KT_NGAY,28)))</f>
        <v>0</v>
      </c>
      <c r="BO80" s="31" t="n">
        <f aca="false">IF(OR($B80="",AH80=""),0,IF(AND($E80="Trưởng tổ",AH80="x"),SUMIFS(KT_TRUONG,KT_LOAI,"Tổ",KT_TO,$D80,KT_NGAY,29),SUMIFS(KT_PHAN,KT_LOAI,"Tổ",KT_TO,IF(AH80="x",$D80,AH80),KT_NGAY,29)))</f>
        <v>0</v>
      </c>
      <c r="BP80" s="31" t="n">
        <f aca="false">IF(OR($B80="",AI80=""),0,IF(AND($E80="Trưởng tổ",AI80="x"),SUMIFS(KT_TRUONG,KT_LOAI,"Tổ",KT_TO,$D80,KT_NGAY,30),SUMIFS(KT_PHAN,KT_LOAI,"Tổ",KT_TO,IF(AI80="x",$D80,AI80),KT_NGAY,30)))</f>
        <v>0</v>
      </c>
      <c r="BQ80" s="31" t="n">
        <f aca="false">IF(OR($B80="",AJ80=""),0,IF(AND($E80="Trưởng tổ",AJ80="x"),SUMIFS(KT_TRUONG,KT_LOAI,"Tổ",KT_TO,$D80,KT_NGAY,31),SUMIFS(KT_PHAN,KT_LOAI,"Tổ",KT_TO,IF(AJ80="x",$D80,AJ80),KT_NGAY,31)))</f>
        <v>0</v>
      </c>
    </row>
    <row r="81" customFormat="false" ht="15" hidden="false" customHeight="false" outlineLevel="0" collapsed="false">
      <c r="A81" s="17" t="str">
        <f aca="false">IF(B81="","",ROW()-5)</f>
        <v/>
      </c>
      <c r="B81" s="29" t="str">
        <f aca="false">IF(OR(BCC!B81="",BCC!D81&lt;&gt;"Thời vụ HAQT"),"",BCC!B81)</f>
        <v/>
      </c>
      <c r="C81" s="17" t="str">
        <f aca="false">IF(B81="","",BCC!C81)</f>
        <v/>
      </c>
      <c r="D81" s="17" t="str">
        <f aca="false">IF(B81="","",IFERROR(INDEX(NV_TO,MATCH(B81,NV_MA,0)),""))</f>
        <v/>
      </c>
      <c r="E81" s="17" t="str">
        <f aca="false">IF(B81="","",IFERROR(INDEX(NV_VT,MATCH(B81,NV_MA,0)),""))</f>
        <v/>
      </c>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17" t="str">
        <f aca="false">IF(B81="","",COUNTA(F81:AJ81))</f>
        <v/>
      </c>
      <c r="AL81" s="30" t="str">
        <f aca="false">IF(B81="","",SUM(AM81:BQ81))</f>
        <v/>
      </c>
      <c r="AM81" s="31" t="n">
        <f aca="false">IF(OR($B81="",F81=""),0,IF(AND($E81="Trưởng tổ",F81="x"),SUMIFS(KT_TRUONG,KT_LOAI,"Tổ",KT_TO,$D81,KT_NGAY,1),SUMIFS(KT_PHAN,KT_LOAI,"Tổ",KT_TO,IF(F81="x",$D81,F81),KT_NGAY,1)))</f>
        <v>0</v>
      </c>
      <c r="AN81" s="31" t="n">
        <f aca="false">IF(OR($B81="",G81=""),0,IF(AND($E81="Trưởng tổ",G81="x"),SUMIFS(KT_TRUONG,KT_LOAI,"Tổ",KT_TO,$D81,KT_NGAY,2),SUMIFS(KT_PHAN,KT_LOAI,"Tổ",KT_TO,IF(G81="x",$D81,G81),KT_NGAY,2)))</f>
        <v>0</v>
      </c>
      <c r="AO81" s="31" t="n">
        <f aca="false">IF(OR($B81="",H81=""),0,IF(AND($E81="Trưởng tổ",H81="x"),SUMIFS(KT_TRUONG,KT_LOAI,"Tổ",KT_TO,$D81,KT_NGAY,3),SUMIFS(KT_PHAN,KT_LOAI,"Tổ",KT_TO,IF(H81="x",$D81,H81),KT_NGAY,3)))</f>
        <v>0</v>
      </c>
      <c r="AP81" s="31" t="n">
        <f aca="false">IF(OR($B81="",I81=""),0,IF(AND($E81="Trưởng tổ",I81="x"),SUMIFS(KT_TRUONG,KT_LOAI,"Tổ",KT_TO,$D81,KT_NGAY,4),SUMIFS(KT_PHAN,KT_LOAI,"Tổ",KT_TO,IF(I81="x",$D81,I81),KT_NGAY,4)))</f>
        <v>0</v>
      </c>
      <c r="AQ81" s="31" t="n">
        <f aca="false">IF(OR($B81="",J81=""),0,IF(AND($E81="Trưởng tổ",J81="x"),SUMIFS(KT_TRUONG,KT_LOAI,"Tổ",KT_TO,$D81,KT_NGAY,5),SUMIFS(KT_PHAN,KT_LOAI,"Tổ",KT_TO,IF(J81="x",$D81,J81),KT_NGAY,5)))</f>
        <v>0</v>
      </c>
      <c r="AR81" s="31" t="n">
        <f aca="false">IF(OR($B81="",K81=""),0,IF(AND($E81="Trưởng tổ",K81="x"),SUMIFS(KT_TRUONG,KT_LOAI,"Tổ",KT_TO,$D81,KT_NGAY,6),SUMIFS(KT_PHAN,KT_LOAI,"Tổ",KT_TO,IF(K81="x",$D81,K81),KT_NGAY,6)))</f>
        <v>0</v>
      </c>
      <c r="AS81" s="31" t="n">
        <f aca="false">IF(OR($B81="",L81=""),0,IF(AND($E81="Trưởng tổ",L81="x"),SUMIFS(KT_TRUONG,KT_LOAI,"Tổ",KT_TO,$D81,KT_NGAY,7),SUMIFS(KT_PHAN,KT_LOAI,"Tổ",KT_TO,IF(L81="x",$D81,L81),KT_NGAY,7)))</f>
        <v>0</v>
      </c>
      <c r="AT81" s="31" t="n">
        <f aca="false">IF(OR($B81="",M81=""),0,IF(AND($E81="Trưởng tổ",M81="x"),SUMIFS(KT_TRUONG,KT_LOAI,"Tổ",KT_TO,$D81,KT_NGAY,8),SUMIFS(KT_PHAN,KT_LOAI,"Tổ",KT_TO,IF(M81="x",$D81,M81),KT_NGAY,8)))</f>
        <v>0</v>
      </c>
      <c r="AU81" s="31" t="n">
        <f aca="false">IF(OR($B81="",N81=""),0,IF(AND($E81="Trưởng tổ",N81="x"),SUMIFS(KT_TRUONG,KT_LOAI,"Tổ",KT_TO,$D81,KT_NGAY,9),SUMIFS(KT_PHAN,KT_LOAI,"Tổ",KT_TO,IF(N81="x",$D81,N81),KT_NGAY,9)))</f>
        <v>0</v>
      </c>
      <c r="AV81" s="31" t="n">
        <f aca="false">IF(OR($B81="",O81=""),0,IF(AND($E81="Trưởng tổ",O81="x"),SUMIFS(KT_TRUONG,KT_LOAI,"Tổ",KT_TO,$D81,KT_NGAY,10),SUMIFS(KT_PHAN,KT_LOAI,"Tổ",KT_TO,IF(O81="x",$D81,O81),KT_NGAY,10)))</f>
        <v>0</v>
      </c>
      <c r="AW81" s="31" t="n">
        <f aca="false">IF(OR($B81="",P81=""),0,IF(AND($E81="Trưởng tổ",P81="x"),SUMIFS(KT_TRUONG,KT_LOAI,"Tổ",KT_TO,$D81,KT_NGAY,11),SUMIFS(KT_PHAN,KT_LOAI,"Tổ",KT_TO,IF(P81="x",$D81,P81),KT_NGAY,11)))</f>
        <v>0</v>
      </c>
      <c r="AX81" s="31" t="n">
        <f aca="false">IF(OR($B81="",Q81=""),0,IF(AND($E81="Trưởng tổ",Q81="x"),SUMIFS(KT_TRUONG,KT_LOAI,"Tổ",KT_TO,$D81,KT_NGAY,12),SUMIFS(KT_PHAN,KT_LOAI,"Tổ",KT_TO,IF(Q81="x",$D81,Q81),KT_NGAY,12)))</f>
        <v>0</v>
      </c>
      <c r="AY81" s="31" t="n">
        <f aca="false">IF(OR($B81="",R81=""),0,IF(AND($E81="Trưởng tổ",R81="x"),SUMIFS(KT_TRUONG,KT_LOAI,"Tổ",KT_TO,$D81,KT_NGAY,13),SUMIFS(KT_PHAN,KT_LOAI,"Tổ",KT_TO,IF(R81="x",$D81,R81),KT_NGAY,13)))</f>
        <v>0</v>
      </c>
      <c r="AZ81" s="31" t="n">
        <f aca="false">IF(OR($B81="",S81=""),0,IF(AND($E81="Trưởng tổ",S81="x"),SUMIFS(KT_TRUONG,KT_LOAI,"Tổ",KT_TO,$D81,KT_NGAY,14),SUMIFS(KT_PHAN,KT_LOAI,"Tổ",KT_TO,IF(S81="x",$D81,S81),KT_NGAY,14)))</f>
        <v>0</v>
      </c>
      <c r="BA81" s="31" t="n">
        <f aca="false">IF(OR($B81="",T81=""),0,IF(AND($E81="Trưởng tổ",T81="x"),SUMIFS(KT_TRUONG,KT_LOAI,"Tổ",KT_TO,$D81,KT_NGAY,15),SUMIFS(KT_PHAN,KT_LOAI,"Tổ",KT_TO,IF(T81="x",$D81,T81),KT_NGAY,15)))</f>
        <v>0</v>
      </c>
      <c r="BB81" s="31" t="n">
        <f aca="false">IF(OR($B81="",U81=""),0,IF(AND($E81="Trưởng tổ",U81="x"),SUMIFS(KT_TRUONG,KT_LOAI,"Tổ",KT_TO,$D81,KT_NGAY,16),SUMIFS(KT_PHAN,KT_LOAI,"Tổ",KT_TO,IF(U81="x",$D81,U81),KT_NGAY,16)))</f>
        <v>0</v>
      </c>
      <c r="BC81" s="31" t="n">
        <f aca="false">IF(OR($B81="",V81=""),0,IF(AND($E81="Trưởng tổ",V81="x"),SUMIFS(KT_TRUONG,KT_LOAI,"Tổ",KT_TO,$D81,KT_NGAY,17),SUMIFS(KT_PHAN,KT_LOAI,"Tổ",KT_TO,IF(V81="x",$D81,V81),KT_NGAY,17)))</f>
        <v>0</v>
      </c>
      <c r="BD81" s="31" t="n">
        <f aca="false">IF(OR($B81="",W81=""),0,IF(AND($E81="Trưởng tổ",W81="x"),SUMIFS(KT_TRUONG,KT_LOAI,"Tổ",KT_TO,$D81,KT_NGAY,18),SUMIFS(KT_PHAN,KT_LOAI,"Tổ",KT_TO,IF(W81="x",$D81,W81),KT_NGAY,18)))</f>
        <v>0</v>
      </c>
      <c r="BE81" s="31" t="n">
        <f aca="false">IF(OR($B81="",X81=""),0,IF(AND($E81="Trưởng tổ",X81="x"),SUMIFS(KT_TRUONG,KT_LOAI,"Tổ",KT_TO,$D81,KT_NGAY,19),SUMIFS(KT_PHAN,KT_LOAI,"Tổ",KT_TO,IF(X81="x",$D81,X81),KT_NGAY,19)))</f>
        <v>0</v>
      </c>
      <c r="BF81" s="31" t="n">
        <f aca="false">IF(OR($B81="",Y81=""),0,IF(AND($E81="Trưởng tổ",Y81="x"),SUMIFS(KT_TRUONG,KT_LOAI,"Tổ",KT_TO,$D81,KT_NGAY,20),SUMIFS(KT_PHAN,KT_LOAI,"Tổ",KT_TO,IF(Y81="x",$D81,Y81),KT_NGAY,20)))</f>
        <v>0</v>
      </c>
      <c r="BG81" s="31" t="n">
        <f aca="false">IF(OR($B81="",Z81=""),0,IF(AND($E81="Trưởng tổ",Z81="x"),SUMIFS(KT_TRUONG,KT_LOAI,"Tổ",KT_TO,$D81,KT_NGAY,21),SUMIFS(KT_PHAN,KT_LOAI,"Tổ",KT_TO,IF(Z81="x",$D81,Z81),KT_NGAY,21)))</f>
        <v>0</v>
      </c>
      <c r="BH81" s="31" t="n">
        <f aca="false">IF(OR($B81="",AA81=""),0,IF(AND($E81="Trưởng tổ",AA81="x"),SUMIFS(KT_TRUONG,KT_LOAI,"Tổ",KT_TO,$D81,KT_NGAY,22),SUMIFS(KT_PHAN,KT_LOAI,"Tổ",KT_TO,IF(AA81="x",$D81,AA81),KT_NGAY,22)))</f>
        <v>0</v>
      </c>
      <c r="BI81" s="31" t="n">
        <f aca="false">IF(OR($B81="",AB81=""),0,IF(AND($E81="Trưởng tổ",AB81="x"),SUMIFS(KT_TRUONG,KT_LOAI,"Tổ",KT_TO,$D81,KT_NGAY,23),SUMIFS(KT_PHAN,KT_LOAI,"Tổ",KT_TO,IF(AB81="x",$D81,AB81),KT_NGAY,23)))</f>
        <v>0</v>
      </c>
      <c r="BJ81" s="31" t="n">
        <f aca="false">IF(OR($B81="",AC81=""),0,IF(AND($E81="Trưởng tổ",AC81="x"),SUMIFS(KT_TRUONG,KT_LOAI,"Tổ",KT_TO,$D81,KT_NGAY,24),SUMIFS(KT_PHAN,KT_LOAI,"Tổ",KT_TO,IF(AC81="x",$D81,AC81),KT_NGAY,24)))</f>
        <v>0</v>
      </c>
      <c r="BK81" s="31" t="n">
        <f aca="false">IF(OR($B81="",AD81=""),0,IF(AND($E81="Trưởng tổ",AD81="x"),SUMIFS(KT_TRUONG,KT_LOAI,"Tổ",KT_TO,$D81,KT_NGAY,25),SUMIFS(KT_PHAN,KT_LOAI,"Tổ",KT_TO,IF(AD81="x",$D81,AD81),KT_NGAY,25)))</f>
        <v>0</v>
      </c>
      <c r="BL81" s="31" t="n">
        <f aca="false">IF(OR($B81="",AE81=""),0,IF(AND($E81="Trưởng tổ",AE81="x"),SUMIFS(KT_TRUONG,KT_LOAI,"Tổ",KT_TO,$D81,KT_NGAY,26),SUMIFS(KT_PHAN,KT_LOAI,"Tổ",KT_TO,IF(AE81="x",$D81,AE81),KT_NGAY,26)))</f>
        <v>0</v>
      </c>
      <c r="BM81" s="31" t="n">
        <f aca="false">IF(OR($B81="",AF81=""),0,IF(AND($E81="Trưởng tổ",AF81="x"),SUMIFS(KT_TRUONG,KT_LOAI,"Tổ",KT_TO,$D81,KT_NGAY,27),SUMIFS(KT_PHAN,KT_LOAI,"Tổ",KT_TO,IF(AF81="x",$D81,AF81),KT_NGAY,27)))</f>
        <v>0</v>
      </c>
      <c r="BN81" s="31" t="n">
        <f aca="false">IF(OR($B81="",AG81=""),0,IF(AND($E81="Trưởng tổ",AG81="x"),SUMIFS(KT_TRUONG,KT_LOAI,"Tổ",KT_TO,$D81,KT_NGAY,28),SUMIFS(KT_PHAN,KT_LOAI,"Tổ",KT_TO,IF(AG81="x",$D81,AG81),KT_NGAY,28)))</f>
        <v>0</v>
      </c>
      <c r="BO81" s="31" t="n">
        <f aca="false">IF(OR($B81="",AH81=""),0,IF(AND($E81="Trưởng tổ",AH81="x"),SUMIFS(KT_TRUONG,KT_LOAI,"Tổ",KT_TO,$D81,KT_NGAY,29),SUMIFS(KT_PHAN,KT_LOAI,"Tổ",KT_TO,IF(AH81="x",$D81,AH81),KT_NGAY,29)))</f>
        <v>0</v>
      </c>
      <c r="BP81" s="31" t="n">
        <f aca="false">IF(OR($B81="",AI81=""),0,IF(AND($E81="Trưởng tổ",AI81="x"),SUMIFS(KT_TRUONG,KT_LOAI,"Tổ",KT_TO,$D81,KT_NGAY,30),SUMIFS(KT_PHAN,KT_LOAI,"Tổ",KT_TO,IF(AI81="x",$D81,AI81),KT_NGAY,30)))</f>
        <v>0</v>
      </c>
      <c r="BQ81" s="31" t="n">
        <f aca="false">IF(OR($B81="",AJ81=""),0,IF(AND($E81="Trưởng tổ",AJ81="x"),SUMIFS(KT_TRUONG,KT_LOAI,"Tổ",KT_TO,$D81,KT_NGAY,31),SUMIFS(KT_PHAN,KT_LOAI,"Tổ",KT_TO,IF(AJ81="x",$D81,AJ81),KT_NGAY,31)))</f>
        <v>0</v>
      </c>
    </row>
    <row r="82" customFormat="false" ht="15" hidden="false" customHeight="false" outlineLevel="0" collapsed="false">
      <c r="A82" s="17" t="str">
        <f aca="false">IF(B82="","",ROW()-5)</f>
        <v/>
      </c>
      <c r="B82" s="29" t="str">
        <f aca="false">IF(OR(BCC!B82="",BCC!D82&lt;&gt;"Thời vụ HAQT"),"",BCC!B82)</f>
        <v/>
      </c>
      <c r="C82" s="17" t="str">
        <f aca="false">IF(B82="","",BCC!C82)</f>
        <v/>
      </c>
      <c r="D82" s="17" t="str">
        <f aca="false">IF(B82="","",IFERROR(INDEX(NV_TO,MATCH(B82,NV_MA,0)),""))</f>
        <v/>
      </c>
      <c r="E82" s="17" t="str">
        <f aca="false">IF(B82="","",IFERROR(INDEX(NV_VT,MATCH(B82,NV_MA,0)),""))</f>
        <v/>
      </c>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17" t="str">
        <f aca="false">IF(B82="","",COUNTA(F82:AJ82))</f>
        <v/>
      </c>
      <c r="AL82" s="30" t="str">
        <f aca="false">IF(B82="","",SUM(AM82:BQ82))</f>
        <v/>
      </c>
      <c r="AM82" s="31" t="n">
        <f aca="false">IF(OR($B82="",F82=""),0,IF(AND($E82="Trưởng tổ",F82="x"),SUMIFS(KT_TRUONG,KT_LOAI,"Tổ",KT_TO,$D82,KT_NGAY,1),SUMIFS(KT_PHAN,KT_LOAI,"Tổ",KT_TO,IF(F82="x",$D82,F82),KT_NGAY,1)))</f>
        <v>0</v>
      </c>
      <c r="AN82" s="31" t="n">
        <f aca="false">IF(OR($B82="",G82=""),0,IF(AND($E82="Trưởng tổ",G82="x"),SUMIFS(KT_TRUONG,KT_LOAI,"Tổ",KT_TO,$D82,KT_NGAY,2),SUMIFS(KT_PHAN,KT_LOAI,"Tổ",KT_TO,IF(G82="x",$D82,G82),KT_NGAY,2)))</f>
        <v>0</v>
      </c>
      <c r="AO82" s="31" t="n">
        <f aca="false">IF(OR($B82="",H82=""),0,IF(AND($E82="Trưởng tổ",H82="x"),SUMIFS(KT_TRUONG,KT_LOAI,"Tổ",KT_TO,$D82,KT_NGAY,3),SUMIFS(KT_PHAN,KT_LOAI,"Tổ",KT_TO,IF(H82="x",$D82,H82),KT_NGAY,3)))</f>
        <v>0</v>
      </c>
      <c r="AP82" s="31" t="n">
        <f aca="false">IF(OR($B82="",I82=""),0,IF(AND($E82="Trưởng tổ",I82="x"),SUMIFS(KT_TRUONG,KT_LOAI,"Tổ",KT_TO,$D82,KT_NGAY,4),SUMIFS(KT_PHAN,KT_LOAI,"Tổ",KT_TO,IF(I82="x",$D82,I82),KT_NGAY,4)))</f>
        <v>0</v>
      </c>
      <c r="AQ82" s="31" t="n">
        <f aca="false">IF(OR($B82="",J82=""),0,IF(AND($E82="Trưởng tổ",J82="x"),SUMIFS(KT_TRUONG,KT_LOAI,"Tổ",KT_TO,$D82,KT_NGAY,5),SUMIFS(KT_PHAN,KT_LOAI,"Tổ",KT_TO,IF(J82="x",$D82,J82),KT_NGAY,5)))</f>
        <v>0</v>
      </c>
      <c r="AR82" s="31" t="n">
        <f aca="false">IF(OR($B82="",K82=""),0,IF(AND($E82="Trưởng tổ",K82="x"),SUMIFS(KT_TRUONG,KT_LOAI,"Tổ",KT_TO,$D82,KT_NGAY,6),SUMIFS(KT_PHAN,KT_LOAI,"Tổ",KT_TO,IF(K82="x",$D82,K82),KT_NGAY,6)))</f>
        <v>0</v>
      </c>
      <c r="AS82" s="31" t="n">
        <f aca="false">IF(OR($B82="",L82=""),0,IF(AND($E82="Trưởng tổ",L82="x"),SUMIFS(KT_TRUONG,KT_LOAI,"Tổ",KT_TO,$D82,KT_NGAY,7),SUMIFS(KT_PHAN,KT_LOAI,"Tổ",KT_TO,IF(L82="x",$D82,L82),KT_NGAY,7)))</f>
        <v>0</v>
      </c>
      <c r="AT82" s="31" t="n">
        <f aca="false">IF(OR($B82="",M82=""),0,IF(AND($E82="Trưởng tổ",M82="x"),SUMIFS(KT_TRUONG,KT_LOAI,"Tổ",KT_TO,$D82,KT_NGAY,8),SUMIFS(KT_PHAN,KT_LOAI,"Tổ",KT_TO,IF(M82="x",$D82,M82),KT_NGAY,8)))</f>
        <v>0</v>
      </c>
      <c r="AU82" s="31" t="n">
        <f aca="false">IF(OR($B82="",N82=""),0,IF(AND($E82="Trưởng tổ",N82="x"),SUMIFS(KT_TRUONG,KT_LOAI,"Tổ",KT_TO,$D82,KT_NGAY,9),SUMIFS(KT_PHAN,KT_LOAI,"Tổ",KT_TO,IF(N82="x",$D82,N82),KT_NGAY,9)))</f>
        <v>0</v>
      </c>
      <c r="AV82" s="31" t="n">
        <f aca="false">IF(OR($B82="",O82=""),0,IF(AND($E82="Trưởng tổ",O82="x"),SUMIFS(KT_TRUONG,KT_LOAI,"Tổ",KT_TO,$D82,KT_NGAY,10),SUMIFS(KT_PHAN,KT_LOAI,"Tổ",KT_TO,IF(O82="x",$D82,O82),KT_NGAY,10)))</f>
        <v>0</v>
      </c>
      <c r="AW82" s="31" t="n">
        <f aca="false">IF(OR($B82="",P82=""),0,IF(AND($E82="Trưởng tổ",P82="x"),SUMIFS(KT_TRUONG,KT_LOAI,"Tổ",KT_TO,$D82,KT_NGAY,11),SUMIFS(KT_PHAN,KT_LOAI,"Tổ",KT_TO,IF(P82="x",$D82,P82),KT_NGAY,11)))</f>
        <v>0</v>
      </c>
      <c r="AX82" s="31" t="n">
        <f aca="false">IF(OR($B82="",Q82=""),0,IF(AND($E82="Trưởng tổ",Q82="x"),SUMIFS(KT_TRUONG,KT_LOAI,"Tổ",KT_TO,$D82,KT_NGAY,12),SUMIFS(KT_PHAN,KT_LOAI,"Tổ",KT_TO,IF(Q82="x",$D82,Q82),KT_NGAY,12)))</f>
        <v>0</v>
      </c>
      <c r="AY82" s="31" t="n">
        <f aca="false">IF(OR($B82="",R82=""),0,IF(AND($E82="Trưởng tổ",R82="x"),SUMIFS(KT_TRUONG,KT_LOAI,"Tổ",KT_TO,$D82,KT_NGAY,13),SUMIFS(KT_PHAN,KT_LOAI,"Tổ",KT_TO,IF(R82="x",$D82,R82),KT_NGAY,13)))</f>
        <v>0</v>
      </c>
      <c r="AZ82" s="31" t="n">
        <f aca="false">IF(OR($B82="",S82=""),0,IF(AND($E82="Trưởng tổ",S82="x"),SUMIFS(KT_TRUONG,KT_LOAI,"Tổ",KT_TO,$D82,KT_NGAY,14),SUMIFS(KT_PHAN,KT_LOAI,"Tổ",KT_TO,IF(S82="x",$D82,S82),KT_NGAY,14)))</f>
        <v>0</v>
      </c>
      <c r="BA82" s="31" t="n">
        <f aca="false">IF(OR($B82="",T82=""),0,IF(AND($E82="Trưởng tổ",T82="x"),SUMIFS(KT_TRUONG,KT_LOAI,"Tổ",KT_TO,$D82,KT_NGAY,15),SUMIFS(KT_PHAN,KT_LOAI,"Tổ",KT_TO,IF(T82="x",$D82,T82),KT_NGAY,15)))</f>
        <v>0</v>
      </c>
      <c r="BB82" s="31" t="n">
        <f aca="false">IF(OR($B82="",U82=""),0,IF(AND($E82="Trưởng tổ",U82="x"),SUMIFS(KT_TRUONG,KT_LOAI,"Tổ",KT_TO,$D82,KT_NGAY,16),SUMIFS(KT_PHAN,KT_LOAI,"Tổ",KT_TO,IF(U82="x",$D82,U82),KT_NGAY,16)))</f>
        <v>0</v>
      </c>
      <c r="BC82" s="31" t="n">
        <f aca="false">IF(OR($B82="",V82=""),0,IF(AND($E82="Trưởng tổ",V82="x"),SUMIFS(KT_TRUONG,KT_LOAI,"Tổ",KT_TO,$D82,KT_NGAY,17),SUMIFS(KT_PHAN,KT_LOAI,"Tổ",KT_TO,IF(V82="x",$D82,V82),KT_NGAY,17)))</f>
        <v>0</v>
      </c>
      <c r="BD82" s="31" t="n">
        <f aca="false">IF(OR($B82="",W82=""),0,IF(AND($E82="Trưởng tổ",W82="x"),SUMIFS(KT_TRUONG,KT_LOAI,"Tổ",KT_TO,$D82,KT_NGAY,18),SUMIFS(KT_PHAN,KT_LOAI,"Tổ",KT_TO,IF(W82="x",$D82,W82),KT_NGAY,18)))</f>
        <v>0</v>
      </c>
      <c r="BE82" s="31" t="n">
        <f aca="false">IF(OR($B82="",X82=""),0,IF(AND($E82="Trưởng tổ",X82="x"),SUMIFS(KT_TRUONG,KT_LOAI,"Tổ",KT_TO,$D82,KT_NGAY,19),SUMIFS(KT_PHAN,KT_LOAI,"Tổ",KT_TO,IF(X82="x",$D82,X82),KT_NGAY,19)))</f>
        <v>0</v>
      </c>
      <c r="BF82" s="31" t="n">
        <f aca="false">IF(OR($B82="",Y82=""),0,IF(AND($E82="Trưởng tổ",Y82="x"),SUMIFS(KT_TRUONG,KT_LOAI,"Tổ",KT_TO,$D82,KT_NGAY,20),SUMIFS(KT_PHAN,KT_LOAI,"Tổ",KT_TO,IF(Y82="x",$D82,Y82),KT_NGAY,20)))</f>
        <v>0</v>
      </c>
      <c r="BG82" s="31" t="n">
        <f aca="false">IF(OR($B82="",Z82=""),0,IF(AND($E82="Trưởng tổ",Z82="x"),SUMIFS(KT_TRUONG,KT_LOAI,"Tổ",KT_TO,$D82,KT_NGAY,21),SUMIFS(KT_PHAN,KT_LOAI,"Tổ",KT_TO,IF(Z82="x",$D82,Z82),KT_NGAY,21)))</f>
        <v>0</v>
      </c>
      <c r="BH82" s="31" t="n">
        <f aca="false">IF(OR($B82="",AA82=""),0,IF(AND($E82="Trưởng tổ",AA82="x"),SUMIFS(KT_TRUONG,KT_LOAI,"Tổ",KT_TO,$D82,KT_NGAY,22),SUMIFS(KT_PHAN,KT_LOAI,"Tổ",KT_TO,IF(AA82="x",$D82,AA82),KT_NGAY,22)))</f>
        <v>0</v>
      </c>
      <c r="BI82" s="31" t="n">
        <f aca="false">IF(OR($B82="",AB82=""),0,IF(AND($E82="Trưởng tổ",AB82="x"),SUMIFS(KT_TRUONG,KT_LOAI,"Tổ",KT_TO,$D82,KT_NGAY,23),SUMIFS(KT_PHAN,KT_LOAI,"Tổ",KT_TO,IF(AB82="x",$D82,AB82),KT_NGAY,23)))</f>
        <v>0</v>
      </c>
      <c r="BJ82" s="31" t="n">
        <f aca="false">IF(OR($B82="",AC82=""),0,IF(AND($E82="Trưởng tổ",AC82="x"),SUMIFS(KT_TRUONG,KT_LOAI,"Tổ",KT_TO,$D82,KT_NGAY,24),SUMIFS(KT_PHAN,KT_LOAI,"Tổ",KT_TO,IF(AC82="x",$D82,AC82),KT_NGAY,24)))</f>
        <v>0</v>
      </c>
      <c r="BK82" s="31" t="n">
        <f aca="false">IF(OR($B82="",AD82=""),0,IF(AND($E82="Trưởng tổ",AD82="x"),SUMIFS(KT_TRUONG,KT_LOAI,"Tổ",KT_TO,$D82,KT_NGAY,25),SUMIFS(KT_PHAN,KT_LOAI,"Tổ",KT_TO,IF(AD82="x",$D82,AD82),KT_NGAY,25)))</f>
        <v>0</v>
      </c>
      <c r="BL82" s="31" t="n">
        <f aca="false">IF(OR($B82="",AE82=""),0,IF(AND($E82="Trưởng tổ",AE82="x"),SUMIFS(KT_TRUONG,KT_LOAI,"Tổ",KT_TO,$D82,KT_NGAY,26),SUMIFS(KT_PHAN,KT_LOAI,"Tổ",KT_TO,IF(AE82="x",$D82,AE82),KT_NGAY,26)))</f>
        <v>0</v>
      </c>
      <c r="BM82" s="31" t="n">
        <f aca="false">IF(OR($B82="",AF82=""),0,IF(AND($E82="Trưởng tổ",AF82="x"),SUMIFS(KT_TRUONG,KT_LOAI,"Tổ",KT_TO,$D82,KT_NGAY,27),SUMIFS(KT_PHAN,KT_LOAI,"Tổ",KT_TO,IF(AF82="x",$D82,AF82),KT_NGAY,27)))</f>
        <v>0</v>
      </c>
      <c r="BN82" s="31" t="n">
        <f aca="false">IF(OR($B82="",AG82=""),0,IF(AND($E82="Trưởng tổ",AG82="x"),SUMIFS(KT_TRUONG,KT_LOAI,"Tổ",KT_TO,$D82,KT_NGAY,28),SUMIFS(KT_PHAN,KT_LOAI,"Tổ",KT_TO,IF(AG82="x",$D82,AG82),KT_NGAY,28)))</f>
        <v>0</v>
      </c>
      <c r="BO82" s="31" t="n">
        <f aca="false">IF(OR($B82="",AH82=""),0,IF(AND($E82="Trưởng tổ",AH82="x"),SUMIFS(KT_TRUONG,KT_LOAI,"Tổ",KT_TO,$D82,KT_NGAY,29),SUMIFS(KT_PHAN,KT_LOAI,"Tổ",KT_TO,IF(AH82="x",$D82,AH82),KT_NGAY,29)))</f>
        <v>0</v>
      </c>
      <c r="BP82" s="31" t="n">
        <f aca="false">IF(OR($B82="",AI82=""),0,IF(AND($E82="Trưởng tổ",AI82="x"),SUMIFS(KT_TRUONG,KT_LOAI,"Tổ",KT_TO,$D82,KT_NGAY,30),SUMIFS(KT_PHAN,KT_LOAI,"Tổ",KT_TO,IF(AI82="x",$D82,AI82),KT_NGAY,30)))</f>
        <v>0</v>
      </c>
      <c r="BQ82" s="31" t="n">
        <f aca="false">IF(OR($B82="",AJ82=""),0,IF(AND($E82="Trưởng tổ",AJ82="x"),SUMIFS(KT_TRUONG,KT_LOAI,"Tổ",KT_TO,$D82,KT_NGAY,31),SUMIFS(KT_PHAN,KT_LOAI,"Tổ",KT_TO,IF(AJ82="x",$D82,AJ82),KT_NGAY,31)))</f>
        <v>0</v>
      </c>
    </row>
    <row r="83" customFormat="false" ht="15" hidden="false" customHeight="false" outlineLevel="0" collapsed="false">
      <c r="A83" s="17" t="str">
        <f aca="false">IF(B83="","",ROW()-5)</f>
        <v/>
      </c>
      <c r="B83" s="29" t="str">
        <f aca="false">IF(OR(BCC!B83="",BCC!D83&lt;&gt;"Thời vụ HAQT"),"",BCC!B83)</f>
        <v/>
      </c>
      <c r="C83" s="17" t="str">
        <f aca="false">IF(B83="","",BCC!C83)</f>
        <v/>
      </c>
      <c r="D83" s="17" t="str">
        <f aca="false">IF(B83="","",IFERROR(INDEX(NV_TO,MATCH(B83,NV_MA,0)),""))</f>
        <v/>
      </c>
      <c r="E83" s="17" t="str">
        <f aca="false">IF(B83="","",IFERROR(INDEX(NV_VT,MATCH(B83,NV_MA,0)),""))</f>
        <v/>
      </c>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17" t="str">
        <f aca="false">IF(B83="","",COUNTA(F83:AJ83))</f>
        <v/>
      </c>
      <c r="AL83" s="30" t="str">
        <f aca="false">IF(B83="","",SUM(AM83:BQ83))</f>
        <v/>
      </c>
      <c r="AM83" s="31" t="n">
        <f aca="false">IF(OR($B83="",F83=""),0,IF(AND($E83="Trưởng tổ",F83="x"),SUMIFS(KT_TRUONG,KT_LOAI,"Tổ",KT_TO,$D83,KT_NGAY,1),SUMIFS(KT_PHAN,KT_LOAI,"Tổ",KT_TO,IF(F83="x",$D83,F83),KT_NGAY,1)))</f>
        <v>0</v>
      </c>
      <c r="AN83" s="31" t="n">
        <f aca="false">IF(OR($B83="",G83=""),0,IF(AND($E83="Trưởng tổ",G83="x"),SUMIFS(KT_TRUONG,KT_LOAI,"Tổ",KT_TO,$D83,KT_NGAY,2),SUMIFS(KT_PHAN,KT_LOAI,"Tổ",KT_TO,IF(G83="x",$D83,G83),KT_NGAY,2)))</f>
        <v>0</v>
      </c>
      <c r="AO83" s="31" t="n">
        <f aca="false">IF(OR($B83="",H83=""),0,IF(AND($E83="Trưởng tổ",H83="x"),SUMIFS(KT_TRUONG,KT_LOAI,"Tổ",KT_TO,$D83,KT_NGAY,3),SUMIFS(KT_PHAN,KT_LOAI,"Tổ",KT_TO,IF(H83="x",$D83,H83),KT_NGAY,3)))</f>
        <v>0</v>
      </c>
      <c r="AP83" s="31" t="n">
        <f aca="false">IF(OR($B83="",I83=""),0,IF(AND($E83="Trưởng tổ",I83="x"),SUMIFS(KT_TRUONG,KT_LOAI,"Tổ",KT_TO,$D83,KT_NGAY,4),SUMIFS(KT_PHAN,KT_LOAI,"Tổ",KT_TO,IF(I83="x",$D83,I83),KT_NGAY,4)))</f>
        <v>0</v>
      </c>
      <c r="AQ83" s="31" t="n">
        <f aca="false">IF(OR($B83="",J83=""),0,IF(AND($E83="Trưởng tổ",J83="x"),SUMIFS(KT_TRUONG,KT_LOAI,"Tổ",KT_TO,$D83,KT_NGAY,5),SUMIFS(KT_PHAN,KT_LOAI,"Tổ",KT_TO,IF(J83="x",$D83,J83),KT_NGAY,5)))</f>
        <v>0</v>
      </c>
      <c r="AR83" s="31" t="n">
        <f aca="false">IF(OR($B83="",K83=""),0,IF(AND($E83="Trưởng tổ",K83="x"),SUMIFS(KT_TRUONG,KT_LOAI,"Tổ",KT_TO,$D83,KT_NGAY,6),SUMIFS(KT_PHAN,KT_LOAI,"Tổ",KT_TO,IF(K83="x",$D83,K83),KT_NGAY,6)))</f>
        <v>0</v>
      </c>
      <c r="AS83" s="31" t="n">
        <f aca="false">IF(OR($B83="",L83=""),0,IF(AND($E83="Trưởng tổ",L83="x"),SUMIFS(KT_TRUONG,KT_LOAI,"Tổ",KT_TO,$D83,KT_NGAY,7),SUMIFS(KT_PHAN,KT_LOAI,"Tổ",KT_TO,IF(L83="x",$D83,L83),KT_NGAY,7)))</f>
        <v>0</v>
      </c>
      <c r="AT83" s="31" t="n">
        <f aca="false">IF(OR($B83="",M83=""),0,IF(AND($E83="Trưởng tổ",M83="x"),SUMIFS(KT_TRUONG,KT_LOAI,"Tổ",KT_TO,$D83,KT_NGAY,8),SUMIFS(KT_PHAN,KT_LOAI,"Tổ",KT_TO,IF(M83="x",$D83,M83),KT_NGAY,8)))</f>
        <v>0</v>
      </c>
      <c r="AU83" s="31" t="n">
        <f aca="false">IF(OR($B83="",N83=""),0,IF(AND($E83="Trưởng tổ",N83="x"),SUMIFS(KT_TRUONG,KT_LOAI,"Tổ",KT_TO,$D83,KT_NGAY,9),SUMIFS(KT_PHAN,KT_LOAI,"Tổ",KT_TO,IF(N83="x",$D83,N83),KT_NGAY,9)))</f>
        <v>0</v>
      </c>
      <c r="AV83" s="31" t="n">
        <f aca="false">IF(OR($B83="",O83=""),0,IF(AND($E83="Trưởng tổ",O83="x"),SUMIFS(KT_TRUONG,KT_LOAI,"Tổ",KT_TO,$D83,KT_NGAY,10),SUMIFS(KT_PHAN,KT_LOAI,"Tổ",KT_TO,IF(O83="x",$D83,O83),KT_NGAY,10)))</f>
        <v>0</v>
      </c>
      <c r="AW83" s="31" t="n">
        <f aca="false">IF(OR($B83="",P83=""),0,IF(AND($E83="Trưởng tổ",P83="x"),SUMIFS(KT_TRUONG,KT_LOAI,"Tổ",KT_TO,$D83,KT_NGAY,11),SUMIFS(KT_PHAN,KT_LOAI,"Tổ",KT_TO,IF(P83="x",$D83,P83),KT_NGAY,11)))</f>
        <v>0</v>
      </c>
      <c r="AX83" s="31" t="n">
        <f aca="false">IF(OR($B83="",Q83=""),0,IF(AND($E83="Trưởng tổ",Q83="x"),SUMIFS(KT_TRUONG,KT_LOAI,"Tổ",KT_TO,$D83,KT_NGAY,12),SUMIFS(KT_PHAN,KT_LOAI,"Tổ",KT_TO,IF(Q83="x",$D83,Q83),KT_NGAY,12)))</f>
        <v>0</v>
      </c>
      <c r="AY83" s="31" t="n">
        <f aca="false">IF(OR($B83="",R83=""),0,IF(AND($E83="Trưởng tổ",R83="x"),SUMIFS(KT_TRUONG,KT_LOAI,"Tổ",KT_TO,$D83,KT_NGAY,13),SUMIFS(KT_PHAN,KT_LOAI,"Tổ",KT_TO,IF(R83="x",$D83,R83),KT_NGAY,13)))</f>
        <v>0</v>
      </c>
      <c r="AZ83" s="31" t="n">
        <f aca="false">IF(OR($B83="",S83=""),0,IF(AND($E83="Trưởng tổ",S83="x"),SUMIFS(KT_TRUONG,KT_LOAI,"Tổ",KT_TO,$D83,KT_NGAY,14),SUMIFS(KT_PHAN,KT_LOAI,"Tổ",KT_TO,IF(S83="x",$D83,S83),KT_NGAY,14)))</f>
        <v>0</v>
      </c>
      <c r="BA83" s="31" t="n">
        <f aca="false">IF(OR($B83="",T83=""),0,IF(AND($E83="Trưởng tổ",T83="x"),SUMIFS(KT_TRUONG,KT_LOAI,"Tổ",KT_TO,$D83,KT_NGAY,15),SUMIFS(KT_PHAN,KT_LOAI,"Tổ",KT_TO,IF(T83="x",$D83,T83),KT_NGAY,15)))</f>
        <v>0</v>
      </c>
      <c r="BB83" s="31" t="n">
        <f aca="false">IF(OR($B83="",U83=""),0,IF(AND($E83="Trưởng tổ",U83="x"),SUMIFS(KT_TRUONG,KT_LOAI,"Tổ",KT_TO,$D83,KT_NGAY,16),SUMIFS(KT_PHAN,KT_LOAI,"Tổ",KT_TO,IF(U83="x",$D83,U83),KT_NGAY,16)))</f>
        <v>0</v>
      </c>
      <c r="BC83" s="31" t="n">
        <f aca="false">IF(OR($B83="",V83=""),0,IF(AND($E83="Trưởng tổ",V83="x"),SUMIFS(KT_TRUONG,KT_LOAI,"Tổ",KT_TO,$D83,KT_NGAY,17),SUMIFS(KT_PHAN,KT_LOAI,"Tổ",KT_TO,IF(V83="x",$D83,V83),KT_NGAY,17)))</f>
        <v>0</v>
      </c>
      <c r="BD83" s="31" t="n">
        <f aca="false">IF(OR($B83="",W83=""),0,IF(AND($E83="Trưởng tổ",W83="x"),SUMIFS(KT_TRUONG,KT_LOAI,"Tổ",KT_TO,$D83,KT_NGAY,18),SUMIFS(KT_PHAN,KT_LOAI,"Tổ",KT_TO,IF(W83="x",$D83,W83),KT_NGAY,18)))</f>
        <v>0</v>
      </c>
      <c r="BE83" s="31" t="n">
        <f aca="false">IF(OR($B83="",X83=""),0,IF(AND($E83="Trưởng tổ",X83="x"),SUMIFS(KT_TRUONG,KT_LOAI,"Tổ",KT_TO,$D83,KT_NGAY,19),SUMIFS(KT_PHAN,KT_LOAI,"Tổ",KT_TO,IF(X83="x",$D83,X83),KT_NGAY,19)))</f>
        <v>0</v>
      </c>
      <c r="BF83" s="31" t="n">
        <f aca="false">IF(OR($B83="",Y83=""),0,IF(AND($E83="Trưởng tổ",Y83="x"),SUMIFS(KT_TRUONG,KT_LOAI,"Tổ",KT_TO,$D83,KT_NGAY,20),SUMIFS(KT_PHAN,KT_LOAI,"Tổ",KT_TO,IF(Y83="x",$D83,Y83),KT_NGAY,20)))</f>
        <v>0</v>
      </c>
      <c r="BG83" s="31" t="n">
        <f aca="false">IF(OR($B83="",Z83=""),0,IF(AND($E83="Trưởng tổ",Z83="x"),SUMIFS(KT_TRUONG,KT_LOAI,"Tổ",KT_TO,$D83,KT_NGAY,21),SUMIFS(KT_PHAN,KT_LOAI,"Tổ",KT_TO,IF(Z83="x",$D83,Z83),KT_NGAY,21)))</f>
        <v>0</v>
      </c>
      <c r="BH83" s="31" t="n">
        <f aca="false">IF(OR($B83="",AA83=""),0,IF(AND($E83="Trưởng tổ",AA83="x"),SUMIFS(KT_TRUONG,KT_LOAI,"Tổ",KT_TO,$D83,KT_NGAY,22),SUMIFS(KT_PHAN,KT_LOAI,"Tổ",KT_TO,IF(AA83="x",$D83,AA83),KT_NGAY,22)))</f>
        <v>0</v>
      </c>
      <c r="BI83" s="31" t="n">
        <f aca="false">IF(OR($B83="",AB83=""),0,IF(AND($E83="Trưởng tổ",AB83="x"),SUMIFS(KT_TRUONG,KT_LOAI,"Tổ",KT_TO,$D83,KT_NGAY,23),SUMIFS(KT_PHAN,KT_LOAI,"Tổ",KT_TO,IF(AB83="x",$D83,AB83),KT_NGAY,23)))</f>
        <v>0</v>
      </c>
      <c r="BJ83" s="31" t="n">
        <f aca="false">IF(OR($B83="",AC83=""),0,IF(AND($E83="Trưởng tổ",AC83="x"),SUMIFS(KT_TRUONG,KT_LOAI,"Tổ",KT_TO,$D83,KT_NGAY,24),SUMIFS(KT_PHAN,KT_LOAI,"Tổ",KT_TO,IF(AC83="x",$D83,AC83),KT_NGAY,24)))</f>
        <v>0</v>
      </c>
      <c r="BK83" s="31" t="n">
        <f aca="false">IF(OR($B83="",AD83=""),0,IF(AND($E83="Trưởng tổ",AD83="x"),SUMIFS(KT_TRUONG,KT_LOAI,"Tổ",KT_TO,$D83,KT_NGAY,25),SUMIFS(KT_PHAN,KT_LOAI,"Tổ",KT_TO,IF(AD83="x",$D83,AD83),KT_NGAY,25)))</f>
        <v>0</v>
      </c>
      <c r="BL83" s="31" t="n">
        <f aca="false">IF(OR($B83="",AE83=""),0,IF(AND($E83="Trưởng tổ",AE83="x"),SUMIFS(KT_TRUONG,KT_LOAI,"Tổ",KT_TO,$D83,KT_NGAY,26),SUMIFS(KT_PHAN,KT_LOAI,"Tổ",KT_TO,IF(AE83="x",$D83,AE83),KT_NGAY,26)))</f>
        <v>0</v>
      </c>
      <c r="BM83" s="31" t="n">
        <f aca="false">IF(OR($B83="",AF83=""),0,IF(AND($E83="Trưởng tổ",AF83="x"),SUMIFS(KT_TRUONG,KT_LOAI,"Tổ",KT_TO,$D83,KT_NGAY,27),SUMIFS(KT_PHAN,KT_LOAI,"Tổ",KT_TO,IF(AF83="x",$D83,AF83),KT_NGAY,27)))</f>
        <v>0</v>
      </c>
      <c r="BN83" s="31" t="n">
        <f aca="false">IF(OR($B83="",AG83=""),0,IF(AND($E83="Trưởng tổ",AG83="x"),SUMIFS(KT_TRUONG,KT_LOAI,"Tổ",KT_TO,$D83,KT_NGAY,28),SUMIFS(KT_PHAN,KT_LOAI,"Tổ",KT_TO,IF(AG83="x",$D83,AG83),KT_NGAY,28)))</f>
        <v>0</v>
      </c>
      <c r="BO83" s="31" t="n">
        <f aca="false">IF(OR($B83="",AH83=""),0,IF(AND($E83="Trưởng tổ",AH83="x"),SUMIFS(KT_TRUONG,KT_LOAI,"Tổ",KT_TO,$D83,KT_NGAY,29),SUMIFS(KT_PHAN,KT_LOAI,"Tổ",KT_TO,IF(AH83="x",$D83,AH83),KT_NGAY,29)))</f>
        <v>0</v>
      </c>
      <c r="BP83" s="31" t="n">
        <f aca="false">IF(OR($B83="",AI83=""),0,IF(AND($E83="Trưởng tổ",AI83="x"),SUMIFS(KT_TRUONG,KT_LOAI,"Tổ",KT_TO,$D83,KT_NGAY,30),SUMIFS(KT_PHAN,KT_LOAI,"Tổ",KT_TO,IF(AI83="x",$D83,AI83),KT_NGAY,30)))</f>
        <v>0</v>
      </c>
      <c r="BQ83" s="31" t="n">
        <f aca="false">IF(OR($B83="",AJ83=""),0,IF(AND($E83="Trưởng tổ",AJ83="x"),SUMIFS(KT_TRUONG,KT_LOAI,"Tổ",KT_TO,$D83,KT_NGAY,31),SUMIFS(KT_PHAN,KT_LOAI,"Tổ",KT_TO,IF(AJ83="x",$D83,AJ83),KT_NGAY,31)))</f>
        <v>0</v>
      </c>
    </row>
    <row r="84" customFormat="false" ht="15" hidden="false" customHeight="false" outlineLevel="0" collapsed="false">
      <c r="A84" s="17" t="str">
        <f aca="false">IF(B84="","",ROW()-5)</f>
        <v/>
      </c>
      <c r="B84" s="29" t="str">
        <f aca="false">IF(OR(BCC!B84="",BCC!D84&lt;&gt;"Thời vụ HAQT"),"",BCC!B84)</f>
        <v/>
      </c>
      <c r="C84" s="17" t="str">
        <f aca="false">IF(B84="","",BCC!C84)</f>
        <v/>
      </c>
      <c r="D84" s="17" t="str">
        <f aca="false">IF(B84="","",IFERROR(INDEX(NV_TO,MATCH(B84,NV_MA,0)),""))</f>
        <v/>
      </c>
      <c r="E84" s="17" t="str">
        <f aca="false">IF(B84="","",IFERROR(INDEX(NV_VT,MATCH(B84,NV_MA,0)),""))</f>
        <v/>
      </c>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17" t="str">
        <f aca="false">IF(B84="","",COUNTA(F84:AJ84))</f>
        <v/>
      </c>
      <c r="AL84" s="30" t="str">
        <f aca="false">IF(B84="","",SUM(AM84:BQ84))</f>
        <v/>
      </c>
      <c r="AM84" s="31" t="n">
        <f aca="false">IF(OR($B84="",F84=""),0,IF(AND($E84="Trưởng tổ",F84="x"),SUMIFS(KT_TRUONG,KT_LOAI,"Tổ",KT_TO,$D84,KT_NGAY,1),SUMIFS(KT_PHAN,KT_LOAI,"Tổ",KT_TO,IF(F84="x",$D84,F84),KT_NGAY,1)))</f>
        <v>0</v>
      </c>
      <c r="AN84" s="31" t="n">
        <f aca="false">IF(OR($B84="",G84=""),0,IF(AND($E84="Trưởng tổ",G84="x"),SUMIFS(KT_TRUONG,KT_LOAI,"Tổ",KT_TO,$D84,KT_NGAY,2),SUMIFS(KT_PHAN,KT_LOAI,"Tổ",KT_TO,IF(G84="x",$D84,G84),KT_NGAY,2)))</f>
        <v>0</v>
      </c>
      <c r="AO84" s="31" t="n">
        <f aca="false">IF(OR($B84="",H84=""),0,IF(AND($E84="Trưởng tổ",H84="x"),SUMIFS(KT_TRUONG,KT_LOAI,"Tổ",KT_TO,$D84,KT_NGAY,3),SUMIFS(KT_PHAN,KT_LOAI,"Tổ",KT_TO,IF(H84="x",$D84,H84),KT_NGAY,3)))</f>
        <v>0</v>
      </c>
      <c r="AP84" s="31" t="n">
        <f aca="false">IF(OR($B84="",I84=""),0,IF(AND($E84="Trưởng tổ",I84="x"),SUMIFS(KT_TRUONG,KT_LOAI,"Tổ",KT_TO,$D84,KT_NGAY,4),SUMIFS(KT_PHAN,KT_LOAI,"Tổ",KT_TO,IF(I84="x",$D84,I84),KT_NGAY,4)))</f>
        <v>0</v>
      </c>
      <c r="AQ84" s="31" t="n">
        <f aca="false">IF(OR($B84="",J84=""),0,IF(AND($E84="Trưởng tổ",J84="x"),SUMIFS(KT_TRUONG,KT_LOAI,"Tổ",KT_TO,$D84,KT_NGAY,5),SUMIFS(KT_PHAN,KT_LOAI,"Tổ",KT_TO,IF(J84="x",$D84,J84),KT_NGAY,5)))</f>
        <v>0</v>
      </c>
      <c r="AR84" s="31" t="n">
        <f aca="false">IF(OR($B84="",K84=""),0,IF(AND($E84="Trưởng tổ",K84="x"),SUMIFS(KT_TRUONG,KT_LOAI,"Tổ",KT_TO,$D84,KT_NGAY,6),SUMIFS(KT_PHAN,KT_LOAI,"Tổ",KT_TO,IF(K84="x",$D84,K84),KT_NGAY,6)))</f>
        <v>0</v>
      </c>
      <c r="AS84" s="31" t="n">
        <f aca="false">IF(OR($B84="",L84=""),0,IF(AND($E84="Trưởng tổ",L84="x"),SUMIFS(KT_TRUONG,KT_LOAI,"Tổ",KT_TO,$D84,KT_NGAY,7),SUMIFS(KT_PHAN,KT_LOAI,"Tổ",KT_TO,IF(L84="x",$D84,L84),KT_NGAY,7)))</f>
        <v>0</v>
      </c>
      <c r="AT84" s="31" t="n">
        <f aca="false">IF(OR($B84="",M84=""),0,IF(AND($E84="Trưởng tổ",M84="x"),SUMIFS(KT_TRUONG,KT_LOAI,"Tổ",KT_TO,$D84,KT_NGAY,8),SUMIFS(KT_PHAN,KT_LOAI,"Tổ",KT_TO,IF(M84="x",$D84,M84),KT_NGAY,8)))</f>
        <v>0</v>
      </c>
      <c r="AU84" s="31" t="n">
        <f aca="false">IF(OR($B84="",N84=""),0,IF(AND($E84="Trưởng tổ",N84="x"),SUMIFS(KT_TRUONG,KT_LOAI,"Tổ",KT_TO,$D84,KT_NGAY,9),SUMIFS(KT_PHAN,KT_LOAI,"Tổ",KT_TO,IF(N84="x",$D84,N84),KT_NGAY,9)))</f>
        <v>0</v>
      </c>
      <c r="AV84" s="31" t="n">
        <f aca="false">IF(OR($B84="",O84=""),0,IF(AND($E84="Trưởng tổ",O84="x"),SUMIFS(KT_TRUONG,KT_LOAI,"Tổ",KT_TO,$D84,KT_NGAY,10),SUMIFS(KT_PHAN,KT_LOAI,"Tổ",KT_TO,IF(O84="x",$D84,O84),KT_NGAY,10)))</f>
        <v>0</v>
      </c>
      <c r="AW84" s="31" t="n">
        <f aca="false">IF(OR($B84="",P84=""),0,IF(AND($E84="Trưởng tổ",P84="x"),SUMIFS(KT_TRUONG,KT_LOAI,"Tổ",KT_TO,$D84,KT_NGAY,11),SUMIFS(KT_PHAN,KT_LOAI,"Tổ",KT_TO,IF(P84="x",$D84,P84),KT_NGAY,11)))</f>
        <v>0</v>
      </c>
      <c r="AX84" s="31" t="n">
        <f aca="false">IF(OR($B84="",Q84=""),0,IF(AND($E84="Trưởng tổ",Q84="x"),SUMIFS(KT_TRUONG,KT_LOAI,"Tổ",KT_TO,$D84,KT_NGAY,12),SUMIFS(KT_PHAN,KT_LOAI,"Tổ",KT_TO,IF(Q84="x",$D84,Q84),KT_NGAY,12)))</f>
        <v>0</v>
      </c>
      <c r="AY84" s="31" t="n">
        <f aca="false">IF(OR($B84="",R84=""),0,IF(AND($E84="Trưởng tổ",R84="x"),SUMIFS(KT_TRUONG,KT_LOAI,"Tổ",KT_TO,$D84,KT_NGAY,13),SUMIFS(KT_PHAN,KT_LOAI,"Tổ",KT_TO,IF(R84="x",$D84,R84),KT_NGAY,13)))</f>
        <v>0</v>
      </c>
      <c r="AZ84" s="31" t="n">
        <f aca="false">IF(OR($B84="",S84=""),0,IF(AND($E84="Trưởng tổ",S84="x"),SUMIFS(KT_TRUONG,KT_LOAI,"Tổ",KT_TO,$D84,KT_NGAY,14),SUMIFS(KT_PHAN,KT_LOAI,"Tổ",KT_TO,IF(S84="x",$D84,S84),KT_NGAY,14)))</f>
        <v>0</v>
      </c>
      <c r="BA84" s="31" t="n">
        <f aca="false">IF(OR($B84="",T84=""),0,IF(AND($E84="Trưởng tổ",T84="x"),SUMIFS(KT_TRUONG,KT_LOAI,"Tổ",KT_TO,$D84,KT_NGAY,15),SUMIFS(KT_PHAN,KT_LOAI,"Tổ",KT_TO,IF(T84="x",$D84,T84),KT_NGAY,15)))</f>
        <v>0</v>
      </c>
      <c r="BB84" s="31" t="n">
        <f aca="false">IF(OR($B84="",U84=""),0,IF(AND($E84="Trưởng tổ",U84="x"),SUMIFS(KT_TRUONG,KT_LOAI,"Tổ",KT_TO,$D84,KT_NGAY,16),SUMIFS(KT_PHAN,KT_LOAI,"Tổ",KT_TO,IF(U84="x",$D84,U84),KT_NGAY,16)))</f>
        <v>0</v>
      </c>
      <c r="BC84" s="31" t="n">
        <f aca="false">IF(OR($B84="",V84=""),0,IF(AND($E84="Trưởng tổ",V84="x"),SUMIFS(KT_TRUONG,KT_LOAI,"Tổ",KT_TO,$D84,KT_NGAY,17),SUMIFS(KT_PHAN,KT_LOAI,"Tổ",KT_TO,IF(V84="x",$D84,V84),KT_NGAY,17)))</f>
        <v>0</v>
      </c>
      <c r="BD84" s="31" t="n">
        <f aca="false">IF(OR($B84="",W84=""),0,IF(AND($E84="Trưởng tổ",W84="x"),SUMIFS(KT_TRUONG,KT_LOAI,"Tổ",KT_TO,$D84,KT_NGAY,18),SUMIFS(KT_PHAN,KT_LOAI,"Tổ",KT_TO,IF(W84="x",$D84,W84),KT_NGAY,18)))</f>
        <v>0</v>
      </c>
      <c r="BE84" s="31" t="n">
        <f aca="false">IF(OR($B84="",X84=""),0,IF(AND($E84="Trưởng tổ",X84="x"),SUMIFS(KT_TRUONG,KT_LOAI,"Tổ",KT_TO,$D84,KT_NGAY,19),SUMIFS(KT_PHAN,KT_LOAI,"Tổ",KT_TO,IF(X84="x",$D84,X84),KT_NGAY,19)))</f>
        <v>0</v>
      </c>
      <c r="BF84" s="31" t="n">
        <f aca="false">IF(OR($B84="",Y84=""),0,IF(AND($E84="Trưởng tổ",Y84="x"),SUMIFS(KT_TRUONG,KT_LOAI,"Tổ",KT_TO,$D84,KT_NGAY,20),SUMIFS(KT_PHAN,KT_LOAI,"Tổ",KT_TO,IF(Y84="x",$D84,Y84),KT_NGAY,20)))</f>
        <v>0</v>
      </c>
      <c r="BG84" s="31" t="n">
        <f aca="false">IF(OR($B84="",Z84=""),0,IF(AND($E84="Trưởng tổ",Z84="x"),SUMIFS(KT_TRUONG,KT_LOAI,"Tổ",KT_TO,$D84,KT_NGAY,21),SUMIFS(KT_PHAN,KT_LOAI,"Tổ",KT_TO,IF(Z84="x",$D84,Z84),KT_NGAY,21)))</f>
        <v>0</v>
      </c>
      <c r="BH84" s="31" t="n">
        <f aca="false">IF(OR($B84="",AA84=""),0,IF(AND($E84="Trưởng tổ",AA84="x"),SUMIFS(KT_TRUONG,KT_LOAI,"Tổ",KT_TO,$D84,KT_NGAY,22),SUMIFS(KT_PHAN,KT_LOAI,"Tổ",KT_TO,IF(AA84="x",$D84,AA84),KT_NGAY,22)))</f>
        <v>0</v>
      </c>
      <c r="BI84" s="31" t="n">
        <f aca="false">IF(OR($B84="",AB84=""),0,IF(AND($E84="Trưởng tổ",AB84="x"),SUMIFS(KT_TRUONG,KT_LOAI,"Tổ",KT_TO,$D84,KT_NGAY,23),SUMIFS(KT_PHAN,KT_LOAI,"Tổ",KT_TO,IF(AB84="x",$D84,AB84),KT_NGAY,23)))</f>
        <v>0</v>
      </c>
      <c r="BJ84" s="31" t="n">
        <f aca="false">IF(OR($B84="",AC84=""),0,IF(AND($E84="Trưởng tổ",AC84="x"),SUMIFS(KT_TRUONG,KT_LOAI,"Tổ",KT_TO,$D84,KT_NGAY,24),SUMIFS(KT_PHAN,KT_LOAI,"Tổ",KT_TO,IF(AC84="x",$D84,AC84),KT_NGAY,24)))</f>
        <v>0</v>
      </c>
      <c r="BK84" s="31" t="n">
        <f aca="false">IF(OR($B84="",AD84=""),0,IF(AND($E84="Trưởng tổ",AD84="x"),SUMIFS(KT_TRUONG,KT_LOAI,"Tổ",KT_TO,$D84,KT_NGAY,25),SUMIFS(KT_PHAN,KT_LOAI,"Tổ",KT_TO,IF(AD84="x",$D84,AD84),KT_NGAY,25)))</f>
        <v>0</v>
      </c>
      <c r="BL84" s="31" t="n">
        <f aca="false">IF(OR($B84="",AE84=""),0,IF(AND($E84="Trưởng tổ",AE84="x"),SUMIFS(KT_TRUONG,KT_LOAI,"Tổ",KT_TO,$D84,KT_NGAY,26),SUMIFS(KT_PHAN,KT_LOAI,"Tổ",KT_TO,IF(AE84="x",$D84,AE84),KT_NGAY,26)))</f>
        <v>0</v>
      </c>
      <c r="BM84" s="31" t="n">
        <f aca="false">IF(OR($B84="",AF84=""),0,IF(AND($E84="Trưởng tổ",AF84="x"),SUMIFS(KT_TRUONG,KT_LOAI,"Tổ",KT_TO,$D84,KT_NGAY,27),SUMIFS(KT_PHAN,KT_LOAI,"Tổ",KT_TO,IF(AF84="x",$D84,AF84),KT_NGAY,27)))</f>
        <v>0</v>
      </c>
      <c r="BN84" s="31" t="n">
        <f aca="false">IF(OR($B84="",AG84=""),0,IF(AND($E84="Trưởng tổ",AG84="x"),SUMIFS(KT_TRUONG,KT_LOAI,"Tổ",KT_TO,$D84,KT_NGAY,28),SUMIFS(KT_PHAN,KT_LOAI,"Tổ",KT_TO,IF(AG84="x",$D84,AG84),KT_NGAY,28)))</f>
        <v>0</v>
      </c>
      <c r="BO84" s="31" t="n">
        <f aca="false">IF(OR($B84="",AH84=""),0,IF(AND($E84="Trưởng tổ",AH84="x"),SUMIFS(KT_TRUONG,KT_LOAI,"Tổ",KT_TO,$D84,KT_NGAY,29),SUMIFS(KT_PHAN,KT_LOAI,"Tổ",KT_TO,IF(AH84="x",$D84,AH84),KT_NGAY,29)))</f>
        <v>0</v>
      </c>
      <c r="BP84" s="31" t="n">
        <f aca="false">IF(OR($B84="",AI84=""),0,IF(AND($E84="Trưởng tổ",AI84="x"),SUMIFS(KT_TRUONG,KT_LOAI,"Tổ",KT_TO,$D84,KT_NGAY,30),SUMIFS(KT_PHAN,KT_LOAI,"Tổ",KT_TO,IF(AI84="x",$D84,AI84),KT_NGAY,30)))</f>
        <v>0</v>
      </c>
      <c r="BQ84" s="31" t="n">
        <f aca="false">IF(OR($B84="",AJ84=""),0,IF(AND($E84="Trưởng tổ",AJ84="x"),SUMIFS(KT_TRUONG,KT_LOAI,"Tổ",KT_TO,$D84,KT_NGAY,31),SUMIFS(KT_PHAN,KT_LOAI,"Tổ",KT_TO,IF(AJ84="x",$D84,AJ84),KT_NGAY,31)))</f>
        <v>0</v>
      </c>
    </row>
    <row r="85" customFormat="false" ht="15" hidden="false" customHeight="false" outlineLevel="0" collapsed="false">
      <c r="A85" s="17" t="str">
        <f aca="false">IF(B85="","",ROW()-5)</f>
        <v/>
      </c>
      <c r="B85" s="29" t="str">
        <f aca="false">IF(OR(BCC!B85="",BCC!D85&lt;&gt;"Thời vụ HAQT"),"",BCC!B85)</f>
        <v/>
      </c>
      <c r="C85" s="17" t="str">
        <f aca="false">IF(B85="","",BCC!C85)</f>
        <v/>
      </c>
      <c r="D85" s="17" t="str">
        <f aca="false">IF(B85="","",IFERROR(INDEX(NV_TO,MATCH(B85,NV_MA,0)),""))</f>
        <v/>
      </c>
      <c r="E85" s="17" t="str">
        <f aca="false">IF(B85="","",IFERROR(INDEX(NV_VT,MATCH(B85,NV_MA,0)),""))</f>
        <v/>
      </c>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17" t="str">
        <f aca="false">IF(B85="","",COUNTA(F85:AJ85))</f>
        <v/>
      </c>
      <c r="AL85" s="30" t="str">
        <f aca="false">IF(B85="","",SUM(AM85:BQ85))</f>
        <v/>
      </c>
      <c r="AM85" s="31" t="n">
        <f aca="false">IF(OR($B85="",F85=""),0,IF(AND($E85="Trưởng tổ",F85="x"),SUMIFS(KT_TRUONG,KT_LOAI,"Tổ",KT_TO,$D85,KT_NGAY,1),SUMIFS(KT_PHAN,KT_LOAI,"Tổ",KT_TO,IF(F85="x",$D85,F85),KT_NGAY,1)))</f>
        <v>0</v>
      </c>
      <c r="AN85" s="31" t="n">
        <f aca="false">IF(OR($B85="",G85=""),0,IF(AND($E85="Trưởng tổ",G85="x"),SUMIFS(KT_TRUONG,KT_LOAI,"Tổ",KT_TO,$D85,KT_NGAY,2),SUMIFS(KT_PHAN,KT_LOAI,"Tổ",KT_TO,IF(G85="x",$D85,G85),KT_NGAY,2)))</f>
        <v>0</v>
      </c>
      <c r="AO85" s="31" t="n">
        <f aca="false">IF(OR($B85="",H85=""),0,IF(AND($E85="Trưởng tổ",H85="x"),SUMIFS(KT_TRUONG,KT_LOAI,"Tổ",KT_TO,$D85,KT_NGAY,3),SUMIFS(KT_PHAN,KT_LOAI,"Tổ",KT_TO,IF(H85="x",$D85,H85),KT_NGAY,3)))</f>
        <v>0</v>
      </c>
      <c r="AP85" s="31" t="n">
        <f aca="false">IF(OR($B85="",I85=""),0,IF(AND($E85="Trưởng tổ",I85="x"),SUMIFS(KT_TRUONG,KT_LOAI,"Tổ",KT_TO,$D85,KT_NGAY,4),SUMIFS(KT_PHAN,KT_LOAI,"Tổ",KT_TO,IF(I85="x",$D85,I85),KT_NGAY,4)))</f>
        <v>0</v>
      </c>
      <c r="AQ85" s="31" t="n">
        <f aca="false">IF(OR($B85="",J85=""),0,IF(AND($E85="Trưởng tổ",J85="x"),SUMIFS(KT_TRUONG,KT_LOAI,"Tổ",KT_TO,$D85,KT_NGAY,5),SUMIFS(KT_PHAN,KT_LOAI,"Tổ",KT_TO,IF(J85="x",$D85,J85),KT_NGAY,5)))</f>
        <v>0</v>
      </c>
      <c r="AR85" s="31" t="n">
        <f aca="false">IF(OR($B85="",K85=""),0,IF(AND($E85="Trưởng tổ",K85="x"),SUMIFS(KT_TRUONG,KT_LOAI,"Tổ",KT_TO,$D85,KT_NGAY,6),SUMIFS(KT_PHAN,KT_LOAI,"Tổ",KT_TO,IF(K85="x",$D85,K85),KT_NGAY,6)))</f>
        <v>0</v>
      </c>
      <c r="AS85" s="31" t="n">
        <f aca="false">IF(OR($B85="",L85=""),0,IF(AND($E85="Trưởng tổ",L85="x"),SUMIFS(KT_TRUONG,KT_LOAI,"Tổ",KT_TO,$D85,KT_NGAY,7),SUMIFS(KT_PHAN,KT_LOAI,"Tổ",KT_TO,IF(L85="x",$D85,L85),KT_NGAY,7)))</f>
        <v>0</v>
      </c>
      <c r="AT85" s="31" t="n">
        <f aca="false">IF(OR($B85="",M85=""),0,IF(AND($E85="Trưởng tổ",M85="x"),SUMIFS(KT_TRUONG,KT_LOAI,"Tổ",KT_TO,$D85,KT_NGAY,8),SUMIFS(KT_PHAN,KT_LOAI,"Tổ",KT_TO,IF(M85="x",$D85,M85),KT_NGAY,8)))</f>
        <v>0</v>
      </c>
      <c r="AU85" s="31" t="n">
        <f aca="false">IF(OR($B85="",N85=""),0,IF(AND($E85="Trưởng tổ",N85="x"),SUMIFS(KT_TRUONG,KT_LOAI,"Tổ",KT_TO,$D85,KT_NGAY,9),SUMIFS(KT_PHAN,KT_LOAI,"Tổ",KT_TO,IF(N85="x",$D85,N85),KT_NGAY,9)))</f>
        <v>0</v>
      </c>
      <c r="AV85" s="31" t="n">
        <f aca="false">IF(OR($B85="",O85=""),0,IF(AND($E85="Trưởng tổ",O85="x"),SUMIFS(KT_TRUONG,KT_LOAI,"Tổ",KT_TO,$D85,KT_NGAY,10),SUMIFS(KT_PHAN,KT_LOAI,"Tổ",KT_TO,IF(O85="x",$D85,O85),KT_NGAY,10)))</f>
        <v>0</v>
      </c>
      <c r="AW85" s="31" t="n">
        <f aca="false">IF(OR($B85="",P85=""),0,IF(AND($E85="Trưởng tổ",P85="x"),SUMIFS(KT_TRUONG,KT_LOAI,"Tổ",KT_TO,$D85,KT_NGAY,11),SUMIFS(KT_PHAN,KT_LOAI,"Tổ",KT_TO,IF(P85="x",$D85,P85),KT_NGAY,11)))</f>
        <v>0</v>
      </c>
      <c r="AX85" s="31" t="n">
        <f aca="false">IF(OR($B85="",Q85=""),0,IF(AND($E85="Trưởng tổ",Q85="x"),SUMIFS(KT_TRUONG,KT_LOAI,"Tổ",KT_TO,$D85,KT_NGAY,12),SUMIFS(KT_PHAN,KT_LOAI,"Tổ",KT_TO,IF(Q85="x",$D85,Q85),KT_NGAY,12)))</f>
        <v>0</v>
      </c>
      <c r="AY85" s="31" t="n">
        <f aca="false">IF(OR($B85="",R85=""),0,IF(AND($E85="Trưởng tổ",R85="x"),SUMIFS(KT_TRUONG,KT_LOAI,"Tổ",KT_TO,$D85,KT_NGAY,13),SUMIFS(KT_PHAN,KT_LOAI,"Tổ",KT_TO,IF(R85="x",$D85,R85),KT_NGAY,13)))</f>
        <v>0</v>
      </c>
      <c r="AZ85" s="31" t="n">
        <f aca="false">IF(OR($B85="",S85=""),0,IF(AND($E85="Trưởng tổ",S85="x"),SUMIFS(KT_TRUONG,KT_LOAI,"Tổ",KT_TO,$D85,KT_NGAY,14),SUMIFS(KT_PHAN,KT_LOAI,"Tổ",KT_TO,IF(S85="x",$D85,S85),KT_NGAY,14)))</f>
        <v>0</v>
      </c>
      <c r="BA85" s="31" t="n">
        <f aca="false">IF(OR($B85="",T85=""),0,IF(AND($E85="Trưởng tổ",T85="x"),SUMIFS(KT_TRUONG,KT_LOAI,"Tổ",KT_TO,$D85,KT_NGAY,15),SUMIFS(KT_PHAN,KT_LOAI,"Tổ",KT_TO,IF(T85="x",$D85,T85),KT_NGAY,15)))</f>
        <v>0</v>
      </c>
      <c r="BB85" s="31" t="n">
        <f aca="false">IF(OR($B85="",U85=""),0,IF(AND($E85="Trưởng tổ",U85="x"),SUMIFS(KT_TRUONG,KT_LOAI,"Tổ",KT_TO,$D85,KT_NGAY,16),SUMIFS(KT_PHAN,KT_LOAI,"Tổ",KT_TO,IF(U85="x",$D85,U85),KT_NGAY,16)))</f>
        <v>0</v>
      </c>
      <c r="BC85" s="31" t="n">
        <f aca="false">IF(OR($B85="",V85=""),0,IF(AND($E85="Trưởng tổ",V85="x"),SUMIFS(KT_TRUONG,KT_LOAI,"Tổ",KT_TO,$D85,KT_NGAY,17),SUMIFS(KT_PHAN,KT_LOAI,"Tổ",KT_TO,IF(V85="x",$D85,V85),KT_NGAY,17)))</f>
        <v>0</v>
      </c>
      <c r="BD85" s="31" t="n">
        <f aca="false">IF(OR($B85="",W85=""),0,IF(AND($E85="Trưởng tổ",W85="x"),SUMIFS(KT_TRUONG,KT_LOAI,"Tổ",KT_TO,$D85,KT_NGAY,18),SUMIFS(KT_PHAN,KT_LOAI,"Tổ",KT_TO,IF(W85="x",$D85,W85),KT_NGAY,18)))</f>
        <v>0</v>
      </c>
      <c r="BE85" s="31" t="n">
        <f aca="false">IF(OR($B85="",X85=""),0,IF(AND($E85="Trưởng tổ",X85="x"),SUMIFS(KT_TRUONG,KT_LOAI,"Tổ",KT_TO,$D85,KT_NGAY,19),SUMIFS(KT_PHAN,KT_LOAI,"Tổ",KT_TO,IF(X85="x",$D85,X85),KT_NGAY,19)))</f>
        <v>0</v>
      </c>
      <c r="BF85" s="31" t="n">
        <f aca="false">IF(OR($B85="",Y85=""),0,IF(AND($E85="Trưởng tổ",Y85="x"),SUMIFS(KT_TRUONG,KT_LOAI,"Tổ",KT_TO,$D85,KT_NGAY,20),SUMIFS(KT_PHAN,KT_LOAI,"Tổ",KT_TO,IF(Y85="x",$D85,Y85),KT_NGAY,20)))</f>
        <v>0</v>
      </c>
      <c r="BG85" s="31" t="n">
        <f aca="false">IF(OR($B85="",Z85=""),0,IF(AND($E85="Trưởng tổ",Z85="x"),SUMIFS(KT_TRUONG,KT_LOAI,"Tổ",KT_TO,$D85,KT_NGAY,21),SUMIFS(KT_PHAN,KT_LOAI,"Tổ",KT_TO,IF(Z85="x",$D85,Z85),KT_NGAY,21)))</f>
        <v>0</v>
      </c>
      <c r="BH85" s="31" t="n">
        <f aca="false">IF(OR($B85="",AA85=""),0,IF(AND($E85="Trưởng tổ",AA85="x"),SUMIFS(KT_TRUONG,KT_LOAI,"Tổ",KT_TO,$D85,KT_NGAY,22),SUMIFS(KT_PHAN,KT_LOAI,"Tổ",KT_TO,IF(AA85="x",$D85,AA85),KT_NGAY,22)))</f>
        <v>0</v>
      </c>
      <c r="BI85" s="31" t="n">
        <f aca="false">IF(OR($B85="",AB85=""),0,IF(AND($E85="Trưởng tổ",AB85="x"),SUMIFS(KT_TRUONG,KT_LOAI,"Tổ",KT_TO,$D85,KT_NGAY,23),SUMIFS(KT_PHAN,KT_LOAI,"Tổ",KT_TO,IF(AB85="x",$D85,AB85),KT_NGAY,23)))</f>
        <v>0</v>
      </c>
      <c r="BJ85" s="31" t="n">
        <f aca="false">IF(OR($B85="",AC85=""),0,IF(AND($E85="Trưởng tổ",AC85="x"),SUMIFS(KT_TRUONG,KT_LOAI,"Tổ",KT_TO,$D85,KT_NGAY,24),SUMIFS(KT_PHAN,KT_LOAI,"Tổ",KT_TO,IF(AC85="x",$D85,AC85),KT_NGAY,24)))</f>
        <v>0</v>
      </c>
      <c r="BK85" s="31" t="n">
        <f aca="false">IF(OR($B85="",AD85=""),0,IF(AND($E85="Trưởng tổ",AD85="x"),SUMIFS(KT_TRUONG,KT_LOAI,"Tổ",KT_TO,$D85,KT_NGAY,25),SUMIFS(KT_PHAN,KT_LOAI,"Tổ",KT_TO,IF(AD85="x",$D85,AD85),KT_NGAY,25)))</f>
        <v>0</v>
      </c>
      <c r="BL85" s="31" t="n">
        <f aca="false">IF(OR($B85="",AE85=""),0,IF(AND($E85="Trưởng tổ",AE85="x"),SUMIFS(KT_TRUONG,KT_LOAI,"Tổ",KT_TO,$D85,KT_NGAY,26),SUMIFS(KT_PHAN,KT_LOAI,"Tổ",KT_TO,IF(AE85="x",$D85,AE85),KT_NGAY,26)))</f>
        <v>0</v>
      </c>
      <c r="BM85" s="31" t="n">
        <f aca="false">IF(OR($B85="",AF85=""),0,IF(AND($E85="Trưởng tổ",AF85="x"),SUMIFS(KT_TRUONG,KT_LOAI,"Tổ",KT_TO,$D85,KT_NGAY,27),SUMIFS(KT_PHAN,KT_LOAI,"Tổ",KT_TO,IF(AF85="x",$D85,AF85),KT_NGAY,27)))</f>
        <v>0</v>
      </c>
      <c r="BN85" s="31" t="n">
        <f aca="false">IF(OR($B85="",AG85=""),0,IF(AND($E85="Trưởng tổ",AG85="x"),SUMIFS(KT_TRUONG,KT_LOAI,"Tổ",KT_TO,$D85,KT_NGAY,28),SUMIFS(KT_PHAN,KT_LOAI,"Tổ",KT_TO,IF(AG85="x",$D85,AG85),KT_NGAY,28)))</f>
        <v>0</v>
      </c>
      <c r="BO85" s="31" t="n">
        <f aca="false">IF(OR($B85="",AH85=""),0,IF(AND($E85="Trưởng tổ",AH85="x"),SUMIFS(KT_TRUONG,KT_LOAI,"Tổ",KT_TO,$D85,KT_NGAY,29),SUMIFS(KT_PHAN,KT_LOAI,"Tổ",KT_TO,IF(AH85="x",$D85,AH85),KT_NGAY,29)))</f>
        <v>0</v>
      </c>
      <c r="BP85" s="31" t="n">
        <f aca="false">IF(OR($B85="",AI85=""),0,IF(AND($E85="Trưởng tổ",AI85="x"),SUMIFS(KT_TRUONG,KT_LOAI,"Tổ",KT_TO,$D85,KT_NGAY,30),SUMIFS(KT_PHAN,KT_LOAI,"Tổ",KT_TO,IF(AI85="x",$D85,AI85),KT_NGAY,30)))</f>
        <v>0</v>
      </c>
      <c r="BQ85" s="31" t="n">
        <f aca="false">IF(OR($B85="",AJ85=""),0,IF(AND($E85="Trưởng tổ",AJ85="x"),SUMIFS(KT_TRUONG,KT_LOAI,"Tổ",KT_TO,$D85,KT_NGAY,31),SUMIFS(KT_PHAN,KT_LOAI,"Tổ",KT_TO,IF(AJ85="x",$D85,AJ85),KT_NGAY,31)))</f>
        <v>0</v>
      </c>
    </row>
    <row r="86" customFormat="false" ht="15" hidden="false" customHeight="false" outlineLevel="0" collapsed="false">
      <c r="A86" s="17" t="str">
        <f aca="false">IF(B86="","",ROW()-5)</f>
        <v/>
      </c>
      <c r="B86" s="29" t="str">
        <f aca="false">IF(OR(BCC!B86="",BCC!D86&lt;&gt;"Thời vụ HAQT"),"",BCC!B86)</f>
        <v/>
      </c>
      <c r="C86" s="17" t="str">
        <f aca="false">IF(B86="","",BCC!C86)</f>
        <v/>
      </c>
      <c r="D86" s="17" t="str">
        <f aca="false">IF(B86="","",IFERROR(INDEX(NV_TO,MATCH(B86,NV_MA,0)),""))</f>
        <v/>
      </c>
      <c r="E86" s="17" t="str">
        <f aca="false">IF(B86="","",IFERROR(INDEX(NV_VT,MATCH(B86,NV_MA,0)),""))</f>
        <v/>
      </c>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17" t="str">
        <f aca="false">IF(B86="","",COUNTA(F86:AJ86))</f>
        <v/>
      </c>
      <c r="AL86" s="30" t="str">
        <f aca="false">IF(B86="","",SUM(AM86:BQ86))</f>
        <v/>
      </c>
      <c r="AM86" s="31" t="n">
        <f aca="false">IF(OR($B86="",F86=""),0,IF(AND($E86="Trưởng tổ",F86="x"),SUMIFS(KT_TRUONG,KT_LOAI,"Tổ",KT_TO,$D86,KT_NGAY,1),SUMIFS(KT_PHAN,KT_LOAI,"Tổ",KT_TO,IF(F86="x",$D86,F86),KT_NGAY,1)))</f>
        <v>0</v>
      </c>
      <c r="AN86" s="31" t="n">
        <f aca="false">IF(OR($B86="",G86=""),0,IF(AND($E86="Trưởng tổ",G86="x"),SUMIFS(KT_TRUONG,KT_LOAI,"Tổ",KT_TO,$D86,KT_NGAY,2),SUMIFS(KT_PHAN,KT_LOAI,"Tổ",KT_TO,IF(G86="x",$D86,G86),KT_NGAY,2)))</f>
        <v>0</v>
      </c>
      <c r="AO86" s="31" t="n">
        <f aca="false">IF(OR($B86="",H86=""),0,IF(AND($E86="Trưởng tổ",H86="x"),SUMIFS(KT_TRUONG,KT_LOAI,"Tổ",KT_TO,$D86,KT_NGAY,3),SUMIFS(KT_PHAN,KT_LOAI,"Tổ",KT_TO,IF(H86="x",$D86,H86),KT_NGAY,3)))</f>
        <v>0</v>
      </c>
      <c r="AP86" s="31" t="n">
        <f aca="false">IF(OR($B86="",I86=""),0,IF(AND($E86="Trưởng tổ",I86="x"),SUMIFS(KT_TRUONG,KT_LOAI,"Tổ",KT_TO,$D86,KT_NGAY,4),SUMIFS(KT_PHAN,KT_LOAI,"Tổ",KT_TO,IF(I86="x",$D86,I86),KT_NGAY,4)))</f>
        <v>0</v>
      </c>
      <c r="AQ86" s="31" t="n">
        <f aca="false">IF(OR($B86="",J86=""),0,IF(AND($E86="Trưởng tổ",J86="x"),SUMIFS(KT_TRUONG,KT_LOAI,"Tổ",KT_TO,$D86,KT_NGAY,5),SUMIFS(KT_PHAN,KT_LOAI,"Tổ",KT_TO,IF(J86="x",$D86,J86),KT_NGAY,5)))</f>
        <v>0</v>
      </c>
      <c r="AR86" s="31" t="n">
        <f aca="false">IF(OR($B86="",K86=""),0,IF(AND($E86="Trưởng tổ",K86="x"),SUMIFS(KT_TRUONG,KT_LOAI,"Tổ",KT_TO,$D86,KT_NGAY,6),SUMIFS(KT_PHAN,KT_LOAI,"Tổ",KT_TO,IF(K86="x",$D86,K86),KT_NGAY,6)))</f>
        <v>0</v>
      </c>
      <c r="AS86" s="31" t="n">
        <f aca="false">IF(OR($B86="",L86=""),0,IF(AND($E86="Trưởng tổ",L86="x"),SUMIFS(KT_TRUONG,KT_LOAI,"Tổ",KT_TO,$D86,KT_NGAY,7),SUMIFS(KT_PHAN,KT_LOAI,"Tổ",KT_TO,IF(L86="x",$D86,L86),KT_NGAY,7)))</f>
        <v>0</v>
      </c>
      <c r="AT86" s="31" t="n">
        <f aca="false">IF(OR($B86="",M86=""),0,IF(AND($E86="Trưởng tổ",M86="x"),SUMIFS(KT_TRUONG,KT_LOAI,"Tổ",KT_TO,$D86,KT_NGAY,8),SUMIFS(KT_PHAN,KT_LOAI,"Tổ",KT_TO,IF(M86="x",$D86,M86),KT_NGAY,8)))</f>
        <v>0</v>
      </c>
      <c r="AU86" s="31" t="n">
        <f aca="false">IF(OR($B86="",N86=""),0,IF(AND($E86="Trưởng tổ",N86="x"),SUMIFS(KT_TRUONG,KT_LOAI,"Tổ",KT_TO,$D86,KT_NGAY,9),SUMIFS(KT_PHAN,KT_LOAI,"Tổ",KT_TO,IF(N86="x",$D86,N86),KT_NGAY,9)))</f>
        <v>0</v>
      </c>
      <c r="AV86" s="31" t="n">
        <f aca="false">IF(OR($B86="",O86=""),0,IF(AND($E86="Trưởng tổ",O86="x"),SUMIFS(KT_TRUONG,KT_LOAI,"Tổ",KT_TO,$D86,KT_NGAY,10),SUMIFS(KT_PHAN,KT_LOAI,"Tổ",KT_TO,IF(O86="x",$D86,O86),KT_NGAY,10)))</f>
        <v>0</v>
      </c>
      <c r="AW86" s="31" t="n">
        <f aca="false">IF(OR($B86="",P86=""),0,IF(AND($E86="Trưởng tổ",P86="x"),SUMIFS(KT_TRUONG,KT_LOAI,"Tổ",KT_TO,$D86,KT_NGAY,11),SUMIFS(KT_PHAN,KT_LOAI,"Tổ",KT_TO,IF(P86="x",$D86,P86),KT_NGAY,11)))</f>
        <v>0</v>
      </c>
      <c r="AX86" s="31" t="n">
        <f aca="false">IF(OR($B86="",Q86=""),0,IF(AND($E86="Trưởng tổ",Q86="x"),SUMIFS(KT_TRUONG,KT_LOAI,"Tổ",KT_TO,$D86,KT_NGAY,12),SUMIFS(KT_PHAN,KT_LOAI,"Tổ",KT_TO,IF(Q86="x",$D86,Q86),KT_NGAY,12)))</f>
        <v>0</v>
      </c>
      <c r="AY86" s="31" t="n">
        <f aca="false">IF(OR($B86="",R86=""),0,IF(AND($E86="Trưởng tổ",R86="x"),SUMIFS(KT_TRUONG,KT_LOAI,"Tổ",KT_TO,$D86,KT_NGAY,13),SUMIFS(KT_PHAN,KT_LOAI,"Tổ",KT_TO,IF(R86="x",$D86,R86),KT_NGAY,13)))</f>
        <v>0</v>
      </c>
      <c r="AZ86" s="31" t="n">
        <f aca="false">IF(OR($B86="",S86=""),0,IF(AND($E86="Trưởng tổ",S86="x"),SUMIFS(KT_TRUONG,KT_LOAI,"Tổ",KT_TO,$D86,KT_NGAY,14),SUMIFS(KT_PHAN,KT_LOAI,"Tổ",KT_TO,IF(S86="x",$D86,S86),KT_NGAY,14)))</f>
        <v>0</v>
      </c>
      <c r="BA86" s="31" t="n">
        <f aca="false">IF(OR($B86="",T86=""),0,IF(AND($E86="Trưởng tổ",T86="x"),SUMIFS(KT_TRUONG,KT_LOAI,"Tổ",KT_TO,$D86,KT_NGAY,15),SUMIFS(KT_PHAN,KT_LOAI,"Tổ",KT_TO,IF(T86="x",$D86,T86),KT_NGAY,15)))</f>
        <v>0</v>
      </c>
      <c r="BB86" s="31" t="n">
        <f aca="false">IF(OR($B86="",U86=""),0,IF(AND($E86="Trưởng tổ",U86="x"),SUMIFS(KT_TRUONG,KT_LOAI,"Tổ",KT_TO,$D86,KT_NGAY,16),SUMIFS(KT_PHAN,KT_LOAI,"Tổ",KT_TO,IF(U86="x",$D86,U86),KT_NGAY,16)))</f>
        <v>0</v>
      </c>
      <c r="BC86" s="31" t="n">
        <f aca="false">IF(OR($B86="",V86=""),0,IF(AND($E86="Trưởng tổ",V86="x"),SUMIFS(KT_TRUONG,KT_LOAI,"Tổ",KT_TO,$D86,KT_NGAY,17),SUMIFS(KT_PHAN,KT_LOAI,"Tổ",KT_TO,IF(V86="x",$D86,V86),KT_NGAY,17)))</f>
        <v>0</v>
      </c>
      <c r="BD86" s="31" t="n">
        <f aca="false">IF(OR($B86="",W86=""),0,IF(AND($E86="Trưởng tổ",W86="x"),SUMIFS(KT_TRUONG,KT_LOAI,"Tổ",KT_TO,$D86,KT_NGAY,18),SUMIFS(KT_PHAN,KT_LOAI,"Tổ",KT_TO,IF(W86="x",$D86,W86),KT_NGAY,18)))</f>
        <v>0</v>
      </c>
      <c r="BE86" s="31" t="n">
        <f aca="false">IF(OR($B86="",X86=""),0,IF(AND($E86="Trưởng tổ",X86="x"),SUMIFS(KT_TRUONG,KT_LOAI,"Tổ",KT_TO,$D86,KT_NGAY,19),SUMIFS(KT_PHAN,KT_LOAI,"Tổ",KT_TO,IF(X86="x",$D86,X86),KT_NGAY,19)))</f>
        <v>0</v>
      </c>
      <c r="BF86" s="31" t="n">
        <f aca="false">IF(OR($B86="",Y86=""),0,IF(AND($E86="Trưởng tổ",Y86="x"),SUMIFS(KT_TRUONG,KT_LOAI,"Tổ",KT_TO,$D86,KT_NGAY,20),SUMIFS(KT_PHAN,KT_LOAI,"Tổ",KT_TO,IF(Y86="x",$D86,Y86),KT_NGAY,20)))</f>
        <v>0</v>
      </c>
      <c r="BG86" s="31" t="n">
        <f aca="false">IF(OR($B86="",Z86=""),0,IF(AND($E86="Trưởng tổ",Z86="x"),SUMIFS(KT_TRUONG,KT_LOAI,"Tổ",KT_TO,$D86,KT_NGAY,21),SUMIFS(KT_PHAN,KT_LOAI,"Tổ",KT_TO,IF(Z86="x",$D86,Z86),KT_NGAY,21)))</f>
        <v>0</v>
      </c>
      <c r="BH86" s="31" t="n">
        <f aca="false">IF(OR($B86="",AA86=""),0,IF(AND($E86="Trưởng tổ",AA86="x"),SUMIFS(KT_TRUONG,KT_LOAI,"Tổ",KT_TO,$D86,KT_NGAY,22),SUMIFS(KT_PHAN,KT_LOAI,"Tổ",KT_TO,IF(AA86="x",$D86,AA86),KT_NGAY,22)))</f>
        <v>0</v>
      </c>
      <c r="BI86" s="31" t="n">
        <f aca="false">IF(OR($B86="",AB86=""),0,IF(AND($E86="Trưởng tổ",AB86="x"),SUMIFS(KT_TRUONG,KT_LOAI,"Tổ",KT_TO,$D86,KT_NGAY,23),SUMIFS(KT_PHAN,KT_LOAI,"Tổ",KT_TO,IF(AB86="x",$D86,AB86),KT_NGAY,23)))</f>
        <v>0</v>
      </c>
      <c r="BJ86" s="31" t="n">
        <f aca="false">IF(OR($B86="",AC86=""),0,IF(AND($E86="Trưởng tổ",AC86="x"),SUMIFS(KT_TRUONG,KT_LOAI,"Tổ",KT_TO,$D86,KT_NGAY,24),SUMIFS(KT_PHAN,KT_LOAI,"Tổ",KT_TO,IF(AC86="x",$D86,AC86),KT_NGAY,24)))</f>
        <v>0</v>
      </c>
      <c r="BK86" s="31" t="n">
        <f aca="false">IF(OR($B86="",AD86=""),0,IF(AND($E86="Trưởng tổ",AD86="x"),SUMIFS(KT_TRUONG,KT_LOAI,"Tổ",KT_TO,$D86,KT_NGAY,25),SUMIFS(KT_PHAN,KT_LOAI,"Tổ",KT_TO,IF(AD86="x",$D86,AD86),KT_NGAY,25)))</f>
        <v>0</v>
      </c>
      <c r="BL86" s="31" t="n">
        <f aca="false">IF(OR($B86="",AE86=""),0,IF(AND($E86="Trưởng tổ",AE86="x"),SUMIFS(KT_TRUONG,KT_LOAI,"Tổ",KT_TO,$D86,KT_NGAY,26),SUMIFS(KT_PHAN,KT_LOAI,"Tổ",KT_TO,IF(AE86="x",$D86,AE86),KT_NGAY,26)))</f>
        <v>0</v>
      </c>
      <c r="BM86" s="31" t="n">
        <f aca="false">IF(OR($B86="",AF86=""),0,IF(AND($E86="Trưởng tổ",AF86="x"),SUMIFS(KT_TRUONG,KT_LOAI,"Tổ",KT_TO,$D86,KT_NGAY,27),SUMIFS(KT_PHAN,KT_LOAI,"Tổ",KT_TO,IF(AF86="x",$D86,AF86),KT_NGAY,27)))</f>
        <v>0</v>
      </c>
      <c r="BN86" s="31" t="n">
        <f aca="false">IF(OR($B86="",AG86=""),0,IF(AND($E86="Trưởng tổ",AG86="x"),SUMIFS(KT_TRUONG,KT_LOAI,"Tổ",KT_TO,$D86,KT_NGAY,28),SUMIFS(KT_PHAN,KT_LOAI,"Tổ",KT_TO,IF(AG86="x",$D86,AG86),KT_NGAY,28)))</f>
        <v>0</v>
      </c>
      <c r="BO86" s="31" t="n">
        <f aca="false">IF(OR($B86="",AH86=""),0,IF(AND($E86="Trưởng tổ",AH86="x"),SUMIFS(KT_TRUONG,KT_LOAI,"Tổ",KT_TO,$D86,KT_NGAY,29),SUMIFS(KT_PHAN,KT_LOAI,"Tổ",KT_TO,IF(AH86="x",$D86,AH86),KT_NGAY,29)))</f>
        <v>0</v>
      </c>
      <c r="BP86" s="31" t="n">
        <f aca="false">IF(OR($B86="",AI86=""),0,IF(AND($E86="Trưởng tổ",AI86="x"),SUMIFS(KT_TRUONG,KT_LOAI,"Tổ",KT_TO,$D86,KT_NGAY,30),SUMIFS(KT_PHAN,KT_LOAI,"Tổ",KT_TO,IF(AI86="x",$D86,AI86),KT_NGAY,30)))</f>
        <v>0</v>
      </c>
      <c r="BQ86" s="31" t="n">
        <f aca="false">IF(OR($B86="",AJ86=""),0,IF(AND($E86="Trưởng tổ",AJ86="x"),SUMIFS(KT_TRUONG,KT_LOAI,"Tổ",KT_TO,$D86,KT_NGAY,31),SUMIFS(KT_PHAN,KT_LOAI,"Tổ",KT_TO,IF(AJ86="x",$D86,AJ86),KT_NGAY,31)))</f>
        <v>0</v>
      </c>
    </row>
    <row r="87" customFormat="false" ht="15" hidden="false" customHeight="false" outlineLevel="0" collapsed="false">
      <c r="A87" s="17" t="str">
        <f aca="false">IF(B87="","",ROW()-5)</f>
        <v/>
      </c>
      <c r="B87" s="29" t="str">
        <f aca="false">IF(OR(BCC!B87="",BCC!D87&lt;&gt;"Thời vụ HAQT"),"",BCC!B87)</f>
        <v/>
      </c>
      <c r="C87" s="17" t="str">
        <f aca="false">IF(B87="","",BCC!C87)</f>
        <v/>
      </c>
      <c r="D87" s="17" t="str">
        <f aca="false">IF(B87="","",IFERROR(INDEX(NV_TO,MATCH(B87,NV_MA,0)),""))</f>
        <v/>
      </c>
      <c r="E87" s="17" t="str">
        <f aca="false">IF(B87="","",IFERROR(INDEX(NV_VT,MATCH(B87,NV_MA,0)),""))</f>
        <v/>
      </c>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17" t="str">
        <f aca="false">IF(B87="","",COUNTA(F87:AJ87))</f>
        <v/>
      </c>
      <c r="AL87" s="30" t="str">
        <f aca="false">IF(B87="","",SUM(AM87:BQ87))</f>
        <v/>
      </c>
      <c r="AM87" s="31" t="n">
        <f aca="false">IF(OR($B87="",F87=""),0,IF(AND($E87="Trưởng tổ",F87="x"),SUMIFS(KT_TRUONG,KT_LOAI,"Tổ",KT_TO,$D87,KT_NGAY,1),SUMIFS(KT_PHAN,KT_LOAI,"Tổ",KT_TO,IF(F87="x",$D87,F87),KT_NGAY,1)))</f>
        <v>0</v>
      </c>
      <c r="AN87" s="31" t="n">
        <f aca="false">IF(OR($B87="",G87=""),0,IF(AND($E87="Trưởng tổ",G87="x"),SUMIFS(KT_TRUONG,KT_LOAI,"Tổ",KT_TO,$D87,KT_NGAY,2),SUMIFS(KT_PHAN,KT_LOAI,"Tổ",KT_TO,IF(G87="x",$D87,G87),KT_NGAY,2)))</f>
        <v>0</v>
      </c>
      <c r="AO87" s="31" t="n">
        <f aca="false">IF(OR($B87="",H87=""),0,IF(AND($E87="Trưởng tổ",H87="x"),SUMIFS(KT_TRUONG,KT_LOAI,"Tổ",KT_TO,$D87,KT_NGAY,3),SUMIFS(KT_PHAN,KT_LOAI,"Tổ",KT_TO,IF(H87="x",$D87,H87),KT_NGAY,3)))</f>
        <v>0</v>
      </c>
      <c r="AP87" s="31" t="n">
        <f aca="false">IF(OR($B87="",I87=""),0,IF(AND($E87="Trưởng tổ",I87="x"),SUMIFS(KT_TRUONG,KT_LOAI,"Tổ",KT_TO,$D87,KT_NGAY,4),SUMIFS(KT_PHAN,KT_LOAI,"Tổ",KT_TO,IF(I87="x",$D87,I87),KT_NGAY,4)))</f>
        <v>0</v>
      </c>
      <c r="AQ87" s="31" t="n">
        <f aca="false">IF(OR($B87="",J87=""),0,IF(AND($E87="Trưởng tổ",J87="x"),SUMIFS(KT_TRUONG,KT_LOAI,"Tổ",KT_TO,$D87,KT_NGAY,5),SUMIFS(KT_PHAN,KT_LOAI,"Tổ",KT_TO,IF(J87="x",$D87,J87),KT_NGAY,5)))</f>
        <v>0</v>
      </c>
      <c r="AR87" s="31" t="n">
        <f aca="false">IF(OR($B87="",K87=""),0,IF(AND($E87="Trưởng tổ",K87="x"),SUMIFS(KT_TRUONG,KT_LOAI,"Tổ",KT_TO,$D87,KT_NGAY,6),SUMIFS(KT_PHAN,KT_LOAI,"Tổ",KT_TO,IF(K87="x",$D87,K87),KT_NGAY,6)))</f>
        <v>0</v>
      </c>
      <c r="AS87" s="31" t="n">
        <f aca="false">IF(OR($B87="",L87=""),0,IF(AND($E87="Trưởng tổ",L87="x"),SUMIFS(KT_TRUONG,KT_LOAI,"Tổ",KT_TO,$D87,KT_NGAY,7),SUMIFS(KT_PHAN,KT_LOAI,"Tổ",KT_TO,IF(L87="x",$D87,L87),KT_NGAY,7)))</f>
        <v>0</v>
      </c>
      <c r="AT87" s="31" t="n">
        <f aca="false">IF(OR($B87="",M87=""),0,IF(AND($E87="Trưởng tổ",M87="x"),SUMIFS(KT_TRUONG,KT_LOAI,"Tổ",KT_TO,$D87,KT_NGAY,8),SUMIFS(KT_PHAN,KT_LOAI,"Tổ",KT_TO,IF(M87="x",$D87,M87),KT_NGAY,8)))</f>
        <v>0</v>
      </c>
      <c r="AU87" s="31" t="n">
        <f aca="false">IF(OR($B87="",N87=""),0,IF(AND($E87="Trưởng tổ",N87="x"),SUMIFS(KT_TRUONG,KT_LOAI,"Tổ",KT_TO,$D87,KT_NGAY,9),SUMIFS(KT_PHAN,KT_LOAI,"Tổ",KT_TO,IF(N87="x",$D87,N87),KT_NGAY,9)))</f>
        <v>0</v>
      </c>
      <c r="AV87" s="31" t="n">
        <f aca="false">IF(OR($B87="",O87=""),0,IF(AND($E87="Trưởng tổ",O87="x"),SUMIFS(KT_TRUONG,KT_LOAI,"Tổ",KT_TO,$D87,KT_NGAY,10),SUMIFS(KT_PHAN,KT_LOAI,"Tổ",KT_TO,IF(O87="x",$D87,O87),KT_NGAY,10)))</f>
        <v>0</v>
      </c>
      <c r="AW87" s="31" t="n">
        <f aca="false">IF(OR($B87="",P87=""),0,IF(AND($E87="Trưởng tổ",P87="x"),SUMIFS(KT_TRUONG,KT_LOAI,"Tổ",KT_TO,$D87,KT_NGAY,11),SUMIFS(KT_PHAN,KT_LOAI,"Tổ",KT_TO,IF(P87="x",$D87,P87),KT_NGAY,11)))</f>
        <v>0</v>
      </c>
      <c r="AX87" s="31" t="n">
        <f aca="false">IF(OR($B87="",Q87=""),0,IF(AND($E87="Trưởng tổ",Q87="x"),SUMIFS(KT_TRUONG,KT_LOAI,"Tổ",KT_TO,$D87,KT_NGAY,12),SUMIFS(KT_PHAN,KT_LOAI,"Tổ",KT_TO,IF(Q87="x",$D87,Q87),KT_NGAY,12)))</f>
        <v>0</v>
      </c>
      <c r="AY87" s="31" t="n">
        <f aca="false">IF(OR($B87="",R87=""),0,IF(AND($E87="Trưởng tổ",R87="x"),SUMIFS(KT_TRUONG,KT_LOAI,"Tổ",KT_TO,$D87,KT_NGAY,13),SUMIFS(KT_PHAN,KT_LOAI,"Tổ",KT_TO,IF(R87="x",$D87,R87),KT_NGAY,13)))</f>
        <v>0</v>
      </c>
      <c r="AZ87" s="31" t="n">
        <f aca="false">IF(OR($B87="",S87=""),0,IF(AND($E87="Trưởng tổ",S87="x"),SUMIFS(KT_TRUONG,KT_LOAI,"Tổ",KT_TO,$D87,KT_NGAY,14),SUMIFS(KT_PHAN,KT_LOAI,"Tổ",KT_TO,IF(S87="x",$D87,S87),KT_NGAY,14)))</f>
        <v>0</v>
      </c>
      <c r="BA87" s="31" t="n">
        <f aca="false">IF(OR($B87="",T87=""),0,IF(AND($E87="Trưởng tổ",T87="x"),SUMIFS(KT_TRUONG,KT_LOAI,"Tổ",KT_TO,$D87,KT_NGAY,15),SUMIFS(KT_PHAN,KT_LOAI,"Tổ",KT_TO,IF(T87="x",$D87,T87),KT_NGAY,15)))</f>
        <v>0</v>
      </c>
      <c r="BB87" s="31" t="n">
        <f aca="false">IF(OR($B87="",U87=""),0,IF(AND($E87="Trưởng tổ",U87="x"),SUMIFS(KT_TRUONG,KT_LOAI,"Tổ",KT_TO,$D87,KT_NGAY,16),SUMIFS(KT_PHAN,KT_LOAI,"Tổ",KT_TO,IF(U87="x",$D87,U87),KT_NGAY,16)))</f>
        <v>0</v>
      </c>
      <c r="BC87" s="31" t="n">
        <f aca="false">IF(OR($B87="",V87=""),0,IF(AND($E87="Trưởng tổ",V87="x"),SUMIFS(KT_TRUONG,KT_LOAI,"Tổ",KT_TO,$D87,KT_NGAY,17),SUMIFS(KT_PHAN,KT_LOAI,"Tổ",KT_TO,IF(V87="x",$D87,V87),KT_NGAY,17)))</f>
        <v>0</v>
      </c>
      <c r="BD87" s="31" t="n">
        <f aca="false">IF(OR($B87="",W87=""),0,IF(AND($E87="Trưởng tổ",W87="x"),SUMIFS(KT_TRUONG,KT_LOAI,"Tổ",KT_TO,$D87,KT_NGAY,18),SUMIFS(KT_PHAN,KT_LOAI,"Tổ",KT_TO,IF(W87="x",$D87,W87),KT_NGAY,18)))</f>
        <v>0</v>
      </c>
      <c r="BE87" s="31" t="n">
        <f aca="false">IF(OR($B87="",X87=""),0,IF(AND($E87="Trưởng tổ",X87="x"),SUMIFS(KT_TRUONG,KT_LOAI,"Tổ",KT_TO,$D87,KT_NGAY,19),SUMIFS(KT_PHAN,KT_LOAI,"Tổ",KT_TO,IF(X87="x",$D87,X87),KT_NGAY,19)))</f>
        <v>0</v>
      </c>
      <c r="BF87" s="31" t="n">
        <f aca="false">IF(OR($B87="",Y87=""),0,IF(AND($E87="Trưởng tổ",Y87="x"),SUMIFS(KT_TRUONG,KT_LOAI,"Tổ",KT_TO,$D87,KT_NGAY,20),SUMIFS(KT_PHAN,KT_LOAI,"Tổ",KT_TO,IF(Y87="x",$D87,Y87),KT_NGAY,20)))</f>
        <v>0</v>
      </c>
      <c r="BG87" s="31" t="n">
        <f aca="false">IF(OR($B87="",Z87=""),0,IF(AND($E87="Trưởng tổ",Z87="x"),SUMIFS(KT_TRUONG,KT_LOAI,"Tổ",KT_TO,$D87,KT_NGAY,21),SUMIFS(KT_PHAN,KT_LOAI,"Tổ",KT_TO,IF(Z87="x",$D87,Z87),KT_NGAY,21)))</f>
        <v>0</v>
      </c>
      <c r="BH87" s="31" t="n">
        <f aca="false">IF(OR($B87="",AA87=""),0,IF(AND($E87="Trưởng tổ",AA87="x"),SUMIFS(KT_TRUONG,KT_LOAI,"Tổ",KT_TO,$D87,KT_NGAY,22),SUMIFS(KT_PHAN,KT_LOAI,"Tổ",KT_TO,IF(AA87="x",$D87,AA87),KT_NGAY,22)))</f>
        <v>0</v>
      </c>
      <c r="BI87" s="31" t="n">
        <f aca="false">IF(OR($B87="",AB87=""),0,IF(AND($E87="Trưởng tổ",AB87="x"),SUMIFS(KT_TRUONG,KT_LOAI,"Tổ",KT_TO,$D87,KT_NGAY,23),SUMIFS(KT_PHAN,KT_LOAI,"Tổ",KT_TO,IF(AB87="x",$D87,AB87),KT_NGAY,23)))</f>
        <v>0</v>
      </c>
      <c r="BJ87" s="31" t="n">
        <f aca="false">IF(OR($B87="",AC87=""),0,IF(AND($E87="Trưởng tổ",AC87="x"),SUMIFS(KT_TRUONG,KT_LOAI,"Tổ",KT_TO,$D87,KT_NGAY,24),SUMIFS(KT_PHAN,KT_LOAI,"Tổ",KT_TO,IF(AC87="x",$D87,AC87),KT_NGAY,24)))</f>
        <v>0</v>
      </c>
      <c r="BK87" s="31" t="n">
        <f aca="false">IF(OR($B87="",AD87=""),0,IF(AND($E87="Trưởng tổ",AD87="x"),SUMIFS(KT_TRUONG,KT_LOAI,"Tổ",KT_TO,$D87,KT_NGAY,25),SUMIFS(KT_PHAN,KT_LOAI,"Tổ",KT_TO,IF(AD87="x",$D87,AD87),KT_NGAY,25)))</f>
        <v>0</v>
      </c>
      <c r="BL87" s="31" t="n">
        <f aca="false">IF(OR($B87="",AE87=""),0,IF(AND($E87="Trưởng tổ",AE87="x"),SUMIFS(KT_TRUONG,KT_LOAI,"Tổ",KT_TO,$D87,KT_NGAY,26),SUMIFS(KT_PHAN,KT_LOAI,"Tổ",KT_TO,IF(AE87="x",$D87,AE87),KT_NGAY,26)))</f>
        <v>0</v>
      </c>
      <c r="BM87" s="31" t="n">
        <f aca="false">IF(OR($B87="",AF87=""),0,IF(AND($E87="Trưởng tổ",AF87="x"),SUMIFS(KT_TRUONG,KT_LOAI,"Tổ",KT_TO,$D87,KT_NGAY,27),SUMIFS(KT_PHAN,KT_LOAI,"Tổ",KT_TO,IF(AF87="x",$D87,AF87),KT_NGAY,27)))</f>
        <v>0</v>
      </c>
      <c r="BN87" s="31" t="n">
        <f aca="false">IF(OR($B87="",AG87=""),0,IF(AND($E87="Trưởng tổ",AG87="x"),SUMIFS(KT_TRUONG,KT_LOAI,"Tổ",KT_TO,$D87,KT_NGAY,28),SUMIFS(KT_PHAN,KT_LOAI,"Tổ",KT_TO,IF(AG87="x",$D87,AG87),KT_NGAY,28)))</f>
        <v>0</v>
      </c>
      <c r="BO87" s="31" t="n">
        <f aca="false">IF(OR($B87="",AH87=""),0,IF(AND($E87="Trưởng tổ",AH87="x"),SUMIFS(KT_TRUONG,KT_LOAI,"Tổ",KT_TO,$D87,KT_NGAY,29),SUMIFS(KT_PHAN,KT_LOAI,"Tổ",KT_TO,IF(AH87="x",$D87,AH87),KT_NGAY,29)))</f>
        <v>0</v>
      </c>
      <c r="BP87" s="31" t="n">
        <f aca="false">IF(OR($B87="",AI87=""),0,IF(AND($E87="Trưởng tổ",AI87="x"),SUMIFS(KT_TRUONG,KT_LOAI,"Tổ",KT_TO,$D87,KT_NGAY,30),SUMIFS(KT_PHAN,KT_LOAI,"Tổ",KT_TO,IF(AI87="x",$D87,AI87),KT_NGAY,30)))</f>
        <v>0</v>
      </c>
      <c r="BQ87" s="31" t="n">
        <f aca="false">IF(OR($B87="",AJ87=""),0,IF(AND($E87="Trưởng tổ",AJ87="x"),SUMIFS(KT_TRUONG,KT_LOAI,"Tổ",KT_TO,$D87,KT_NGAY,31),SUMIFS(KT_PHAN,KT_LOAI,"Tổ",KT_TO,IF(AJ87="x",$D87,AJ87),KT_NGAY,31)))</f>
        <v>0</v>
      </c>
    </row>
    <row r="88" customFormat="false" ht="15" hidden="false" customHeight="false" outlineLevel="0" collapsed="false">
      <c r="A88" s="17" t="str">
        <f aca="false">IF(B88="","",ROW()-5)</f>
        <v/>
      </c>
      <c r="B88" s="29" t="str">
        <f aca="false">IF(OR(BCC!B88="",BCC!D88&lt;&gt;"Thời vụ HAQT"),"",BCC!B88)</f>
        <v/>
      </c>
      <c r="C88" s="17" t="str">
        <f aca="false">IF(B88="","",BCC!C88)</f>
        <v/>
      </c>
      <c r="D88" s="17" t="str">
        <f aca="false">IF(B88="","",IFERROR(INDEX(NV_TO,MATCH(B88,NV_MA,0)),""))</f>
        <v/>
      </c>
      <c r="E88" s="17" t="str">
        <f aca="false">IF(B88="","",IFERROR(INDEX(NV_VT,MATCH(B88,NV_MA,0)),""))</f>
        <v/>
      </c>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17" t="str">
        <f aca="false">IF(B88="","",COUNTA(F88:AJ88))</f>
        <v/>
      </c>
      <c r="AL88" s="30" t="str">
        <f aca="false">IF(B88="","",SUM(AM88:BQ88))</f>
        <v/>
      </c>
      <c r="AM88" s="31" t="n">
        <f aca="false">IF(OR($B88="",F88=""),0,IF(AND($E88="Trưởng tổ",F88="x"),SUMIFS(KT_TRUONG,KT_LOAI,"Tổ",KT_TO,$D88,KT_NGAY,1),SUMIFS(KT_PHAN,KT_LOAI,"Tổ",KT_TO,IF(F88="x",$D88,F88),KT_NGAY,1)))</f>
        <v>0</v>
      </c>
      <c r="AN88" s="31" t="n">
        <f aca="false">IF(OR($B88="",G88=""),0,IF(AND($E88="Trưởng tổ",G88="x"),SUMIFS(KT_TRUONG,KT_LOAI,"Tổ",KT_TO,$D88,KT_NGAY,2),SUMIFS(KT_PHAN,KT_LOAI,"Tổ",KT_TO,IF(G88="x",$D88,G88),KT_NGAY,2)))</f>
        <v>0</v>
      </c>
      <c r="AO88" s="31" t="n">
        <f aca="false">IF(OR($B88="",H88=""),0,IF(AND($E88="Trưởng tổ",H88="x"),SUMIFS(KT_TRUONG,KT_LOAI,"Tổ",KT_TO,$D88,KT_NGAY,3),SUMIFS(KT_PHAN,KT_LOAI,"Tổ",KT_TO,IF(H88="x",$D88,H88),KT_NGAY,3)))</f>
        <v>0</v>
      </c>
      <c r="AP88" s="31" t="n">
        <f aca="false">IF(OR($B88="",I88=""),0,IF(AND($E88="Trưởng tổ",I88="x"),SUMIFS(KT_TRUONG,KT_LOAI,"Tổ",KT_TO,$D88,KT_NGAY,4),SUMIFS(KT_PHAN,KT_LOAI,"Tổ",KT_TO,IF(I88="x",$D88,I88),KT_NGAY,4)))</f>
        <v>0</v>
      </c>
      <c r="AQ88" s="31" t="n">
        <f aca="false">IF(OR($B88="",J88=""),0,IF(AND($E88="Trưởng tổ",J88="x"),SUMIFS(KT_TRUONG,KT_LOAI,"Tổ",KT_TO,$D88,KT_NGAY,5),SUMIFS(KT_PHAN,KT_LOAI,"Tổ",KT_TO,IF(J88="x",$D88,J88),KT_NGAY,5)))</f>
        <v>0</v>
      </c>
      <c r="AR88" s="31" t="n">
        <f aca="false">IF(OR($B88="",K88=""),0,IF(AND($E88="Trưởng tổ",K88="x"),SUMIFS(KT_TRUONG,KT_LOAI,"Tổ",KT_TO,$D88,KT_NGAY,6),SUMIFS(KT_PHAN,KT_LOAI,"Tổ",KT_TO,IF(K88="x",$D88,K88),KT_NGAY,6)))</f>
        <v>0</v>
      </c>
      <c r="AS88" s="31" t="n">
        <f aca="false">IF(OR($B88="",L88=""),0,IF(AND($E88="Trưởng tổ",L88="x"),SUMIFS(KT_TRUONG,KT_LOAI,"Tổ",KT_TO,$D88,KT_NGAY,7),SUMIFS(KT_PHAN,KT_LOAI,"Tổ",KT_TO,IF(L88="x",$D88,L88),KT_NGAY,7)))</f>
        <v>0</v>
      </c>
      <c r="AT88" s="31" t="n">
        <f aca="false">IF(OR($B88="",M88=""),0,IF(AND($E88="Trưởng tổ",M88="x"),SUMIFS(KT_TRUONG,KT_LOAI,"Tổ",KT_TO,$D88,KT_NGAY,8),SUMIFS(KT_PHAN,KT_LOAI,"Tổ",KT_TO,IF(M88="x",$D88,M88),KT_NGAY,8)))</f>
        <v>0</v>
      </c>
      <c r="AU88" s="31" t="n">
        <f aca="false">IF(OR($B88="",N88=""),0,IF(AND($E88="Trưởng tổ",N88="x"),SUMIFS(KT_TRUONG,KT_LOAI,"Tổ",KT_TO,$D88,KT_NGAY,9),SUMIFS(KT_PHAN,KT_LOAI,"Tổ",KT_TO,IF(N88="x",$D88,N88),KT_NGAY,9)))</f>
        <v>0</v>
      </c>
      <c r="AV88" s="31" t="n">
        <f aca="false">IF(OR($B88="",O88=""),0,IF(AND($E88="Trưởng tổ",O88="x"),SUMIFS(KT_TRUONG,KT_LOAI,"Tổ",KT_TO,$D88,KT_NGAY,10),SUMIFS(KT_PHAN,KT_LOAI,"Tổ",KT_TO,IF(O88="x",$D88,O88),KT_NGAY,10)))</f>
        <v>0</v>
      </c>
      <c r="AW88" s="31" t="n">
        <f aca="false">IF(OR($B88="",P88=""),0,IF(AND($E88="Trưởng tổ",P88="x"),SUMIFS(KT_TRUONG,KT_LOAI,"Tổ",KT_TO,$D88,KT_NGAY,11),SUMIFS(KT_PHAN,KT_LOAI,"Tổ",KT_TO,IF(P88="x",$D88,P88),KT_NGAY,11)))</f>
        <v>0</v>
      </c>
      <c r="AX88" s="31" t="n">
        <f aca="false">IF(OR($B88="",Q88=""),0,IF(AND($E88="Trưởng tổ",Q88="x"),SUMIFS(KT_TRUONG,KT_LOAI,"Tổ",KT_TO,$D88,KT_NGAY,12),SUMIFS(KT_PHAN,KT_LOAI,"Tổ",KT_TO,IF(Q88="x",$D88,Q88),KT_NGAY,12)))</f>
        <v>0</v>
      </c>
      <c r="AY88" s="31" t="n">
        <f aca="false">IF(OR($B88="",R88=""),0,IF(AND($E88="Trưởng tổ",R88="x"),SUMIFS(KT_TRUONG,KT_LOAI,"Tổ",KT_TO,$D88,KT_NGAY,13),SUMIFS(KT_PHAN,KT_LOAI,"Tổ",KT_TO,IF(R88="x",$D88,R88),KT_NGAY,13)))</f>
        <v>0</v>
      </c>
      <c r="AZ88" s="31" t="n">
        <f aca="false">IF(OR($B88="",S88=""),0,IF(AND($E88="Trưởng tổ",S88="x"),SUMIFS(KT_TRUONG,KT_LOAI,"Tổ",KT_TO,$D88,KT_NGAY,14),SUMIFS(KT_PHAN,KT_LOAI,"Tổ",KT_TO,IF(S88="x",$D88,S88),KT_NGAY,14)))</f>
        <v>0</v>
      </c>
      <c r="BA88" s="31" t="n">
        <f aca="false">IF(OR($B88="",T88=""),0,IF(AND($E88="Trưởng tổ",T88="x"),SUMIFS(KT_TRUONG,KT_LOAI,"Tổ",KT_TO,$D88,KT_NGAY,15),SUMIFS(KT_PHAN,KT_LOAI,"Tổ",KT_TO,IF(T88="x",$D88,T88),KT_NGAY,15)))</f>
        <v>0</v>
      </c>
      <c r="BB88" s="31" t="n">
        <f aca="false">IF(OR($B88="",U88=""),0,IF(AND($E88="Trưởng tổ",U88="x"),SUMIFS(KT_TRUONG,KT_LOAI,"Tổ",KT_TO,$D88,KT_NGAY,16),SUMIFS(KT_PHAN,KT_LOAI,"Tổ",KT_TO,IF(U88="x",$D88,U88),KT_NGAY,16)))</f>
        <v>0</v>
      </c>
      <c r="BC88" s="31" t="n">
        <f aca="false">IF(OR($B88="",V88=""),0,IF(AND($E88="Trưởng tổ",V88="x"),SUMIFS(KT_TRUONG,KT_LOAI,"Tổ",KT_TO,$D88,KT_NGAY,17),SUMIFS(KT_PHAN,KT_LOAI,"Tổ",KT_TO,IF(V88="x",$D88,V88),KT_NGAY,17)))</f>
        <v>0</v>
      </c>
      <c r="BD88" s="31" t="n">
        <f aca="false">IF(OR($B88="",W88=""),0,IF(AND($E88="Trưởng tổ",W88="x"),SUMIFS(KT_TRUONG,KT_LOAI,"Tổ",KT_TO,$D88,KT_NGAY,18),SUMIFS(KT_PHAN,KT_LOAI,"Tổ",KT_TO,IF(W88="x",$D88,W88),KT_NGAY,18)))</f>
        <v>0</v>
      </c>
      <c r="BE88" s="31" t="n">
        <f aca="false">IF(OR($B88="",X88=""),0,IF(AND($E88="Trưởng tổ",X88="x"),SUMIFS(KT_TRUONG,KT_LOAI,"Tổ",KT_TO,$D88,KT_NGAY,19),SUMIFS(KT_PHAN,KT_LOAI,"Tổ",KT_TO,IF(X88="x",$D88,X88),KT_NGAY,19)))</f>
        <v>0</v>
      </c>
      <c r="BF88" s="31" t="n">
        <f aca="false">IF(OR($B88="",Y88=""),0,IF(AND($E88="Trưởng tổ",Y88="x"),SUMIFS(KT_TRUONG,KT_LOAI,"Tổ",KT_TO,$D88,KT_NGAY,20),SUMIFS(KT_PHAN,KT_LOAI,"Tổ",KT_TO,IF(Y88="x",$D88,Y88),KT_NGAY,20)))</f>
        <v>0</v>
      </c>
      <c r="BG88" s="31" t="n">
        <f aca="false">IF(OR($B88="",Z88=""),0,IF(AND($E88="Trưởng tổ",Z88="x"),SUMIFS(KT_TRUONG,KT_LOAI,"Tổ",KT_TO,$D88,KT_NGAY,21),SUMIFS(KT_PHAN,KT_LOAI,"Tổ",KT_TO,IF(Z88="x",$D88,Z88),KT_NGAY,21)))</f>
        <v>0</v>
      </c>
      <c r="BH88" s="31" t="n">
        <f aca="false">IF(OR($B88="",AA88=""),0,IF(AND($E88="Trưởng tổ",AA88="x"),SUMIFS(KT_TRUONG,KT_LOAI,"Tổ",KT_TO,$D88,KT_NGAY,22),SUMIFS(KT_PHAN,KT_LOAI,"Tổ",KT_TO,IF(AA88="x",$D88,AA88),KT_NGAY,22)))</f>
        <v>0</v>
      </c>
      <c r="BI88" s="31" t="n">
        <f aca="false">IF(OR($B88="",AB88=""),0,IF(AND($E88="Trưởng tổ",AB88="x"),SUMIFS(KT_TRUONG,KT_LOAI,"Tổ",KT_TO,$D88,KT_NGAY,23),SUMIFS(KT_PHAN,KT_LOAI,"Tổ",KT_TO,IF(AB88="x",$D88,AB88),KT_NGAY,23)))</f>
        <v>0</v>
      </c>
      <c r="BJ88" s="31" t="n">
        <f aca="false">IF(OR($B88="",AC88=""),0,IF(AND($E88="Trưởng tổ",AC88="x"),SUMIFS(KT_TRUONG,KT_LOAI,"Tổ",KT_TO,$D88,KT_NGAY,24),SUMIFS(KT_PHAN,KT_LOAI,"Tổ",KT_TO,IF(AC88="x",$D88,AC88),KT_NGAY,24)))</f>
        <v>0</v>
      </c>
      <c r="BK88" s="31" t="n">
        <f aca="false">IF(OR($B88="",AD88=""),0,IF(AND($E88="Trưởng tổ",AD88="x"),SUMIFS(KT_TRUONG,KT_LOAI,"Tổ",KT_TO,$D88,KT_NGAY,25),SUMIFS(KT_PHAN,KT_LOAI,"Tổ",KT_TO,IF(AD88="x",$D88,AD88),KT_NGAY,25)))</f>
        <v>0</v>
      </c>
      <c r="BL88" s="31" t="n">
        <f aca="false">IF(OR($B88="",AE88=""),0,IF(AND($E88="Trưởng tổ",AE88="x"),SUMIFS(KT_TRUONG,KT_LOAI,"Tổ",KT_TO,$D88,KT_NGAY,26),SUMIFS(KT_PHAN,KT_LOAI,"Tổ",KT_TO,IF(AE88="x",$D88,AE88),KT_NGAY,26)))</f>
        <v>0</v>
      </c>
      <c r="BM88" s="31" t="n">
        <f aca="false">IF(OR($B88="",AF88=""),0,IF(AND($E88="Trưởng tổ",AF88="x"),SUMIFS(KT_TRUONG,KT_LOAI,"Tổ",KT_TO,$D88,KT_NGAY,27),SUMIFS(KT_PHAN,KT_LOAI,"Tổ",KT_TO,IF(AF88="x",$D88,AF88),KT_NGAY,27)))</f>
        <v>0</v>
      </c>
      <c r="BN88" s="31" t="n">
        <f aca="false">IF(OR($B88="",AG88=""),0,IF(AND($E88="Trưởng tổ",AG88="x"),SUMIFS(KT_TRUONG,KT_LOAI,"Tổ",KT_TO,$D88,KT_NGAY,28),SUMIFS(KT_PHAN,KT_LOAI,"Tổ",KT_TO,IF(AG88="x",$D88,AG88),KT_NGAY,28)))</f>
        <v>0</v>
      </c>
      <c r="BO88" s="31" t="n">
        <f aca="false">IF(OR($B88="",AH88=""),0,IF(AND($E88="Trưởng tổ",AH88="x"),SUMIFS(KT_TRUONG,KT_LOAI,"Tổ",KT_TO,$D88,KT_NGAY,29),SUMIFS(KT_PHAN,KT_LOAI,"Tổ",KT_TO,IF(AH88="x",$D88,AH88),KT_NGAY,29)))</f>
        <v>0</v>
      </c>
      <c r="BP88" s="31" t="n">
        <f aca="false">IF(OR($B88="",AI88=""),0,IF(AND($E88="Trưởng tổ",AI88="x"),SUMIFS(KT_TRUONG,KT_LOAI,"Tổ",KT_TO,$D88,KT_NGAY,30),SUMIFS(KT_PHAN,KT_LOAI,"Tổ",KT_TO,IF(AI88="x",$D88,AI88),KT_NGAY,30)))</f>
        <v>0</v>
      </c>
      <c r="BQ88" s="31" t="n">
        <f aca="false">IF(OR($B88="",AJ88=""),0,IF(AND($E88="Trưởng tổ",AJ88="x"),SUMIFS(KT_TRUONG,KT_LOAI,"Tổ",KT_TO,$D88,KT_NGAY,31),SUMIFS(KT_PHAN,KT_LOAI,"Tổ",KT_TO,IF(AJ88="x",$D88,AJ88),KT_NGAY,31)))</f>
        <v>0</v>
      </c>
    </row>
    <row r="89" customFormat="false" ht="15" hidden="false" customHeight="false" outlineLevel="0" collapsed="false">
      <c r="A89" s="17" t="str">
        <f aca="false">IF(B89="","",ROW()-5)</f>
        <v/>
      </c>
      <c r="B89" s="29" t="str">
        <f aca="false">IF(OR(BCC!B89="",BCC!D89&lt;&gt;"Thời vụ HAQT"),"",BCC!B89)</f>
        <v/>
      </c>
      <c r="C89" s="17" t="str">
        <f aca="false">IF(B89="","",BCC!C89)</f>
        <v/>
      </c>
      <c r="D89" s="17" t="str">
        <f aca="false">IF(B89="","",IFERROR(INDEX(NV_TO,MATCH(B89,NV_MA,0)),""))</f>
        <v/>
      </c>
      <c r="E89" s="17" t="str">
        <f aca="false">IF(B89="","",IFERROR(INDEX(NV_VT,MATCH(B89,NV_MA,0)),""))</f>
        <v/>
      </c>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17" t="str">
        <f aca="false">IF(B89="","",COUNTA(F89:AJ89))</f>
        <v/>
      </c>
      <c r="AL89" s="30" t="str">
        <f aca="false">IF(B89="","",SUM(AM89:BQ89))</f>
        <v/>
      </c>
      <c r="AM89" s="31" t="n">
        <f aca="false">IF(OR($B89="",F89=""),0,IF(AND($E89="Trưởng tổ",F89="x"),SUMIFS(KT_TRUONG,KT_LOAI,"Tổ",KT_TO,$D89,KT_NGAY,1),SUMIFS(KT_PHAN,KT_LOAI,"Tổ",KT_TO,IF(F89="x",$D89,F89),KT_NGAY,1)))</f>
        <v>0</v>
      </c>
      <c r="AN89" s="31" t="n">
        <f aca="false">IF(OR($B89="",G89=""),0,IF(AND($E89="Trưởng tổ",G89="x"),SUMIFS(KT_TRUONG,KT_LOAI,"Tổ",KT_TO,$D89,KT_NGAY,2),SUMIFS(KT_PHAN,KT_LOAI,"Tổ",KT_TO,IF(G89="x",$D89,G89),KT_NGAY,2)))</f>
        <v>0</v>
      </c>
      <c r="AO89" s="31" t="n">
        <f aca="false">IF(OR($B89="",H89=""),0,IF(AND($E89="Trưởng tổ",H89="x"),SUMIFS(KT_TRUONG,KT_LOAI,"Tổ",KT_TO,$D89,KT_NGAY,3),SUMIFS(KT_PHAN,KT_LOAI,"Tổ",KT_TO,IF(H89="x",$D89,H89),KT_NGAY,3)))</f>
        <v>0</v>
      </c>
      <c r="AP89" s="31" t="n">
        <f aca="false">IF(OR($B89="",I89=""),0,IF(AND($E89="Trưởng tổ",I89="x"),SUMIFS(KT_TRUONG,KT_LOAI,"Tổ",KT_TO,$D89,KT_NGAY,4),SUMIFS(KT_PHAN,KT_LOAI,"Tổ",KT_TO,IF(I89="x",$D89,I89),KT_NGAY,4)))</f>
        <v>0</v>
      </c>
      <c r="AQ89" s="31" t="n">
        <f aca="false">IF(OR($B89="",J89=""),0,IF(AND($E89="Trưởng tổ",J89="x"),SUMIFS(KT_TRUONG,KT_LOAI,"Tổ",KT_TO,$D89,KT_NGAY,5),SUMIFS(KT_PHAN,KT_LOAI,"Tổ",KT_TO,IF(J89="x",$D89,J89),KT_NGAY,5)))</f>
        <v>0</v>
      </c>
      <c r="AR89" s="31" t="n">
        <f aca="false">IF(OR($B89="",K89=""),0,IF(AND($E89="Trưởng tổ",K89="x"),SUMIFS(KT_TRUONG,KT_LOAI,"Tổ",KT_TO,$D89,KT_NGAY,6),SUMIFS(KT_PHAN,KT_LOAI,"Tổ",KT_TO,IF(K89="x",$D89,K89),KT_NGAY,6)))</f>
        <v>0</v>
      </c>
      <c r="AS89" s="31" t="n">
        <f aca="false">IF(OR($B89="",L89=""),0,IF(AND($E89="Trưởng tổ",L89="x"),SUMIFS(KT_TRUONG,KT_LOAI,"Tổ",KT_TO,$D89,KT_NGAY,7),SUMIFS(KT_PHAN,KT_LOAI,"Tổ",KT_TO,IF(L89="x",$D89,L89),KT_NGAY,7)))</f>
        <v>0</v>
      </c>
      <c r="AT89" s="31" t="n">
        <f aca="false">IF(OR($B89="",M89=""),0,IF(AND($E89="Trưởng tổ",M89="x"),SUMIFS(KT_TRUONG,KT_LOAI,"Tổ",KT_TO,$D89,KT_NGAY,8),SUMIFS(KT_PHAN,KT_LOAI,"Tổ",KT_TO,IF(M89="x",$D89,M89),KT_NGAY,8)))</f>
        <v>0</v>
      </c>
      <c r="AU89" s="31" t="n">
        <f aca="false">IF(OR($B89="",N89=""),0,IF(AND($E89="Trưởng tổ",N89="x"),SUMIFS(KT_TRUONG,KT_LOAI,"Tổ",KT_TO,$D89,KT_NGAY,9),SUMIFS(KT_PHAN,KT_LOAI,"Tổ",KT_TO,IF(N89="x",$D89,N89),KT_NGAY,9)))</f>
        <v>0</v>
      </c>
      <c r="AV89" s="31" t="n">
        <f aca="false">IF(OR($B89="",O89=""),0,IF(AND($E89="Trưởng tổ",O89="x"),SUMIFS(KT_TRUONG,KT_LOAI,"Tổ",KT_TO,$D89,KT_NGAY,10),SUMIFS(KT_PHAN,KT_LOAI,"Tổ",KT_TO,IF(O89="x",$D89,O89),KT_NGAY,10)))</f>
        <v>0</v>
      </c>
      <c r="AW89" s="31" t="n">
        <f aca="false">IF(OR($B89="",P89=""),0,IF(AND($E89="Trưởng tổ",P89="x"),SUMIFS(KT_TRUONG,KT_LOAI,"Tổ",KT_TO,$D89,KT_NGAY,11),SUMIFS(KT_PHAN,KT_LOAI,"Tổ",KT_TO,IF(P89="x",$D89,P89),KT_NGAY,11)))</f>
        <v>0</v>
      </c>
      <c r="AX89" s="31" t="n">
        <f aca="false">IF(OR($B89="",Q89=""),0,IF(AND($E89="Trưởng tổ",Q89="x"),SUMIFS(KT_TRUONG,KT_LOAI,"Tổ",KT_TO,$D89,KT_NGAY,12),SUMIFS(KT_PHAN,KT_LOAI,"Tổ",KT_TO,IF(Q89="x",$D89,Q89),KT_NGAY,12)))</f>
        <v>0</v>
      </c>
      <c r="AY89" s="31" t="n">
        <f aca="false">IF(OR($B89="",R89=""),0,IF(AND($E89="Trưởng tổ",R89="x"),SUMIFS(KT_TRUONG,KT_LOAI,"Tổ",KT_TO,$D89,KT_NGAY,13),SUMIFS(KT_PHAN,KT_LOAI,"Tổ",KT_TO,IF(R89="x",$D89,R89),KT_NGAY,13)))</f>
        <v>0</v>
      </c>
      <c r="AZ89" s="31" t="n">
        <f aca="false">IF(OR($B89="",S89=""),0,IF(AND($E89="Trưởng tổ",S89="x"),SUMIFS(KT_TRUONG,KT_LOAI,"Tổ",KT_TO,$D89,KT_NGAY,14),SUMIFS(KT_PHAN,KT_LOAI,"Tổ",KT_TO,IF(S89="x",$D89,S89),KT_NGAY,14)))</f>
        <v>0</v>
      </c>
      <c r="BA89" s="31" t="n">
        <f aca="false">IF(OR($B89="",T89=""),0,IF(AND($E89="Trưởng tổ",T89="x"),SUMIFS(KT_TRUONG,KT_LOAI,"Tổ",KT_TO,$D89,KT_NGAY,15),SUMIFS(KT_PHAN,KT_LOAI,"Tổ",KT_TO,IF(T89="x",$D89,T89),KT_NGAY,15)))</f>
        <v>0</v>
      </c>
      <c r="BB89" s="31" t="n">
        <f aca="false">IF(OR($B89="",U89=""),0,IF(AND($E89="Trưởng tổ",U89="x"),SUMIFS(KT_TRUONG,KT_LOAI,"Tổ",KT_TO,$D89,KT_NGAY,16),SUMIFS(KT_PHAN,KT_LOAI,"Tổ",KT_TO,IF(U89="x",$D89,U89),KT_NGAY,16)))</f>
        <v>0</v>
      </c>
      <c r="BC89" s="31" t="n">
        <f aca="false">IF(OR($B89="",V89=""),0,IF(AND($E89="Trưởng tổ",V89="x"),SUMIFS(KT_TRUONG,KT_LOAI,"Tổ",KT_TO,$D89,KT_NGAY,17),SUMIFS(KT_PHAN,KT_LOAI,"Tổ",KT_TO,IF(V89="x",$D89,V89),KT_NGAY,17)))</f>
        <v>0</v>
      </c>
      <c r="BD89" s="31" t="n">
        <f aca="false">IF(OR($B89="",W89=""),0,IF(AND($E89="Trưởng tổ",W89="x"),SUMIFS(KT_TRUONG,KT_LOAI,"Tổ",KT_TO,$D89,KT_NGAY,18),SUMIFS(KT_PHAN,KT_LOAI,"Tổ",KT_TO,IF(W89="x",$D89,W89),KT_NGAY,18)))</f>
        <v>0</v>
      </c>
      <c r="BE89" s="31" t="n">
        <f aca="false">IF(OR($B89="",X89=""),0,IF(AND($E89="Trưởng tổ",X89="x"),SUMIFS(KT_TRUONG,KT_LOAI,"Tổ",KT_TO,$D89,KT_NGAY,19),SUMIFS(KT_PHAN,KT_LOAI,"Tổ",KT_TO,IF(X89="x",$D89,X89),KT_NGAY,19)))</f>
        <v>0</v>
      </c>
      <c r="BF89" s="31" t="n">
        <f aca="false">IF(OR($B89="",Y89=""),0,IF(AND($E89="Trưởng tổ",Y89="x"),SUMIFS(KT_TRUONG,KT_LOAI,"Tổ",KT_TO,$D89,KT_NGAY,20),SUMIFS(KT_PHAN,KT_LOAI,"Tổ",KT_TO,IF(Y89="x",$D89,Y89),KT_NGAY,20)))</f>
        <v>0</v>
      </c>
      <c r="BG89" s="31" t="n">
        <f aca="false">IF(OR($B89="",Z89=""),0,IF(AND($E89="Trưởng tổ",Z89="x"),SUMIFS(KT_TRUONG,KT_LOAI,"Tổ",KT_TO,$D89,KT_NGAY,21),SUMIFS(KT_PHAN,KT_LOAI,"Tổ",KT_TO,IF(Z89="x",$D89,Z89),KT_NGAY,21)))</f>
        <v>0</v>
      </c>
      <c r="BH89" s="31" t="n">
        <f aca="false">IF(OR($B89="",AA89=""),0,IF(AND($E89="Trưởng tổ",AA89="x"),SUMIFS(KT_TRUONG,KT_LOAI,"Tổ",KT_TO,$D89,KT_NGAY,22),SUMIFS(KT_PHAN,KT_LOAI,"Tổ",KT_TO,IF(AA89="x",$D89,AA89),KT_NGAY,22)))</f>
        <v>0</v>
      </c>
      <c r="BI89" s="31" t="n">
        <f aca="false">IF(OR($B89="",AB89=""),0,IF(AND($E89="Trưởng tổ",AB89="x"),SUMIFS(KT_TRUONG,KT_LOAI,"Tổ",KT_TO,$D89,KT_NGAY,23),SUMIFS(KT_PHAN,KT_LOAI,"Tổ",KT_TO,IF(AB89="x",$D89,AB89),KT_NGAY,23)))</f>
        <v>0</v>
      </c>
      <c r="BJ89" s="31" t="n">
        <f aca="false">IF(OR($B89="",AC89=""),0,IF(AND($E89="Trưởng tổ",AC89="x"),SUMIFS(KT_TRUONG,KT_LOAI,"Tổ",KT_TO,$D89,KT_NGAY,24),SUMIFS(KT_PHAN,KT_LOAI,"Tổ",KT_TO,IF(AC89="x",$D89,AC89),KT_NGAY,24)))</f>
        <v>0</v>
      </c>
      <c r="BK89" s="31" t="n">
        <f aca="false">IF(OR($B89="",AD89=""),0,IF(AND($E89="Trưởng tổ",AD89="x"),SUMIFS(KT_TRUONG,KT_LOAI,"Tổ",KT_TO,$D89,KT_NGAY,25),SUMIFS(KT_PHAN,KT_LOAI,"Tổ",KT_TO,IF(AD89="x",$D89,AD89),KT_NGAY,25)))</f>
        <v>0</v>
      </c>
      <c r="BL89" s="31" t="n">
        <f aca="false">IF(OR($B89="",AE89=""),0,IF(AND($E89="Trưởng tổ",AE89="x"),SUMIFS(KT_TRUONG,KT_LOAI,"Tổ",KT_TO,$D89,KT_NGAY,26),SUMIFS(KT_PHAN,KT_LOAI,"Tổ",KT_TO,IF(AE89="x",$D89,AE89),KT_NGAY,26)))</f>
        <v>0</v>
      </c>
      <c r="BM89" s="31" t="n">
        <f aca="false">IF(OR($B89="",AF89=""),0,IF(AND($E89="Trưởng tổ",AF89="x"),SUMIFS(KT_TRUONG,KT_LOAI,"Tổ",KT_TO,$D89,KT_NGAY,27),SUMIFS(KT_PHAN,KT_LOAI,"Tổ",KT_TO,IF(AF89="x",$D89,AF89),KT_NGAY,27)))</f>
        <v>0</v>
      </c>
      <c r="BN89" s="31" t="n">
        <f aca="false">IF(OR($B89="",AG89=""),0,IF(AND($E89="Trưởng tổ",AG89="x"),SUMIFS(KT_TRUONG,KT_LOAI,"Tổ",KT_TO,$D89,KT_NGAY,28),SUMIFS(KT_PHAN,KT_LOAI,"Tổ",KT_TO,IF(AG89="x",$D89,AG89),KT_NGAY,28)))</f>
        <v>0</v>
      </c>
      <c r="BO89" s="31" t="n">
        <f aca="false">IF(OR($B89="",AH89=""),0,IF(AND($E89="Trưởng tổ",AH89="x"),SUMIFS(KT_TRUONG,KT_LOAI,"Tổ",KT_TO,$D89,KT_NGAY,29),SUMIFS(KT_PHAN,KT_LOAI,"Tổ",KT_TO,IF(AH89="x",$D89,AH89),KT_NGAY,29)))</f>
        <v>0</v>
      </c>
      <c r="BP89" s="31" t="n">
        <f aca="false">IF(OR($B89="",AI89=""),0,IF(AND($E89="Trưởng tổ",AI89="x"),SUMIFS(KT_TRUONG,KT_LOAI,"Tổ",KT_TO,$D89,KT_NGAY,30),SUMIFS(KT_PHAN,KT_LOAI,"Tổ",KT_TO,IF(AI89="x",$D89,AI89),KT_NGAY,30)))</f>
        <v>0</v>
      </c>
      <c r="BQ89" s="31" t="n">
        <f aca="false">IF(OR($B89="",AJ89=""),0,IF(AND($E89="Trưởng tổ",AJ89="x"),SUMIFS(KT_TRUONG,KT_LOAI,"Tổ",KT_TO,$D89,KT_NGAY,31),SUMIFS(KT_PHAN,KT_LOAI,"Tổ",KT_TO,IF(AJ89="x",$D89,AJ89),KT_NGAY,31)))</f>
        <v>0</v>
      </c>
    </row>
    <row r="90" customFormat="false" ht="15" hidden="false" customHeight="false" outlineLevel="0" collapsed="false">
      <c r="A90" s="17" t="str">
        <f aca="false">IF(B90="","",ROW()-5)</f>
        <v/>
      </c>
      <c r="B90" s="29" t="str">
        <f aca="false">IF(OR(BCC!B90="",BCC!D90&lt;&gt;"Thời vụ HAQT"),"",BCC!B90)</f>
        <v/>
      </c>
      <c r="C90" s="17" t="str">
        <f aca="false">IF(B90="","",BCC!C90)</f>
        <v/>
      </c>
      <c r="D90" s="17" t="str">
        <f aca="false">IF(B90="","",IFERROR(INDEX(NV_TO,MATCH(B90,NV_MA,0)),""))</f>
        <v/>
      </c>
      <c r="E90" s="17" t="str">
        <f aca="false">IF(B90="","",IFERROR(INDEX(NV_VT,MATCH(B90,NV_MA,0)),""))</f>
        <v/>
      </c>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17" t="str">
        <f aca="false">IF(B90="","",COUNTA(F90:AJ90))</f>
        <v/>
      </c>
      <c r="AL90" s="30" t="str">
        <f aca="false">IF(B90="","",SUM(AM90:BQ90))</f>
        <v/>
      </c>
      <c r="AM90" s="31" t="n">
        <f aca="false">IF(OR($B90="",F90=""),0,IF(AND($E90="Trưởng tổ",F90="x"),SUMIFS(KT_TRUONG,KT_LOAI,"Tổ",KT_TO,$D90,KT_NGAY,1),SUMIFS(KT_PHAN,KT_LOAI,"Tổ",KT_TO,IF(F90="x",$D90,F90),KT_NGAY,1)))</f>
        <v>0</v>
      </c>
      <c r="AN90" s="31" t="n">
        <f aca="false">IF(OR($B90="",G90=""),0,IF(AND($E90="Trưởng tổ",G90="x"),SUMIFS(KT_TRUONG,KT_LOAI,"Tổ",KT_TO,$D90,KT_NGAY,2),SUMIFS(KT_PHAN,KT_LOAI,"Tổ",KT_TO,IF(G90="x",$D90,G90),KT_NGAY,2)))</f>
        <v>0</v>
      </c>
      <c r="AO90" s="31" t="n">
        <f aca="false">IF(OR($B90="",H90=""),0,IF(AND($E90="Trưởng tổ",H90="x"),SUMIFS(KT_TRUONG,KT_LOAI,"Tổ",KT_TO,$D90,KT_NGAY,3),SUMIFS(KT_PHAN,KT_LOAI,"Tổ",KT_TO,IF(H90="x",$D90,H90),KT_NGAY,3)))</f>
        <v>0</v>
      </c>
      <c r="AP90" s="31" t="n">
        <f aca="false">IF(OR($B90="",I90=""),0,IF(AND($E90="Trưởng tổ",I90="x"),SUMIFS(KT_TRUONG,KT_LOAI,"Tổ",KT_TO,$D90,KT_NGAY,4),SUMIFS(KT_PHAN,KT_LOAI,"Tổ",KT_TO,IF(I90="x",$D90,I90),KT_NGAY,4)))</f>
        <v>0</v>
      </c>
      <c r="AQ90" s="31" t="n">
        <f aca="false">IF(OR($B90="",J90=""),0,IF(AND($E90="Trưởng tổ",J90="x"),SUMIFS(KT_TRUONG,KT_LOAI,"Tổ",KT_TO,$D90,KT_NGAY,5),SUMIFS(KT_PHAN,KT_LOAI,"Tổ",KT_TO,IF(J90="x",$D90,J90),KT_NGAY,5)))</f>
        <v>0</v>
      </c>
      <c r="AR90" s="31" t="n">
        <f aca="false">IF(OR($B90="",K90=""),0,IF(AND($E90="Trưởng tổ",K90="x"),SUMIFS(KT_TRUONG,KT_LOAI,"Tổ",KT_TO,$D90,KT_NGAY,6),SUMIFS(KT_PHAN,KT_LOAI,"Tổ",KT_TO,IF(K90="x",$D90,K90),KT_NGAY,6)))</f>
        <v>0</v>
      </c>
      <c r="AS90" s="31" t="n">
        <f aca="false">IF(OR($B90="",L90=""),0,IF(AND($E90="Trưởng tổ",L90="x"),SUMIFS(KT_TRUONG,KT_LOAI,"Tổ",KT_TO,$D90,KT_NGAY,7),SUMIFS(KT_PHAN,KT_LOAI,"Tổ",KT_TO,IF(L90="x",$D90,L90),KT_NGAY,7)))</f>
        <v>0</v>
      </c>
      <c r="AT90" s="31" t="n">
        <f aca="false">IF(OR($B90="",M90=""),0,IF(AND($E90="Trưởng tổ",M90="x"),SUMIFS(KT_TRUONG,KT_LOAI,"Tổ",KT_TO,$D90,KT_NGAY,8),SUMIFS(KT_PHAN,KT_LOAI,"Tổ",KT_TO,IF(M90="x",$D90,M90),KT_NGAY,8)))</f>
        <v>0</v>
      </c>
      <c r="AU90" s="31" t="n">
        <f aca="false">IF(OR($B90="",N90=""),0,IF(AND($E90="Trưởng tổ",N90="x"),SUMIFS(KT_TRUONG,KT_LOAI,"Tổ",KT_TO,$D90,KT_NGAY,9),SUMIFS(KT_PHAN,KT_LOAI,"Tổ",KT_TO,IF(N90="x",$D90,N90),KT_NGAY,9)))</f>
        <v>0</v>
      </c>
      <c r="AV90" s="31" t="n">
        <f aca="false">IF(OR($B90="",O90=""),0,IF(AND($E90="Trưởng tổ",O90="x"),SUMIFS(KT_TRUONG,KT_LOAI,"Tổ",KT_TO,$D90,KT_NGAY,10),SUMIFS(KT_PHAN,KT_LOAI,"Tổ",KT_TO,IF(O90="x",$D90,O90),KT_NGAY,10)))</f>
        <v>0</v>
      </c>
      <c r="AW90" s="31" t="n">
        <f aca="false">IF(OR($B90="",P90=""),0,IF(AND($E90="Trưởng tổ",P90="x"),SUMIFS(KT_TRUONG,KT_LOAI,"Tổ",KT_TO,$D90,KT_NGAY,11),SUMIFS(KT_PHAN,KT_LOAI,"Tổ",KT_TO,IF(P90="x",$D90,P90),KT_NGAY,11)))</f>
        <v>0</v>
      </c>
      <c r="AX90" s="31" t="n">
        <f aca="false">IF(OR($B90="",Q90=""),0,IF(AND($E90="Trưởng tổ",Q90="x"),SUMIFS(KT_TRUONG,KT_LOAI,"Tổ",KT_TO,$D90,KT_NGAY,12),SUMIFS(KT_PHAN,KT_LOAI,"Tổ",KT_TO,IF(Q90="x",$D90,Q90),KT_NGAY,12)))</f>
        <v>0</v>
      </c>
      <c r="AY90" s="31" t="n">
        <f aca="false">IF(OR($B90="",R90=""),0,IF(AND($E90="Trưởng tổ",R90="x"),SUMIFS(KT_TRUONG,KT_LOAI,"Tổ",KT_TO,$D90,KT_NGAY,13),SUMIFS(KT_PHAN,KT_LOAI,"Tổ",KT_TO,IF(R90="x",$D90,R90),KT_NGAY,13)))</f>
        <v>0</v>
      </c>
      <c r="AZ90" s="31" t="n">
        <f aca="false">IF(OR($B90="",S90=""),0,IF(AND($E90="Trưởng tổ",S90="x"),SUMIFS(KT_TRUONG,KT_LOAI,"Tổ",KT_TO,$D90,KT_NGAY,14),SUMIFS(KT_PHAN,KT_LOAI,"Tổ",KT_TO,IF(S90="x",$D90,S90),KT_NGAY,14)))</f>
        <v>0</v>
      </c>
      <c r="BA90" s="31" t="n">
        <f aca="false">IF(OR($B90="",T90=""),0,IF(AND($E90="Trưởng tổ",T90="x"),SUMIFS(KT_TRUONG,KT_LOAI,"Tổ",KT_TO,$D90,KT_NGAY,15),SUMIFS(KT_PHAN,KT_LOAI,"Tổ",KT_TO,IF(T90="x",$D90,T90),KT_NGAY,15)))</f>
        <v>0</v>
      </c>
      <c r="BB90" s="31" t="n">
        <f aca="false">IF(OR($B90="",U90=""),0,IF(AND($E90="Trưởng tổ",U90="x"),SUMIFS(KT_TRUONG,KT_LOAI,"Tổ",KT_TO,$D90,KT_NGAY,16),SUMIFS(KT_PHAN,KT_LOAI,"Tổ",KT_TO,IF(U90="x",$D90,U90),KT_NGAY,16)))</f>
        <v>0</v>
      </c>
      <c r="BC90" s="31" t="n">
        <f aca="false">IF(OR($B90="",V90=""),0,IF(AND($E90="Trưởng tổ",V90="x"),SUMIFS(KT_TRUONG,KT_LOAI,"Tổ",KT_TO,$D90,KT_NGAY,17),SUMIFS(KT_PHAN,KT_LOAI,"Tổ",KT_TO,IF(V90="x",$D90,V90),KT_NGAY,17)))</f>
        <v>0</v>
      </c>
      <c r="BD90" s="31" t="n">
        <f aca="false">IF(OR($B90="",W90=""),0,IF(AND($E90="Trưởng tổ",W90="x"),SUMIFS(KT_TRUONG,KT_LOAI,"Tổ",KT_TO,$D90,KT_NGAY,18),SUMIFS(KT_PHAN,KT_LOAI,"Tổ",KT_TO,IF(W90="x",$D90,W90),KT_NGAY,18)))</f>
        <v>0</v>
      </c>
      <c r="BE90" s="31" t="n">
        <f aca="false">IF(OR($B90="",X90=""),0,IF(AND($E90="Trưởng tổ",X90="x"),SUMIFS(KT_TRUONG,KT_LOAI,"Tổ",KT_TO,$D90,KT_NGAY,19),SUMIFS(KT_PHAN,KT_LOAI,"Tổ",KT_TO,IF(X90="x",$D90,X90),KT_NGAY,19)))</f>
        <v>0</v>
      </c>
      <c r="BF90" s="31" t="n">
        <f aca="false">IF(OR($B90="",Y90=""),0,IF(AND($E90="Trưởng tổ",Y90="x"),SUMIFS(KT_TRUONG,KT_LOAI,"Tổ",KT_TO,$D90,KT_NGAY,20),SUMIFS(KT_PHAN,KT_LOAI,"Tổ",KT_TO,IF(Y90="x",$D90,Y90),KT_NGAY,20)))</f>
        <v>0</v>
      </c>
      <c r="BG90" s="31" t="n">
        <f aca="false">IF(OR($B90="",Z90=""),0,IF(AND($E90="Trưởng tổ",Z90="x"),SUMIFS(KT_TRUONG,KT_LOAI,"Tổ",KT_TO,$D90,KT_NGAY,21),SUMIFS(KT_PHAN,KT_LOAI,"Tổ",KT_TO,IF(Z90="x",$D90,Z90),KT_NGAY,21)))</f>
        <v>0</v>
      </c>
      <c r="BH90" s="31" t="n">
        <f aca="false">IF(OR($B90="",AA90=""),0,IF(AND($E90="Trưởng tổ",AA90="x"),SUMIFS(KT_TRUONG,KT_LOAI,"Tổ",KT_TO,$D90,KT_NGAY,22),SUMIFS(KT_PHAN,KT_LOAI,"Tổ",KT_TO,IF(AA90="x",$D90,AA90),KT_NGAY,22)))</f>
        <v>0</v>
      </c>
      <c r="BI90" s="31" t="n">
        <f aca="false">IF(OR($B90="",AB90=""),0,IF(AND($E90="Trưởng tổ",AB90="x"),SUMIFS(KT_TRUONG,KT_LOAI,"Tổ",KT_TO,$D90,KT_NGAY,23),SUMIFS(KT_PHAN,KT_LOAI,"Tổ",KT_TO,IF(AB90="x",$D90,AB90),KT_NGAY,23)))</f>
        <v>0</v>
      </c>
      <c r="BJ90" s="31" t="n">
        <f aca="false">IF(OR($B90="",AC90=""),0,IF(AND($E90="Trưởng tổ",AC90="x"),SUMIFS(KT_TRUONG,KT_LOAI,"Tổ",KT_TO,$D90,KT_NGAY,24),SUMIFS(KT_PHAN,KT_LOAI,"Tổ",KT_TO,IF(AC90="x",$D90,AC90),KT_NGAY,24)))</f>
        <v>0</v>
      </c>
      <c r="BK90" s="31" t="n">
        <f aca="false">IF(OR($B90="",AD90=""),0,IF(AND($E90="Trưởng tổ",AD90="x"),SUMIFS(KT_TRUONG,KT_LOAI,"Tổ",KT_TO,$D90,KT_NGAY,25),SUMIFS(KT_PHAN,KT_LOAI,"Tổ",KT_TO,IF(AD90="x",$D90,AD90),KT_NGAY,25)))</f>
        <v>0</v>
      </c>
      <c r="BL90" s="31" t="n">
        <f aca="false">IF(OR($B90="",AE90=""),0,IF(AND($E90="Trưởng tổ",AE90="x"),SUMIFS(KT_TRUONG,KT_LOAI,"Tổ",KT_TO,$D90,KT_NGAY,26),SUMIFS(KT_PHAN,KT_LOAI,"Tổ",KT_TO,IF(AE90="x",$D90,AE90),KT_NGAY,26)))</f>
        <v>0</v>
      </c>
      <c r="BM90" s="31" t="n">
        <f aca="false">IF(OR($B90="",AF90=""),0,IF(AND($E90="Trưởng tổ",AF90="x"),SUMIFS(KT_TRUONG,KT_LOAI,"Tổ",KT_TO,$D90,KT_NGAY,27),SUMIFS(KT_PHAN,KT_LOAI,"Tổ",KT_TO,IF(AF90="x",$D90,AF90),KT_NGAY,27)))</f>
        <v>0</v>
      </c>
      <c r="BN90" s="31" t="n">
        <f aca="false">IF(OR($B90="",AG90=""),0,IF(AND($E90="Trưởng tổ",AG90="x"),SUMIFS(KT_TRUONG,KT_LOAI,"Tổ",KT_TO,$D90,KT_NGAY,28),SUMIFS(KT_PHAN,KT_LOAI,"Tổ",KT_TO,IF(AG90="x",$D90,AG90),KT_NGAY,28)))</f>
        <v>0</v>
      </c>
      <c r="BO90" s="31" t="n">
        <f aca="false">IF(OR($B90="",AH90=""),0,IF(AND($E90="Trưởng tổ",AH90="x"),SUMIFS(KT_TRUONG,KT_LOAI,"Tổ",KT_TO,$D90,KT_NGAY,29),SUMIFS(KT_PHAN,KT_LOAI,"Tổ",KT_TO,IF(AH90="x",$D90,AH90),KT_NGAY,29)))</f>
        <v>0</v>
      </c>
      <c r="BP90" s="31" t="n">
        <f aca="false">IF(OR($B90="",AI90=""),0,IF(AND($E90="Trưởng tổ",AI90="x"),SUMIFS(KT_TRUONG,KT_LOAI,"Tổ",KT_TO,$D90,KT_NGAY,30),SUMIFS(KT_PHAN,KT_LOAI,"Tổ",KT_TO,IF(AI90="x",$D90,AI90),KT_NGAY,30)))</f>
        <v>0</v>
      </c>
      <c r="BQ90" s="31" t="n">
        <f aca="false">IF(OR($B90="",AJ90=""),0,IF(AND($E90="Trưởng tổ",AJ90="x"),SUMIFS(KT_TRUONG,KT_LOAI,"Tổ",KT_TO,$D90,KT_NGAY,31),SUMIFS(KT_PHAN,KT_LOAI,"Tổ",KT_TO,IF(AJ90="x",$D90,AJ90),KT_NGAY,31)))</f>
        <v>0</v>
      </c>
    </row>
    <row r="91" customFormat="false" ht="15" hidden="false" customHeight="false" outlineLevel="0" collapsed="false">
      <c r="A91" s="17" t="str">
        <f aca="false">IF(B91="","",ROW()-5)</f>
        <v/>
      </c>
      <c r="B91" s="29" t="str">
        <f aca="false">IF(OR(BCC!B91="",BCC!D91&lt;&gt;"Thời vụ HAQT"),"",BCC!B91)</f>
        <v/>
      </c>
      <c r="C91" s="17" t="str">
        <f aca="false">IF(B91="","",BCC!C91)</f>
        <v/>
      </c>
      <c r="D91" s="17" t="str">
        <f aca="false">IF(B91="","",IFERROR(INDEX(NV_TO,MATCH(B91,NV_MA,0)),""))</f>
        <v/>
      </c>
      <c r="E91" s="17" t="str">
        <f aca="false">IF(B91="","",IFERROR(INDEX(NV_VT,MATCH(B91,NV_MA,0)),""))</f>
        <v/>
      </c>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17" t="str">
        <f aca="false">IF(B91="","",COUNTA(F91:AJ91))</f>
        <v/>
      </c>
      <c r="AL91" s="30" t="str">
        <f aca="false">IF(B91="","",SUM(AM91:BQ91))</f>
        <v/>
      </c>
      <c r="AM91" s="31" t="n">
        <f aca="false">IF(OR($B91="",F91=""),0,IF(AND($E91="Trưởng tổ",F91="x"),SUMIFS(KT_TRUONG,KT_LOAI,"Tổ",KT_TO,$D91,KT_NGAY,1),SUMIFS(KT_PHAN,KT_LOAI,"Tổ",KT_TO,IF(F91="x",$D91,F91),KT_NGAY,1)))</f>
        <v>0</v>
      </c>
      <c r="AN91" s="31" t="n">
        <f aca="false">IF(OR($B91="",G91=""),0,IF(AND($E91="Trưởng tổ",G91="x"),SUMIFS(KT_TRUONG,KT_LOAI,"Tổ",KT_TO,$D91,KT_NGAY,2),SUMIFS(KT_PHAN,KT_LOAI,"Tổ",KT_TO,IF(G91="x",$D91,G91),KT_NGAY,2)))</f>
        <v>0</v>
      </c>
      <c r="AO91" s="31" t="n">
        <f aca="false">IF(OR($B91="",H91=""),0,IF(AND($E91="Trưởng tổ",H91="x"),SUMIFS(KT_TRUONG,KT_LOAI,"Tổ",KT_TO,$D91,KT_NGAY,3),SUMIFS(KT_PHAN,KT_LOAI,"Tổ",KT_TO,IF(H91="x",$D91,H91),KT_NGAY,3)))</f>
        <v>0</v>
      </c>
      <c r="AP91" s="31" t="n">
        <f aca="false">IF(OR($B91="",I91=""),0,IF(AND($E91="Trưởng tổ",I91="x"),SUMIFS(KT_TRUONG,KT_LOAI,"Tổ",KT_TO,$D91,KT_NGAY,4),SUMIFS(KT_PHAN,KT_LOAI,"Tổ",KT_TO,IF(I91="x",$D91,I91),KT_NGAY,4)))</f>
        <v>0</v>
      </c>
      <c r="AQ91" s="31" t="n">
        <f aca="false">IF(OR($B91="",J91=""),0,IF(AND($E91="Trưởng tổ",J91="x"),SUMIFS(KT_TRUONG,KT_LOAI,"Tổ",KT_TO,$D91,KT_NGAY,5),SUMIFS(KT_PHAN,KT_LOAI,"Tổ",KT_TO,IF(J91="x",$D91,J91),KT_NGAY,5)))</f>
        <v>0</v>
      </c>
      <c r="AR91" s="31" t="n">
        <f aca="false">IF(OR($B91="",K91=""),0,IF(AND($E91="Trưởng tổ",K91="x"),SUMIFS(KT_TRUONG,KT_LOAI,"Tổ",KT_TO,$D91,KT_NGAY,6),SUMIFS(KT_PHAN,KT_LOAI,"Tổ",KT_TO,IF(K91="x",$D91,K91),KT_NGAY,6)))</f>
        <v>0</v>
      </c>
      <c r="AS91" s="31" t="n">
        <f aca="false">IF(OR($B91="",L91=""),0,IF(AND($E91="Trưởng tổ",L91="x"),SUMIFS(KT_TRUONG,KT_LOAI,"Tổ",KT_TO,$D91,KT_NGAY,7),SUMIFS(KT_PHAN,KT_LOAI,"Tổ",KT_TO,IF(L91="x",$D91,L91),KT_NGAY,7)))</f>
        <v>0</v>
      </c>
      <c r="AT91" s="31" t="n">
        <f aca="false">IF(OR($B91="",M91=""),0,IF(AND($E91="Trưởng tổ",M91="x"),SUMIFS(KT_TRUONG,KT_LOAI,"Tổ",KT_TO,$D91,KT_NGAY,8),SUMIFS(KT_PHAN,KT_LOAI,"Tổ",KT_TO,IF(M91="x",$D91,M91),KT_NGAY,8)))</f>
        <v>0</v>
      </c>
      <c r="AU91" s="31" t="n">
        <f aca="false">IF(OR($B91="",N91=""),0,IF(AND($E91="Trưởng tổ",N91="x"),SUMIFS(KT_TRUONG,KT_LOAI,"Tổ",KT_TO,$D91,KT_NGAY,9),SUMIFS(KT_PHAN,KT_LOAI,"Tổ",KT_TO,IF(N91="x",$D91,N91),KT_NGAY,9)))</f>
        <v>0</v>
      </c>
      <c r="AV91" s="31" t="n">
        <f aca="false">IF(OR($B91="",O91=""),0,IF(AND($E91="Trưởng tổ",O91="x"),SUMIFS(KT_TRUONG,KT_LOAI,"Tổ",KT_TO,$D91,KT_NGAY,10),SUMIFS(KT_PHAN,KT_LOAI,"Tổ",KT_TO,IF(O91="x",$D91,O91),KT_NGAY,10)))</f>
        <v>0</v>
      </c>
      <c r="AW91" s="31" t="n">
        <f aca="false">IF(OR($B91="",P91=""),0,IF(AND($E91="Trưởng tổ",P91="x"),SUMIFS(KT_TRUONG,KT_LOAI,"Tổ",KT_TO,$D91,KT_NGAY,11),SUMIFS(KT_PHAN,KT_LOAI,"Tổ",KT_TO,IF(P91="x",$D91,P91),KT_NGAY,11)))</f>
        <v>0</v>
      </c>
      <c r="AX91" s="31" t="n">
        <f aca="false">IF(OR($B91="",Q91=""),0,IF(AND($E91="Trưởng tổ",Q91="x"),SUMIFS(KT_TRUONG,KT_LOAI,"Tổ",KT_TO,$D91,KT_NGAY,12),SUMIFS(KT_PHAN,KT_LOAI,"Tổ",KT_TO,IF(Q91="x",$D91,Q91),KT_NGAY,12)))</f>
        <v>0</v>
      </c>
      <c r="AY91" s="31" t="n">
        <f aca="false">IF(OR($B91="",R91=""),0,IF(AND($E91="Trưởng tổ",R91="x"),SUMIFS(KT_TRUONG,KT_LOAI,"Tổ",KT_TO,$D91,KT_NGAY,13),SUMIFS(KT_PHAN,KT_LOAI,"Tổ",KT_TO,IF(R91="x",$D91,R91),KT_NGAY,13)))</f>
        <v>0</v>
      </c>
      <c r="AZ91" s="31" t="n">
        <f aca="false">IF(OR($B91="",S91=""),0,IF(AND($E91="Trưởng tổ",S91="x"),SUMIFS(KT_TRUONG,KT_LOAI,"Tổ",KT_TO,$D91,KT_NGAY,14),SUMIFS(KT_PHAN,KT_LOAI,"Tổ",KT_TO,IF(S91="x",$D91,S91),KT_NGAY,14)))</f>
        <v>0</v>
      </c>
      <c r="BA91" s="31" t="n">
        <f aca="false">IF(OR($B91="",T91=""),0,IF(AND($E91="Trưởng tổ",T91="x"),SUMIFS(KT_TRUONG,KT_LOAI,"Tổ",KT_TO,$D91,KT_NGAY,15),SUMIFS(KT_PHAN,KT_LOAI,"Tổ",KT_TO,IF(T91="x",$D91,T91),KT_NGAY,15)))</f>
        <v>0</v>
      </c>
      <c r="BB91" s="31" t="n">
        <f aca="false">IF(OR($B91="",U91=""),0,IF(AND($E91="Trưởng tổ",U91="x"),SUMIFS(KT_TRUONG,KT_LOAI,"Tổ",KT_TO,$D91,KT_NGAY,16),SUMIFS(KT_PHAN,KT_LOAI,"Tổ",KT_TO,IF(U91="x",$D91,U91),KT_NGAY,16)))</f>
        <v>0</v>
      </c>
      <c r="BC91" s="31" t="n">
        <f aca="false">IF(OR($B91="",V91=""),0,IF(AND($E91="Trưởng tổ",V91="x"),SUMIFS(KT_TRUONG,KT_LOAI,"Tổ",KT_TO,$D91,KT_NGAY,17),SUMIFS(KT_PHAN,KT_LOAI,"Tổ",KT_TO,IF(V91="x",$D91,V91),KT_NGAY,17)))</f>
        <v>0</v>
      </c>
      <c r="BD91" s="31" t="n">
        <f aca="false">IF(OR($B91="",W91=""),0,IF(AND($E91="Trưởng tổ",W91="x"),SUMIFS(KT_TRUONG,KT_LOAI,"Tổ",KT_TO,$D91,KT_NGAY,18),SUMIFS(KT_PHAN,KT_LOAI,"Tổ",KT_TO,IF(W91="x",$D91,W91),KT_NGAY,18)))</f>
        <v>0</v>
      </c>
      <c r="BE91" s="31" t="n">
        <f aca="false">IF(OR($B91="",X91=""),0,IF(AND($E91="Trưởng tổ",X91="x"),SUMIFS(KT_TRUONG,KT_LOAI,"Tổ",KT_TO,$D91,KT_NGAY,19),SUMIFS(KT_PHAN,KT_LOAI,"Tổ",KT_TO,IF(X91="x",$D91,X91),KT_NGAY,19)))</f>
        <v>0</v>
      </c>
      <c r="BF91" s="31" t="n">
        <f aca="false">IF(OR($B91="",Y91=""),0,IF(AND($E91="Trưởng tổ",Y91="x"),SUMIFS(KT_TRUONG,KT_LOAI,"Tổ",KT_TO,$D91,KT_NGAY,20),SUMIFS(KT_PHAN,KT_LOAI,"Tổ",KT_TO,IF(Y91="x",$D91,Y91),KT_NGAY,20)))</f>
        <v>0</v>
      </c>
      <c r="BG91" s="31" t="n">
        <f aca="false">IF(OR($B91="",Z91=""),0,IF(AND($E91="Trưởng tổ",Z91="x"),SUMIFS(KT_TRUONG,KT_LOAI,"Tổ",KT_TO,$D91,KT_NGAY,21),SUMIFS(KT_PHAN,KT_LOAI,"Tổ",KT_TO,IF(Z91="x",$D91,Z91),KT_NGAY,21)))</f>
        <v>0</v>
      </c>
      <c r="BH91" s="31" t="n">
        <f aca="false">IF(OR($B91="",AA91=""),0,IF(AND($E91="Trưởng tổ",AA91="x"),SUMIFS(KT_TRUONG,KT_LOAI,"Tổ",KT_TO,$D91,KT_NGAY,22),SUMIFS(KT_PHAN,KT_LOAI,"Tổ",KT_TO,IF(AA91="x",$D91,AA91),KT_NGAY,22)))</f>
        <v>0</v>
      </c>
      <c r="BI91" s="31" t="n">
        <f aca="false">IF(OR($B91="",AB91=""),0,IF(AND($E91="Trưởng tổ",AB91="x"),SUMIFS(KT_TRUONG,KT_LOAI,"Tổ",KT_TO,$D91,KT_NGAY,23),SUMIFS(KT_PHAN,KT_LOAI,"Tổ",KT_TO,IF(AB91="x",$D91,AB91),KT_NGAY,23)))</f>
        <v>0</v>
      </c>
      <c r="BJ91" s="31" t="n">
        <f aca="false">IF(OR($B91="",AC91=""),0,IF(AND($E91="Trưởng tổ",AC91="x"),SUMIFS(KT_TRUONG,KT_LOAI,"Tổ",KT_TO,$D91,KT_NGAY,24),SUMIFS(KT_PHAN,KT_LOAI,"Tổ",KT_TO,IF(AC91="x",$D91,AC91),KT_NGAY,24)))</f>
        <v>0</v>
      </c>
      <c r="BK91" s="31" t="n">
        <f aca="false">IF(OR($B91="",AD91=""),0,IF(AND($E91="Trưởng tổ",AD91="x"),SUMIFS(KT_TRUONG,KT_LOAI,"Tổ",KT_TO,$D91,KT_NGAY,25),SUMIFS(KT_PHAN,KT_LOAI,"Tổ",KT_TO,IF(AD91="x",$D91,AD91),KT_NGAY,25)))</f>
        <v>0</v>
      </c>
      <c r="BL91" s="31" t="n">
        <f aca="false">IF(OR($B91="",AE91=""),0,IF(AND($E91="Trưởng tổ",AE91="x"),SUMIFS(KT_TRUONG,KT_LOAI,"Tổ",KT_TO,$D91,KT_NGAY,26),SUMIFS(KT_PHAN,KT_LOAI,"Tổ",KT_TO,IF(AE91="x",$D91,AE91),KT_NGAY,26)))</f>
        <v>0</v>
      </c>
      <c r="BM91" s="31" t="n">
        <f aca="false">IF(OR($B91="",AF91=""),0,IF(AND($E91="Trưởng tổ",AF91="x"),SUMIFS(KT_TRUONG,KT_LOAI,"Tổ",KT_TO,$D91,KT_NGAY,27),SUMIFS(KT_PHAN,KT_LOAI,"Tổ",KT_TO,IF(AF91="x",$D91,AF91),KT_NGAY,27)))</f>
        <v>0</v>
      </c>
      <c r="BN91" s="31" t="n">
        <f aca="false">IF(OR($B91="",AG91=""),0,IF(AND($E91="Trưởng tổ",AG91="x"),SUMIFS(KT_TRUONG,KT_LOAI,"Tổ",KT_TO,$D91,KT_NGAY,28),SUMIFS(KT_PHAN,KT_LOAI,"Tổ",KT_TO,IF(AG91="x",$D91,AG91),KT_NGAY,28)))</f>
        <v>0</v>
      </c>
      <c r="BO91" s="31" t="n">
        <f aca="false">IF(OR($B91="",AH91=""),0,IF(AND($E91="Trưởng tổ",AH91="x"),SUMIFS(KT_TRUONG,KT_LOAI,"Tổ",KT_TO,$D91,KT_NGAY,29),SUMIFS(KT_PHAN,KT_LOAI,"Tổ",KT_TO,IF(AH91="x",$D91,AH91),KT_NGAY,29)))</f>
        <v>0</v>
      </c>
      <c r="BP91" s="31" t="n">
        <f aca="false">IF(OR($B91="",AI91=""),0,IF(AND($E91="Trưởng tổ",AI91="x"),SUMIFS(KT_TRUONG,KT_LOAI,"Tổ",KT_TO,$D91,KT_NGAY,30),SUMIFS(KT_PHAN,KT_LOAI,"Tổ",KT_TO,IF(AI91="x",$D91,AI91),KT_NGAY,30)))</f>
        <v>0</v>
      </c>
      <c r="BQ91" s="31" t="n">
        <f aca="false">IF(OR($B91="",AJ91=""),0,IF(AND($E91="Trưởng tổ",AJ91="x"),SUMIFS(KT_TRUONG,KT_LOAI,"Tổ",KT_TO,$D91,KT_NGAY,31),SUMIFS(KT_PHAN,KT_LOAI,"Tổ",KT_TO,IF(AJ91="x",$D91,AJ91),KT_NGAY,31)))</f>
        <v>0</v>
      </c>
    </row>
    <row r="92" customFormat="false" ht="15" hidden="false" customHeight="false" outlineLevel="0" collapsed="false">
      <c r="A92" s="17" t="str">
        <f aca="false">IF(B92="","",ROW()-5)</f>
        <v/>
      </c>
      <c r="B92" s="29" t="str">
        <f aca="false">IF(OR(BCC!B92="",BCC!D92&lt;&gt;"Thời vụ HAQT"),"",BCC!B92)</f>
        <v/>
      </c>
      <c r="C92" s="17" t="str">
        <f aca="false">IF(B92="","",BCC!C92)</f>
        <v/>
      </c>
      <c r="D92" s="17" t="str">
        <f aca="false">IF(B92="","",IFERROR(INDEX(NV_TO,MATCH(B92,NV_MA,0)),""))</f>
        <v/>
      </c>
      <c r="E92" s="17" t="str">
        <f aca="false">IF(B92="","",IFERROR(INDEX(NV_VT,MATCH(B92,NV_MA,0)),""))</f>
        <v/>
      </c>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17" t="str">
        <f aca="false">IF(B92="","",COUNTA(F92:AJ92))</f>
        <v/>
      </c>
      <c r="AL92" s="30" t="str">
        <f aca="false">IF(B92="","",SUM(AM92:BQ92))</f>
        <v/>
      </c>
      <c r="AM92" s="31" t="n">
        <f aca="false">IF(OR($B92="",F92=""),0,IF(AND($E92="Trưởng tổ",F92="x"),SUMIFS(KT_TRUONG,KT_LOAI,"Tổ",KT_TO,$D92,KT_NGAY,1),SUMIFS(KT_PHAN,KT_LOAI,"Tổ",KT_TO,IF(F92="x",$D92,F92),KT_NGAY,1)))</f>
        <v>0</v>
      </c>
      <c r="AN92" s="31" t="n">
        <f aca="false">IF(OR($B92="",G92=""),0,IF(AND($E92="Trưởng tổ",G92="x"),SUMIFS(KT_TRUONG,KT_LOAI,"Tổ",KT_TO,$D92,KT_NGAY,2),SUMIFS(KT_PHAN,KT_LOAI,"Tổ",KT_TO,IF(G92="x",$D92,G92),KT_NGAY,2)))</f>
        <v>0</v>
      </c>
      <c r="AO92" s="31" t="n">
        <f aca="false">IF(OR($B92="",H92=""),0,IF(AND($E92="Trưởng tổ",H92="x"),SUMIFS(KT_TRUONG,KT_LOAI,"Tổ",KT_TO,$D92,KT_NGAY,3),SUMIFS(KT_PHAN,KT_LOAI,"Tổ",KT_TO,IF(H92="x",$D92,H92),KT_NGAY,3)))</f>
        <v>0</v>
      </c>
      <c r="AP92" s="31" t="n">
        <f aca="false">IF(OR($B92="",I92=""),0,IF(AND($E92="Trưởng tổ",I92="x"),SUMIFS(KT_TRUONG,KT_LOAI,"Tổ",KT_TO,$D92,KT_NGAY,4),SUMIFS(KT_PHAN,KT_LOAI,"Tổ",KT_TO,IF(I92="x",$D92,I92),KT_NGAY,4)))</f>
        <v>0</v>
      </c>
      <c r="AQ92" s="31" t="n">
        <f aca="false">IF(OR($B92="",J92=""),0,IF(AND($E92="Trưởng tổ",J92="x"),SUMIFS(KT_TRUONG,KT_LOAI,"Tổ",KT_TO,$D92,KT_NGAY,5),SUMIFS(KT_PHAN,KT_LOAI,"Tổ",KT_TO,IF(J92="x",$D92,J92),KT_NGAY,5)))</f>
        <v>0</v>
      </c>
      <c r="AR92" s="31" t="n">
        <f aca="false">IF(OR($B92="",K92=""),0,IF(AND($E92="Trưởng tổ",K92="x"),SUMIFS(KT_TRUONG,KT_LOAI,"Tổ",KT_TO,$D92,KT_NGAY,6),SUMIFS(KT_PHAN,KT_LOAI,"Tổ",KT_TO,IF(K92="x",$D92,K92),KT_NGAY,6)))</f>
        <v>0</v>
      </c>
      <c r="AS92" s="31" t="n">
        <f aca="false">IF(OR($B92="",L92=""),0,IF(AND($E92="Trưởng tổ",L92="x"),SUMIFS(KT_TRUONG,KT_LOAI,"Tổ",KT_TO,$D92,KT_NGAY,7),SUMIFS(KT_PHAN,KT_LOAI,"Tổ",KT_TO,IF(L92="x",$D92,L92),KT_NGAY,7)))</f>
        <v>0</v>
      </c>
      <c r="AT92" s="31" t="n">
        <f aca="false">IF(OR($B92="",M92=""),0,IF(AND($E92="Trưởng tổ",M92="x"),SUMIFS(KT_TRUONG,KT_LOAI,"Tổ",KT_TO,$D92,KT_NGAY,8),SUMIFS(KT_PHAN,KT_LOAI,"Tổ",KT_TO,IF(M92="x",$D92,M92),KT_NGAY,8)))</f>
        <v>0</v>
      </c>
      <c r="AU92" s="31" t="n">
        <f aca="false">IF(OR($B92="",N92=""),0,IF(AND($E92="Trưởng tổ",N92="x"),SUMIFS(KT_TRUONG,KT_LOAI,"Tổ",KT_TO,$D92,KT_NGAY,9),SUMIFS(KT_PHAN,KT_LOAI,"Tổ",KT_TO,IF(N92="x",$D92,N92),KT_NGAY,9)))</f>
        <v>0</v>
      </c>
      <c r="AV92" s="31" t="n">
        <f aca="false">IF(OR($B92="",O92=""),0,IF(AND($E92="Trưởng tổ",O92="x"),SUMIFS(KT_TRUONG,KT_LOAI,"Tổ",KT_TO,$D92,KT_NGAY,10),SUMIFS(KT_PHAN,KT_LOAI,"Tổ",KT_TO,IF(O92="x",$D92,O92),KT_NGAY,10)))</f>
        <v>0</v>
      </c>
      <c r="AW92" s="31" t="n">
        <f aca="false">IF(OR($B92="",P92=""),0,IF(AND($E92="Trưởng tổ",P92="x"),SUMIFS(KT_TRUONG,KT_LOAI,"Tổ",KT_TO,$D92,KT_NGAY,11),SUMIFS(KT_PHAN,KT_LOAI,"Tổ",KT_TO,IF(P92="x",$D92,P92),KT_NGAY,11)))</f>
        <v>0</v>
      </c>
      <c r="AX92" s="31" t="n">
        <f aca="false">IF(OR($B92="",Q92=""),0,IF(AND($E92="Trưởng tổ",Q92="x"),SUMIFS(KT_TRUONG,KT_LOAI,"Tổ",KT_TO,$D92,KT_NGAY,12),SUMIFS(KT_PHAN,KT_LOAI,"Tổ",KT_TO,IF(Q92="x",$D92,Q92),KT_NGAY,12)))</f>
        <v>0</v>
      </c>
      <c r="AY92" s="31" t="n">
        <f aca="false">IF(OR($B92="",R92=""),0,IF(AND($E92="Trưởng tổ",R92="x"),SUMIFS(KT_TRUONG,KT_LOAI,"Tổ",KT_TO,$D92,KT_NGAY,13),SUMIFS(KT_PHAN,KT_LOAI,"Tổ",KT_TO,IF(R92="x",$D92,R92),KT_NGAY,13)))</f>
        <v>0</v>
      </c>
      <c r="AZ92" s="31" t="n">
        <f aca="false">IF(OR($B92="",S92=""),0,IF(AND($E92="Trưởng tổ",S92="x"),SUMIFS(KT_TRUONG,KT_LOAI,"Tổ",KT_TO,$D92,KT_NGAY,14),SUMIFS(KT_PHAN,KT_LOAI,"Tổ",KT_TO,IF(S92="x",$D92,S92),KT_NGAY,14)))</f>
        <v>0</v>
      </c>
      <c r="BA92" s="31" t="n">
        <f aca="false">IF(OR($B92="",T92=""),0,IF(AND($E92="Trưởng tổ",T92="x"),SUMIFS(KT_TRUONG,KT_LOAI,"Tổ",KT_TO,$D92,KT_NGAY,15),SUMIFS(KT_PHAN,KT_LOAI,"Tổ",KT_TO,IF(T92="x",$D92,T92),KT_NGAY,15)))</f>
        <v>0</v>
      </c>
      <c r="BB92" s="31" t="n">
        <f aca="false">IF(OR($B92="",U92=""),0,IF(AND($E92="Trưởng tổ",U92="x"),SUMIFS(KT_TRUONG,KT_LOAI,"Tổ",KT_TO,$D92,KT_NGAY,16),SUMIFS(KT_PHAN,KT_LOAI,"Tổ",KT_TO,IF(U92="x",$D92,U92),KT_NGAY,16)))</f>
        <v>0</v>
      </c>
      <c r="BC92" s="31" t="n">
        <f aca="false">IF(OR($B92="",V92=""),0,IF(AND($E92="Trưởng tổ",V92="x"),SUMIFS(KT_TRUONG,KT_LOAI,"Tổ",KT_TO,$D92,KT_NGAY,17),SUMIFS(KT_PHAN,KT_LOAI,"Tổ",KT_TO,IF(V92="x",$D92,V92),KT_NGAY,17)))</f>
        <v>0</v>
      </c>
      <c r="BD92" s="31" t="n">
        <f aca="false">IF(OR($B92="",W92=""),0,IF(AND($E92="Trưởng tổ",W92="x"),SUMIFS(KT_TRUONG,KT_LOAI,"Tổ",KT_TO,$D92,KT_NGAY,18),SUMIFS(KT_PHAN,KT_LOAI,"Tổ",KT_TO,IF(W92="x",$D92,W92),KT_NGAY,18)))</f>
        <v>0</v>
      </c>
      <c r="BE92" s="31" t="n">
        <f aca="false">IF(OR($B92="",X92=""),0,IF(AND($E92="Trưởng tổ",X92="x"),SUMIFS(KT_TRUONG,KT_LOAI,"Tổ",KT_TO,$D92,KT_NGAY,19),SUMIFS(KT_PHAN,KT_LOAI,"Tổ",KT_TO,IF(X92="x",$D92,X92),KT_NGAY,19)))</f>
        <v>0</v>
      </c>
      <c r="BF92" s="31" t="n">
        <f aca="false">IF(OR($B92="",Y92=""),0,IF(AND($E92="Trưởng tổ",Y92="x"),SUMIFS(KT_TRUONG,KT_LOAI,"Tổ",KT_TO,$D92,KT_NGAY,20),SUMIFS(KT_PHAN,KT_LOAI,"Tổ",KT_TO,IF(Y92="x",$D92,Y92),KT_NGAY,20)))</f>
        <v>0</v>
      </c>
      <c r="BG92" s="31" t="n">
        <f aca="false">IF(OR($B92="",Z92=""),0,IF(AND($E92="Trưởng tổ",Z92="x"),SUMIFS(KT_TRUONG,KT_LOAI,"Tổ",KT_TO,$D92,KT_NGAY,21),SUMIFS(KT_PHAN,KT_LOAI,"Tổ",KT_TO,IF(Z92="x",$D92,Z92),KT_NGAY,21)))</f>
        <v>0</v>
      </c>
      <c r="BH92" s="31" t="n">
        <f aca="false">IF(OR($B92="",AA92=""),0,IF(AND($E92="Trưởng tổ",AA92="x"),SUMIFS(KT_TRUONG,KT_LOAI,"Tổ",KT_TO,$D92,KT_NGAY,22),SUMIFS(KT_PHAN,KT_LOAI,"Tổ",KT_TO,IF(AA92="x",$D92,AA92),KT_NGAY,22)))</f>
        <v>0</v>
      </c>
      <c r="BI92" s="31" t="n">
        <f aca="false">IF(OR($B92="",AB92=""),0,IF(AND($E92="Trưởng tổ",AB92="x"),SUMIFS(KT_TRUONG,KT_LOAI,"Tổ",KT_TO,$D92,KT_NGAY,23),SUMIFS(KT_PHAN,KT_LOAI,"Tổ",KT_TO,IF(AB92="x",$D92,AB92),KT_NGAY,23)))</f>
        <v>0</v>
      </c>
      <c r="BJ92" s="31" t="n">
        <f aca="false">IF(OR($B92="",AC92=""),0,IF(AND($E92="Trưởng tổ",AC92="x"),SUMIFS(KT_TRUONG,KT_LOAI,"Tổ",KT_TO,$D92,KT_NGAY,24),SUMIFS(KT_PHAN,KT_LOAI,"Tổ",KT_TO,IF(AC92="x",$D92,AC92),KT_NGAY,24)))</f>
        <v>0</v>
      </c>
      <c r="BK92" s="31" t="n">
        <f aca="false">IF(OR($B92="",AD92=""),0,IF(AND($E92="Trưởng tổ",AD92="x"),SUMIFS(KT_TRUONG,KT_LOAI,"Tổ",KT_TO,$D92,KT_NGAY,25),SUMIFS(KT_PHAN,KT_LOAI,"Tổ",KT_TO,IF(AD92="x",$D92,AD92),KT_NGAY,25)))</f>
        <v>0</v>
      </c>
      <c r="BL92" s="31" t="n">
        <f aca="false">IF(OR($B92="",AE92=""),0,IF(AND($E92="Trưởng tổ",AE92="x"),SUMIFS(KT_TRUONG,KT_LOAI,"Tổ",KT_TO,$D92,KT_NGAY,26),SUMIFS(KT_PHAN,KT_LOAI,"Tổ",KT_TO,IF(AE92="x",$D92,AE92),KT_NGAY,26)))</f>
        <v>0</v>
      </c>
      <c r="BM92" s="31" t="n">
        <f aca="false">IF(OR($B92="",AF92=""),0,IF(AND($E92="Trưởng tổ",AF92="x"),SUMIFS(KT_TRUONG,KT_LOAI,"Tổ",KT_TO,$D92,KT_NGAY,27),SUMIFS(KT_PHAN,KT_LOAI,"Tổ",KT_TO,IF(AF92="x",$D92,AF92),KT_NGAY,27)))</f>
        <v>0</v>
      </c>
      <c r="BN92" s="31" t="n">
        <f aca="false">IF(OR($B92="",AG92=""),0,IF(AND($E92="Trưởng tổ",AG92="x"),SUMIFS(KT_TRUONG,KT_LOAI,"Tổ",KT_TO,$D92,KT_NGAY,28),SUMIFS(KT_PHAN,KT_LOAI,"Tổ",KT_TO,IF(AG92="x",$D92,AG92),KT_NGAY,28)))</f>
        <v>0</v>
      </c>
      <c r="BO92" s="31" t="n">
        <f aca="false">IF(OR($B92="",AH92=""),0,IF(AND($E92="Trưởng tổ",AH92="x"),SUMIFS(KT_TRUONG,KT_LOAI,"Tổ",KT_TO,$D92,KT_NGAY,29),SUMIFS(KT_PHAN,KT_LOAI,"Tổ",KT_TO,IF(AH92="x",$D92,AH92),KT_NGAY,29)))</f>
        <v>0</v>
      </c>
      <c r="BP92" s="31" t="n">
        <f aca="false">IF(OR($B92="",AI92=""),0,IF(AND($E92="Trưởng tổ",AI92="x"),SUMIFS(KT_TRUONG,KT_LOAI,"Tổ",KT_TO,$D92,KT_NGAY,30),SUMIFS(KT_PHAN,KT_LOAI,"Tổ",KT_TO,IF(AI92="x",$D92,AI92),KT_NGAY,30)))</f>
        <v>0</v>
      </c>
      <c r="BQ92" s="31" t="n">
        <f aca="false">IF(OR($B92="",AJ92=""),0,IF(AND($E92="Trưởng tổ",AJ92="x"),SUMIFS(KT_TRUONG,KT_LOAI,"Tổ",KT_TO,$D92,KT_NGAY,31),SUMIFS(KT_PHAN,KT_LOAI,"Tổ",KT_TO,IF(AJ92="x",$D92,AJ92),KT_NGAY,31)))</f>
        <v>0</v>
      </c>
    </row>
    <row r="93" customFormat="false" ht="15" hidden="false" customHeight="false" outlineLevel="0" collapsed="false">
      <c r="A93" s="17" t="str">
        <f aca="false">IF(B93="","",ROW()-5)</f>
        <v/>
      </c>
      <c r="B93" s="29" t="str">
        <f aca="false">IF(OR(BCC!B93="",BCC!D93&lt;&gt;"Thời vụ HAQT"),"",BCC!B93)</f>
        <v/>
      </c>
      <c r="C93" s="17" t="str">
        <f aca="false">IF(B93="","",BCC!C93)</f>
        <v/>
      </c>
      <c r="D93" s="17" t="str">
        <f aca="false">IF(B93="","",IFERROR(INDEX(NV_TO,MATCH(B93,NV_MA,0)),""))</f>
        <v/>
      </c>
      <c r="E93" s="17" t="str">
        <f aca="false">IF(B93="","",IFERROR(INDEX(NV_VT,MATCH(B93,NV_MA,0)),""))</f>
        <v/>
      </c>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17" t="str">
        <f aca="false">IF(B93="","",COUNTA(F93:AJ93))</f>
        <v/>
      </c>
      <c r="AL93" s="30" t="str">
        <f aca="false">IF(B93="","",SUM(AM93:BQ93))</f>
        <v/>
      </c>
      <c r="AM93" s="31" t="n">
        <f aca="false">IF(OR($B93="",F93=""),0,IF(AND($E93="Trưởng tổ",F93="x"),SUMIFS(KT_TRUONG,KT_LOAI,"Tổ",KT_TO,$D93,KT_NGAY,1),SUMIFS(KT_PHAN,KT_LOAI,"Tổ",KT_TO,IF(F93="x",$D93,F93),KT_NGAY,1)))</f>
        <v>0</v>
      </c>
      <c r="AN93" s="31" t="n">
        <f aca="false">IF(OR($B93="",G93=""),0,IF(AND($E93="Trưởng tổ",G93="x"),SUMIFS(KT_TRUONG,KT_LOAI,"Tổ",KT_TO,$D93,KT_NGAY,2),SUMIFS(KT_PHAN,KT_LOAI,"Tổ",KT_TO,IF(G93="x",$D93,G93),KT_NGAY,2)))</f>
        <v>0</v>
      </c>
      <c r="AO93" s="31" t="n">
        <f aca="false">IF(OR($B93="",H93=""),0,IF(AND($E93="Trưởng tổ",H93="x"),SUMIFS(KT_TRUONG,KT_LOAI,"Tổ",KT_TO,$D93,KT_NGAY,3),SUMIFS(KT_PHAN,KT_LOAI,"Tổ",KT_TO,IF(H93="x",$D93,H93),KT_NGAY,3)))</f>
        <v>0</v>
      </c>
      <c r="AP93" s="31" t="n">
        <f aca="false">IF(OR($B93="",I93=""),0,IF(AND($E93="Trưởng tổ",I93="x"),SUMIFS(KT_TRUONG,KT_LOAI,"Tổ",KT_TO,$D93,KT_NGAY,4),SUMIFS(KT_PHAN,KT_LOAI,"Tổ",KT_TO,IF(I93="x",$D93,I93),KT_NGAY,4)))</f>
        <v>0</v>
      </c>
      <c r="AQ93" s="31" t="n">
        <f aca="false">IF(OR($B93="",J93=""),0,IF(AND($E93="Trưởng tổ",J93="x"),SUMIFS(KT_TRUONG,KT_LOAI,"Tổ",KT_TO,$D93,KT_NGAY,5),SUMIFS(KT_PHAN,KT_LOAI,"Tổ",KT_TO,IF(J93="x",$D93,J93),KT_NGAY,5)))</f>
        <v>0</v>
      </c>
      <c r="AR93" s="31" t="n">
        <f aca="false">IF(OR($B93="",K93=""),0,IF(AND($E93="Trưởng tổ",K93="x"),SUMIFS(KT_TRUONG,KT_LOAI,"Tổ",KT_TO,$D93,KT_NGAY,6),SUMIFS(KT_PHAN,KT_LOAI,"Tổ",KT_TO,IF(K93="x",$D93,K93),KT_NGAY,6)))</f>
        <v>0</v>
      </c>
      <c r="AS93" s="31" t="n">
        <f aca="false">IF(OR($B93="",L93=""),0,IF(AND($E93="Trưởng tổ",L93="x"),SUMIFS(KT_TRUONG,KT_LOAI,"Tổ",KT_TO,$D93,KT_NGAY,7),SUMIFS(KT_PHAN,KT_LOAI,"Tổ",KT_TO,IF(L93="x",$D93,L93),KT_NGAY,7)))</f>
        <v>0</v>
      </c>
      <c r="AT93" s="31" t="n">
        <f aca="false">IF(OR($B93="",M93=""),0,IF(AND($E93="Trưởng tổ",M93="x"),SUMIFS(KT_TRUONG,KT_LOAI,"Tổ",KT_TO,$D93,KT_NGAY,8),SUMIFS(KT_PHAN,KT_LOAI,"Tổ",KT_TO,IF(M93="x",$D93,M93),KT_NGAY,8)))</f>
        <v>0</v>
      </c>
      <c r="AU93" s="31" t="n">
        <f aca="false">IF(OR($B93="",N93=""),0,IF(AND($E93="Trưởng tổ",N93="x"),SUMIFS(KT_TRUONG,KT_LOAI,"Tổ",KT_TO,$D93,KT_NGAY,9),SUMIFS(KT_PHAN,KT_LOAI,"Tổ",KT_TO,IF(N93="x",$D93,N93),KT_NGAY,9)))</f>
        <v>0</v>
      </c>
      <c r="AV93" s="31" t="n">
        <f aca="false">IF(OR($B93="",O93=""),0,IF(AND($E93="Trưởng tổ",O93="x"),SUMIFS(KT_TRUONG,KT_LOAI,"Tổ",KT_TO,$D93,KT_NGAY,10),SUMIFS(KT_PHAN,KT_LOAI,"Tổ",KT_TO,IF(O93="x",$D93,O93),KT_NGAY,10)))</f>
        <v>0</v>
      </c>
      <c r="AW93" s="31" t="n">
        <f aca="false">IF(OR($B93="",P93=""),0,IF(AND($E93="Trưởng tổ",P93="x"),SUMIFS(KT_TRUONG,KT_LOAI,"Tổ",KT_TO,$D93,KT_NGAY,11),SUMIFS(KT_PHAN,KT_LOAI,"Tổ",KT_TO,IF(P93="x",$D93,P93),KT_NGAY,11)))</f>
        <v>0</v>
      </c>
      <c r="AX93" s="31" t="n">
        <f aca="false">IF(OR($B93="",Q93=""),0,IF(AND($E93="Trưởng tổ",Q93="x"),SUMIFS(KT_TRUONG,KT_LOAI,"Tổ",KT_TO,$D93,KT_NGAY,12),SUMIFS(KT_PHAN,KT_LOAI,"Tổ",KT_TO,IF(Q93="x",$D93,Q93),KT_NGAY,12)))</f>
        <v>0</v>
      </c>
      <c r="AY93" s="31" t="n">
        <f aca="false">IF(OR($B93="",R93=""),0,IF(AND($E93="Trưởng tổ",R93="x"),SUMIFS(KT_TRUONG,KT_LOAI,"Tổ",KT_TO,$D93,KT_NGAY,13),SUMIFS(KT_PHAN,KT_LOAI,"Tổ",KT_TO,IF(R93="x",$D93,R93),KT_NGAY,13)))</f>
        <v>0</v>
      </c>
      <c r="AZ93" s="31" t="n">
        <f aca="false">IF(OR($B93="",S93=""),0,IF(AND($E93="Trưởng tổ",S93="x"),SUMIFS(KT_TRUONG,KT_LOAI,"Tổ",KT_TO,$D93,KT_NGAY,14),SUMIFS(KT_PHAN,KT_LOAI,"Tổ",KT_TO,IF(S93="x",$D93,S93),KT_NGAY,14)))</f>
        <v>0</v>
      </c>
      <c r="BA93" s="31" t="n">
        <f aca="false">IF(OR($B93="",T93=""),0,IF(AND($E93="Trưởng tổ",T93="x"),SUMIFS(KT_TRUONG,KT_LOAI,"Tổ",KT_TO,$D93,KT_NGAY,15),SUMIFS(KT_PHAN,KT_LOAI,"Tổ",KT_TO,IF(T93="x",$D93,T93),KT_NGAY,15)))</f>
        <v>0</v>
      </c>
      <c r="BB93" s="31" t="n">
        <f aca="false">IF(OR($B93="",U93=""),0,IF(AND($E93="Trưởng tổ",U93="x"),SUMIFS(KT_TRUONG,KT_LOAI,"Tổ",KT_TO,$D93,KT_NGAY,16),SUMIFS(KT_PHAN,KT_LOAI,"Tổ",KT_TO,IF(U93="x",$D93,U93),KT_NGAY,16)))</f>
        <v>0</v>
      </c>
      <c r="BC93" s="31" t="n">
        <f aca="false">IF(OR($B93="",V93=""),0,IF(AND($E93="Trưởng tổ",V93="x"),SUMIFS(KT_TRUONG,KT_LOAI,"Tổ",KT_TO,$D93,KT_NGAY,17),SUMIFS(KT_PHAN,KT_LOAI,"Tổ",KT_TO,IF(V93="x",$D93,V93),KT_NGAY,17)))</f>
        <v>0</v>
      </c>
      <c r="BD93" s="31" t="n">
        <f aca="false">IF(OR($B93="",W93=""),0,IF(AND($E93="Trưởng tổ",W93="x"),SUMIFS(KT_TRUONG,KT_LOAI,"Tổ",KT_TO,$D93,KT_NGAY,18),SUMIFS(KT_PHAN,KT_LOAI,"Tổ",KT_TO,IF(W93="x",$D93,W93),KT_NGAY,18)))</f>
        <v>0</v>
      </c>
      <c r="BE93" s="31" t="n">
        <f aca="false">IF(OR($B93="",X93=""),0,IF(AND($E93="Trưởng tổ",X93="x"),SUMIFS(KT_TRUONG,KT_LOAI,"Tổ",KT_TO,$D93,KT_NGAY,19),SUMIFS(KT_PHAN,KT_LOAI,"Tổ",KT_TO,IF(X93="x",$D93,X93),KT_NGAY,19)))</f>
        <v>0</v>
      </c>
      <c r="BF93" s="31" t="n">
        <f aca="false">IF(OR($B93="",Y93=""),0,IF(AND($E93="Trưởng tổ",Y93="x"),SUMIFS(KT_TRUONG,KT_LOAI,"Tổ",KT_TO,$D93,KT_NGAY,20),SUMIFS(KT_PHAN,KT_LOAI,"Tổ",KT_TO,IF(Y93="x",$D93,Y93),KT_NGAY,20)))</f>
        <v>0</v>
      </c>
      <c r="BG93" s="31" t="n">
        <f aca="false">IF(OR($B93="",Z93=""),0,IF(AND($E93="Trưởng tổ",Z93="x"),SUMIFS(KT_TRUONG,KT_LOAI,"Tổ",KT_TO,$D93,KT_NGAY,21),SUMIFS(KT_PHAN,KT_LOAI,"Tổ",KT_TO,IF(Z93="x",$D93,Z93),KT_NGAY,21)))</f>
        <v>0</v>
      </c>
      <c r="BH93" s="31" t="n">
        <f aca="false">IF(OR($B93="",AA93=""),0,IF(AND($E93="Trưởng tổ",AA93="x"),SUMIFS(KT_TRUONG,KT_LOAI,"Tổ",KT_TO,$D93,KT_NGAY,22),SUMIFS(KT_PHAN,KT_LOAI,"Tổ",KT_TO,IF(AA93="x",$D93,AA93),KT_NGAY,22)))</f>
        <v>0</v>
      </c>
      <c r="BI93" s="31" t="n">
        <f aca="false">IF(OR($B93="",AB93=""),0,IF(AND($E93="Trưởng tổ",AB93="x"),SUMIFS(KT_TRUONG,KT_LOAI,"Tổ",KT_TO,$D93,KT_NGAY,23),SUMIFS(KT_PHAN,KT_LOAI,"Tổ",KT_TO,IF(AB93="x",$D93,AB93),KT_NGAY,23)))</f>
        <v>0</v>
      </c>
      <c r="BJ93" s="31" t="n">
        <f aca="false">IF(OR($B93="",AC93=""),0,IF(AND($E93="Trưởng tổ",AC93="x"),SUMIFS(KT_TRUONG,KT_LOAI,"Tổ",KT_TO,$D93,KT_NGAY,24),SUMIFS(KT_PHAN,KT_LOAI,"Tổ",KT_TO,IF(AC93="x",$D93,AC93),KT_NGAY,24)))</f>
        <v>0</v>
      </c>
      <c r="BK93" s="31" t="n">
        <f aca="false">IF(OR($B93="",AD93=""),0,IF(AND($E93="Trưởng tổ",AD93="x"),SUMIFS(KT_TRUONG,KT_LOAI,"Tổ",KT_TO,$D93,KT_NGAY,25),SUMIFS(KT_PHAN,KT_LOAI,"Tổ",KT_TO,IF(AD93="x",$D93,AD93),KT_NGAY,25)))</f>
        <v>0</v>
      </c>
      <c r="BL93" s="31" t="n">
        <f aca="false">IF(OR($B93="",AE93=""),0,IF(AND($E93="Trưởng tổ",AE93="x"),SUMIFS(KT_TRUONG,KT_LOAI,"Tổ",KT_TO,$D93,KT_NGAY,26),SUMIFS(KT_PHAN,KT_LOAI,"Tổ",KT_TO,IF(AE93="x",$D93,AE93),KT_NGAY,26)))</f>
        <v>0</v>
      </c>
      <c r="BM93" s="31" t="n">
        <f aca="false">IF(OR($B93="",AF93=""),0,IF(AND($E93="Trưởng tổ",AF93="x"),SUMIFS(KT_TRUONG,KT_LOAI,"Tổ",KT_TO,$D93,KT_NGAY,27),SUMIFS(KT_PHAN,KT_LOAI,"Tổ",KT_TO,IF(AF93="x",$D93,AF93),KT_NGAY,27)))</f>
        <v>0</v>
      </c>
      <c r="BN93" s="31" t="n">
        <f aca="false">IF(OR($B93="",AG93=""),0,IF(AND($E93="Trưởng tổ",AG93="x"),SUMIFS(KT_TRUONG,KT_LOAI,"Tổ",KT_TO,$D93,KT_NGAY,28),SUMIFS(KT_PHAN,KT_LOAI,"Tổ",KT_TO,IF(AG93="x",$D93,AG93),KT_NGAY,28)))</f>
        <v>0</v>
      </c>
      <c r="BO93" s="31" t="n">
        <f aca="false">IF(OR($B93="",AH93=""),0,IF(AND($E93="Trưởng tổ",AH93="x"),SUMIFS(KT_TRUONG,KT_LOAI,"Tổ",KT_TO,$D93,KT_NGAY,29),SUMIFS(KT_PHAN,KT_LOAI,"Tổ",KT_TO,IF(AH93="x",$D93,AH93),KT_NGAY,29)))</f>
        <v>0</v>
      </c>
      <c r="BP93" s="31" t="n">
        <f aca="false">IF(OR($B93="",AI93=""),0,IF(AND($E93="Trưởng tổ",AI93="x"),SUMIFS(KT_TRUONG,KT_LOAI,"Tổ",KT_TO,$D93,KT_NGAY,30),SUMIFS(KT_PHAN,KT_LOAI,"Tổ",KT_TO,IF(AI93="x",$D93,AI93),KT_NGAY,30)))</f>
        <v>0</v>
      </c>
      <c r="BQ93" s="31" t="n">
        <f aca="false">IF(OR($B93="",AJ93=""),0,IF(AND($E93="Trưởng tổ",AJ93="x"),SUMIFS(KT_TRUONG,KT_LOAI,"Tổ",KT_TO,$D93,KT_NGAY,31),SUMIFS(KT_PHAN,KT_LOAI,"Tổ",KT_TO,IF(AJ93="x",$D93,AJ93),KT_NGAY,31)))</f>
        <v>0</v>
      </c>
    </row>
    <row r="94" customFormat="false" ht="15" hidden="false" customHeight="false" outlineLevel="0" collapsed="false">
      <c r="A94" s="17" t="str">
        <f aca="false">IF(B94="","",ROW()-5)</f>
        <v/>
      </c>
      <c r="B94" s="29" t="str">
        <f aca="false">IF(OR(BCC!B94="",BCC!D94&lt;&gt;"Thời vụ HAQT"),"",BCC!B94)</f>
        <v/>
      </c>
      <c r="C94" s="17" t="str">
        <f aca="false">IF(B94="","",BCC!C94)</f>
        <v/>
      </c>
      <c r="D94" s="17" t="str">
        <f aca="false">IF(B94="","",IFERROR(INDEX(NV_TO,MATCH(B94,NV_MA,0)),""))</f>
        <v/>
      </c>
      <c r="E94" s="17" t="str">
        <f aca="false">IF(B94="","",IFERROR(INDEX(NV_VT,MATCH(B94,NV_MA,0)),""))</f>
        <v/>
      </c>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17" t="str">
        <f aca="false">IF(B94="","",COUNTA(F94:AJ94))</f>
        <v/>
      </c>
      <c r="AL94" s="30" t="str">
        <f aca="false">IF(B94="","",SUM(AM94:BQ94))</f>
        <v/>
      </c>
      <c r="AM94" s="31" t="n">
        <f aca="false">IF(OR($B94="",F94=""),0,IF(AND($E94="Trưởng tổ",F94="x"),SUMIFS(KT_TRUONG,KT_LOAI,"Tổ",KT_TO,$D94,KT_NGAY,1),SUMIFS(KT_PHAN,KT_LOAI,"Tổ",KT_TO,IF(F94="x",$D94,F94),KT_NGAY,1)))</f>
        <v>0</v>
      </c>
      <c r="AN94" s="31" t="n">
        <f aca="false">IF(OR($B94="",G94=""),0,IF(AND($E94="Trưởng tổ",G94="x"),SUMIFS(KT_TRUONG,KT_LOAI,"Tổ",KT_TO,$D94,KT_NGAY,2),SUMIFS(KT_PHAN,KT_LOAI,"Tổ",KT_TO,IF(G94="x",$D94,G94),KT_NGAY,2)))</f>
        <v>0</v>
      </c>
      <c r="AO94" s="31" t="n">
        <f aca="false">IF(OR($B94="",H94=""),0,IF(AND($E94="Trưởng tổ",H94="x"),SUMIFS(KT_TRUONG,KT_LOAI,"Tổ",KT_TO,$D94,KT_NGAY,3),SUMIFS(KT_PHAN,KT_LOAI,"Tổ",KT_TO,IF(H94="x",$D94,H94),KT_NGAY,3)))</f>
        <v>0</v>
      </c>
      <c r="AP94" s="31" t="n">
        <f aca="false">IF(OR($B94="",I94=""),0,IF(AND($E94="Trưởng tổ",I94="x"),SUMIFS(KT_TRUONG,KT_LOAI,"Tổ",KT_TO,$D94,KT_NGAY,4),SUMIFS(KT_PHAN,KT_LOAI,"Tổ",KT_TO,IF(I94="x",$D94,I94),KT_NGAY,4)))</f>
        <v>0</v>
      </c>
      <c r="AQ94" s="31" t="n">
        <f aca="false">IF(OR($B94="",J94=""),0,IF(AND($E94="Trưởng tổ",J94="x"),SUMIFS(KT_TRUONG,KT_LOAI,"Tổ",KT_TO,$D94,KT_NGAY,5),SUMIFS(KT_PHAN,KT_LOAI,"Tổ",KT_TO,IF(J94="x",$D94,J94),KT_NGAY,5)))</f>
        <v>0</v>
      </c>
      <c r="AR94" s="31" t="n">
        <f aca="false">IF(OR($B94="",K94=""),0,IF(AND($E94="Trưởng tổ",K94="x"),SUMIFS(KT_TRUONG,KT_LOAI,"Tổ",KT_TO,$D94,KT_NGAY,6),SUMIFS(KT_PHAN,KT_LOAI,"Tổ",KT_TO,IF(K94="x",$D94,K94),KT_NGAY,6)))</f>
        <v>0</v>
      </c>
      <c r="AS94" s="31" t="n">
        <f aca="false">IF(OR($B94="",L94=""),0,IF(AND($E94="Trưởng tổ",L94="x"),SUMIFS(KT_TRUONG,KT_LOAI,"Tổ",KT_TO,$D94,KT_NGAY,7),SUMIFS(KT_PHAN,KT_LOAI,"Tổ",KT_TO,IF(L94="x",$D94,L94),KT_NGAY,7)))</f>
        <v>0</v>
      </c>
      <c r="AT94" s="31" t="n">
        <f aca="false">IF(OR($B94="",M94=""),0,IF(AND($E94="Trưởng tổ",M94="x"),SUMIFS(KT_TRUONG,KT_LOAI,"Tổ",KT_TO,$D94,KT_NGAY,8),SUMIFS(KT_PHAN,KT_LOAI,"Tổ",KT_TO,IF(M94="x",$D94,M94),KT_NGAY,8)))</f>
        <v>0</v>
      </c>
      <c r="AU94" s="31" t="n">
        <f aca="false">IF(OR($B94="",N94=""),0,IF(AND($E94="Trưởng tổ",N94="x"),SUMIFS(KT_TRUONG,KT_LOAI,"Tổ",KT_TO,$D94,KT_NGAY,9),SUMIFS(KT_PHAN,KT_LOAI,"Tổ",KT_TO,IF(N94="x",$D94,N94),KT_NGAY,9)))</f>
        <v>0</v>
      </c>
      <c r="AV94" s="31" t="n">
        <f aca="false">IF(OR($B94="",O94=""),0,IF(AND($E94="Trưởng tổ",O94="x"),SUMIFS(KT_TRUONG,KT_LOAI,"Tổ",KT_TO,$D94,KT_NGAY,10),SUMIFS(KT_PHAN,KT_LOAI,"Tổ",KT_TO,IF(O94="x",$D94,O94),KT_NGAY,10)))</f>
        <v>0</v>
      </c>
      <c r="AW94" s="31" t="n">
        <f aca="false">IF(OR($B94="",P94=""),0,IF(AND($E94="Trưởng tổ",P94="x"),SUMIFS(KT_TRUONG,KT_LOAI,"Tổ",KT_TO,$D94,KT_NGAY,11),SUMIFS(KT_PHAN,KT_LOAI,"Tổ",KT_TO,IF(P94="x",$D94,P94),KT_NGAY,11)))</f>
        <v>0</v>
      </c>
      <c r="AX94" s="31" t="n">
        <f aca="false">IF(OR($B94="",Q94=""),0,IF(AND($E94="Trưởng tổ",Q94="x"),SUMIFS(KT_TRUONG,KT_LOAI,"Tổ",KT_TO,$D94,KT_NGAY,12),SUMIFS(KT_PHAN,KT_LOAI,"Tổ",KT_TO,IF(Q94="x",$D94,Q94),KT_NGAY,12)))</f>
        <v>0</v>
      </c>
      <c r="AY94" s="31" t="n">
        <f aca="false">IF(OR($B94="",R94=""),0,IF(AND($E94="Trưởng tổ",R94="x"),SUMIFS(KT_TRUONG,KT_LOAI,"Tổ",KT_TO,$D94,KT_NGAY,13),SUMIFS(KT_PHAN,KT_LOAI,"Tổ",KT_TO,IF(R94="x",$D94,R94),KT_NGAY,13)))</f>
        <v>0</v>
      </c>
      <c r="AZ94" s="31" t="n">
        <f aca="false">IF(OR($B94="",S94=""),0,IF(AND($E94="Trưởng tổ",S94="x"),SUMIFS(KT_TRUONG,KT_LOAI,"Tổ",KT_TO,$D94,KT_NGAY,14),SUMIFS(KT_PHAN,KT_LOAI,"Tổ",KT_TO,IF(S94="x",$D94,S94),KT_NGAY,14)))</f>
        <v>0</v>
      </c>
      <c r="BA94" s="31" t="n">
        <f aca="false">IF(OR($B94="",T94=""),0,IF(AND($E94="Trưởng tổ",T94="x"),SUMIFS(KT_TRUONG,KT_LOAI,"Tổ",KT_TO,$D94,KT_NGAY,15),SUMIFS(KT_PHAN,KT_LOAI,"Tổ",KT_TO,IF(T94="x",$D94,T94),KT_NGAY,15)))</f>
        <v>0</v>
      </c>
      <c r="BB94" s="31" t="n">
        <f aca="false">IF(OR($B94="",U94=""),0,IF(AND($E94="Trưởng tổ",U94="x"),SUMIFS(KT_TRUONG,KT_LOAI,"Tổ",KT_TO,$D94,KT_NGAY,16),SUMIFS(KT_PHAN,KT_LOAI,"Tổ",KT_TO,IF(U94="x",$D94,U94),KT_NGAY,16)))</f>
        <v>0</v>
      </c>
      <c r="BC94" s="31" t="n">
        <f aca="false">IF(OR($B94="",V94=""),0,IF(AND($E94="Trưởng tổ",V94="x"),SUMIFS(KT_TRUONG,KT_LOAI,"Tổ",KT_TO,$D94,KT_NGAY,17),SUMIFS(KT_PHAN,KT_LOAI,"Tổ",KT_TO,IF(V94="x",$D94,V94),KT_NGAY,17)))</f>
        <v>0</v>
      </c>
      <c r="BD94" s="31" t="n">
        <f aca="false">IF(OR($B94="",W94=""),0,IF(AND($E94="Trưởng tổ",W94="x"),SUMIFS(KT_TRUONG,KT_LOAI,"Tổ",KT_TO,$D94,KT_NGAY,18),SUMIFS(KT_PHAN,KT_LOAI,"Tổ",KT_TO,IF(W94="x",$D94,W94),KT_NGAY,18)))</f>
        <v>0</v>
      </c>
      <c r="BE94" s="31" t="n">
        <f aca="false">IF(OR($B94="",X94=""),0,IF(AND($E94="Trưởng tổ",X94="x"),SUMIFS(KT_TRUONG,KT_LOAI,"Tổ",KT_TO,$D94,KT_NGAY,19),SUMIFS(KT_PHAN,KT_LOAI,"Tổ",KT_TO,IF(X94="x",$D94,X94),KT_NGAY,19)))</f>
        <v>0</v>
      </c>
      <c r="BF94" s="31" t="n">
        <f aca="false">IF(OR($B94="",Y94=""),0,IF(AND($E94="Trưởng tổ",Y94="x"),SUMIFS(KT_TRUONG,KT_LOAI,"Tổ",KT_TO,$D94,KT_NGAY,20),SUMIFS(KT_PHAN,KT_LOAI,"Tổ",KT_TO,IF(Y94="x",$D94,Y94),KT_NGAY,20)))</f>
        <v>0</v>
      </c>
      <c r="BG94" s="31" t="n">
        <f aca="false">IF(OR($B94="",Z94=""),0,IF(AND($E94="Trưởng tổ",Z94="x"),SUMIFS(KT_TRUONG,KT_LOAI,"Tổ",KT_TO,$D94,KT_NGAY,21),SUMIFS(KT_PHAN,KT_LOAI,"Tổ",KT_TO,IF(Z94="x",$D94,Z94),KT_NGAY,21)))</f>
        <v>0</v>
      </c>
      <c r="BH94" s="31" t="n">
        <f aca="false">IF(OR($B94="",AA94=""),0,IF(AND($E94="Trưởng tổ",AA94="x"),SUMIFS(KT_TRUONG,KT_LOAI,"Tổ",KT_TO,$D94,KT_NGAY,22),SUMIFS(KT_PHAN,KT_LOAI,"Tổ",KT_TO,IF(AA94="x",$D94,AA94),KT_NGAY,22)))</f>
        <v>0</v>
      </c>
      <c r="BI94" s="31" t="n">
        <f aca="false">IF(OR($B94="",AB94=""),0,IF(AND($E94="Trưởng tổ",AB94="x"),SUMIFS(KT_TRUONG,KT_LOAI,"Tổ",KT_TO,$D94,KT_NGAY,23),SUMIFS(KT_PHAN,KT_LOAI,"Tổ",KT_TO,IF(AB94="x",$D94,AB94),KT_NGAY,23)))</f>
        <v>0</v>
      </c>
      <c r="BJ94" s="31" t="n">
        <f aca="false">IF(OR($B94="",AC94=""),0,IF(AND($E94="Trưởng tổ",AC94="x"),SUMIFS(KT_TRUONG,KT_LOAI,"Tổ",KT_TO,$D94,KT_NGAY,24),SUMIFS(KT_PHAN,KT_LOAI,"Tổ",KT_TO,IF(AC94="x",$D94,AC94),KT_NGAY,24)))</f>
        <v>0</v>
      </c>
      <c r="BK94" s="31" t="n">
        <f aca="false">IF(OR($B94="",AD94=""),0,IF(AND($E94="Trưởng tổ",AD94="x"),SUMIFS(KT_TRUONG,KT_LOAI,"Tổ",KT_TO,$D94,KT_NGAY,25),SUMIFS(KT_PHAN,KT_LOAI,"Tổ",KT_TO,IF(AD94="x",$D94,AD94),KT_NGAY,25)))</f>
        <v>0</v>
      </c>
      <c r="BL94" s="31" t="n">
        <f aca="false">IF(OR($B94="",AE94=""),0,IF(AND($E94="Trưởng tổ",AE94="x"),SUMIFS(KT_TRUONG,KT_LOAI,"Tổ",KT_TO,$D94,KT_NGAY,26),SUMIFS(KT_PHAN,KT_LOAI,"Tổ",KT_TO,IF(AE94="x",$D94,AE94),KT_NGAY,26)))</f>
        <v>0</v>
      </c>
      <c r="BM94" s="31" t="n">
        <f aca="false">IF(OR($B94="",AF94=""),0,IF(AND($E94="Trưởng tổ",AF94="x"),SUMIFS(KT_TRUONG,KT_LOAI,"Tổ",KT_TO,$D94,KT_NGAY,27),SUMIFS(KT_PHAN,KT_LOAI,"Tổ",KT_TO,IF(AF94="x",$D94,AF94),KT_NGAY,27)))</f>
        <v>0</v>
      </c>
      <c r="BN94" s="31" t="n">
        <f aca="false">IF(OR($B94="",AG94=""),0,IF(AND($E94="Trưởng tổ",AG94="x"),SUMIFS(KT_TRUONG,KT_LOAI,"Tổ",KT_TO,$D94,KT_NGAY,28),SUMIFS(KT_PHAN,KT_LOAI,"Tổ",KT_TO,IF(AG94="x",$D94,AG94),KT_NGAY,28)))</f>
        <v>0</v>
      </c>
      <c r="BO94" s="31" t="n">
        <f aca="false">IF(OR($B94="",AH94=""),0,IF(AND($E94="Trưởng tổ",AH94="x"),SUMIFS(KT_TRUONG,KT_LOAI,"Tổ",KT_TO,$D94,KT_NGAY,29),SUMIFS(KT_PHAN,KT_LOAI,"Tổ",KT_TO,IF(AH94="x",$D94,AH94),KT_NGAY,29)))</f>
        <v>0</v>
      </c>
      <c r="BP94" s="31" t="n">
        <f aca="false">IF(OR($B94="",AI94=""),0,IF(AND($E94="Trưởng tổ",AI94="x"),SUMIFS(KT_TRUONG,KT_LOAI,"Tổ",KT_TO,$D94,KT_NGAY,30),SUMIFS(KT_PHAN,KT_LOAI,"Tổ",KT_TO,IF(AI94="x",$D94,AI94),KT_NGAY,30)))</f>
        <v>0</v>
      </c>
      <c r="BQ94" s="31" t="n">
        <f aca="false">IF(OR($B94="",AJ94=""),0,IF(AND($E94="Trưởng tổ",AJ94="x"),SUMIFS(KT_TRUONG,KT_LOAI,"Tổ",KT_TO,$D94,KT_NGAY,31),SUMIFS(KT_PHAN,KT_LOAI,"Tổ",KT_TO,IF(AJ94="x",$D94,AJ94),KT_NGAY,31)))</f>
        <v>0</v>
      </c>
    </row>
    <row r="95" customFormat="false" ht="15" hidden="false" customHeight="false" outlineLevel="0" collapsed="false">
      <c r="A95" s="17" t="str">
        <f aca="false">IF(B95="","",ROW()-5)</f>
        <v/>
      </c>
      <c r="B95" s="29" t="str">
        <f aca="false">IF(OR(BCC!B95="",BCC!D95&lt;&gt;"Thời vụ HAQT"),"",BCC!B95)</f>
        <v/>
      </c>
      <c r="C95" s="17" t="str">
        <f aca="false">IF(B95="","",BCC!C95)</f>
        <v/>
      </c>
      <c r="D95" s="17" t="str">
        <f aca="false">IF(B95="","",IFERROR(INDEX(NV_TO,MATCH(B95,NV_MA,0)),""))</f>
        <v/>
      </c>
      <c r="E95" s="17" t="str">
        <f aca="false">IF(B95="","",IFERROR(INDEX(NV_VT,MATCH(B95,NV_MA,0)),""))</f>
        <v/>
      </c>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17" t="str">
        <f aca="false">IF(B95="","",COUNTA(F95:AJ95))</f>
        <v/>
      </c>
      <c r="AL95" s="30" t="str">
        <f aca="false">IF(B95="","",SUM(AM95:BQ95))</f>
        <v/>
      </c>
      <c r="AM95" s="31" t="n">
        <f aca="false">IF(OR($B95="",F95=""),0,IF(AND($E95="Trưởng tổ",F95="x"),SUMIFS(KT_TRUONG,KT_LOAI,"Tổ",KT_TO,$D95,KT_NGAY,1),SUMIFS(KT_PHAN,KT_LOAI,"Tổ",KT_TO,IF(F95="x",$D95,F95),KT_NGAY,1)))</f>
        <v>0</v>
      </c>
      <c r="AN95" s="31" t="n">
        <f aca="false">IF(OR($B95="",G95=""),0,IF(AND($E95="Trưởng tổ",G95="x"),SUMIFS(KT_TRUONG,KT_LOAI,"Tổ",KT_TO,$D95,KT_NGAY,2),SUMIFS(KT_PHAN,KT_LOAI,"Tổ",KT_TO,IF(G95="x",$D95,G95),KT_NGAY,2)))</f>
        <v>0</v>
      </c>
      <c r="AO95" s="31" t="n">
        <f aca="false">IF(OR($B95="",H95=""),0,IF(AND($E95="Trưởng tổ",H95="x"),SUMIFS(KT_TRUONG,KT_LOAI,"Tổ",KT_TO,$D95,KT_NGAY,3),SUMIFS(KT_PHAN,KT_LOAI,"Tổ",KT_TO,IF(H95="x",$D95,H95),KT_NGAY,3)))</f>
        <v>0</v>
      </c>
      <c r="AP95" s="31" t="n">
        <f aca="false">IF(OR($B95="",I95=""),0,IF(AND($E95="Trưởng tổ",I95="x"),SUMIFS(KT_TRUONG,KT_LOAI,"Tổ",KT_TO,$D95,KT_NGAY,4),SUMIFS(KT_PHAN,KT_LOAI,"Tổ",KT_TO,IF(I95="x",$D95,I95),KT_NGAY,4)))</f>
        <v>0</v>
      </c>
      <c r="AQ95" s="31" t="n">
        <f aca="false">IF(OR($B95="",J95=""),0,IF(AND($E95="Trưởng tổ",J95="x"),SUMIFS(KT_TRUONG,KT_LOAI,"Tổ",KT_TO,$D95,KT_NGAY,5),SUMIFS(KT_PHAN,KT_LOAI,"Tổ",KT_TO,IF(J95="x",$D95,J95),KT_NGAY,5)))</f>
        <v>0</v>
      </c>
      <c r="AR95" s="31" t="n">
        <f aca="false">IF(OR($B95="",K95=""),0,IF(AND($E95="Trưởng tổ",K95="x"),SUMIFS(KT_TRUONG,KT_LOAI,"Tổ",KT_TO,$D95,KT_NGAY,6),SUMIFS(KT_PHAN,KT_LOAI,"Tổ",KT_TO,IF(K95="x",$D95,K95),KT_NGAY,6)))</f>
        <v>0</v>
      </c>
      <c r="AS95" s="31" t="n">
        <f aca="false">IF(OR($B95="",L95=""),0,IF(AND($E95="Trưởng tổ",L95="x"),SUMIFS(KT_TRUONG,KT_LOAI,"Tổ",KT_TO,$D95,KT_NGAY,7),SUMIFS(KT_PHAN,KT_LOAI,"Tổ",KT_TO,IF(L95="x",$D95,L95),KT_NGAY,7)))</f>
        <v>0</v>
      </c>
      <c r="AT95" s="31" t="n">
        <f aca="false">IF(OR($B95="",M95=""),0,IF(AND($E95="Trưởng tổ",M95="x"),SUMIFS(KT_TRUONG,KT_LOAI,"Tổ",KT_TO,$D95,KT_NGAY,8),SUMIFS(KT_PHAN,KT_LOAI,"Tổ",KT_TO,IF(M95="x",$D95,M95),KT_NGAY,8)))</f>
        <v>0</v>
      </c>
      <c r="AU95" s="31" t="n">
        <f aca="false">IF(OR($B95="",N95=""),0,IF(AND($E95="Trưởng tổ",N95="x"),SUMIFS(KT_TRUONG,KT_LOAI,"Tổ",KT_TO,$D95,KT_NGAY,9),SUMIFS(KT_PHAN,KT_LOAI,"Tổ",KT_TO,IF(N95="x",$D95,N95),KT_NGAY,9)))</f>
        <v>0</v>
      </c>
      <c r="AV95" s="31" t="n">
        <f aca="false">IF(OR($B95="",O95=""),0,IF(AND($E95="Trưởng tổ",O95="x"),SUMIFS(KT_TRUONG,KT_LOAI,"Tổ",KT_TO,$D95,KT_NGAY,10),SUMIFS(KT_PHAN,KT_LOAI,"Tổ",KT_TO,IF(O95="x",$D95,O95),KT_NGAY,10)))</f>
        <v>0</v>
      </c>
      <c r="AW95" s="31" t="n">
        <f aca="false">IF(OR($B95="",P95=""),0,IF(AND($E95="Trưởng tổ",P95="x"),SUMIFS(KT_TRUONG,KT_LOAI,"Tổ",KT_TO,$D95,KT_NGAY,11),SUMIFS(KT_PHAN,KT_LOAI,"Tổ",KT_TO,IF(P95="x",$D95,P95),KT_NGAY,11)))</f>
        <v>0</v>
      </c>
      <c r="AX95" s="31" t="n">
        <f aca="false">IF(OR($B95="",Q95=""),0,IF(AND($E95="Trưởng tổ",Q95="x"),SUMIFS(KT_TRUONG,KT_LOAI,"Tổ",KT_TO,$D95,KT_NGAY,12),SUMIFS(KT_PHAN,KT_LOAI,"Tổ",KT_TO,IF(Q95="x",$D95,Q95),KT_NGAY,12)))</f>
        <v>0</v>
      </c>
      <c r="AY95" s="31" t="n">
        <f aca="false">IF(OR($B95="",R95=""),0,IF(AND($E95="Trưởng tổ",R95="x"),SUMIFS(KT_TRUONG,KT_LOAI,"Tổ",KT_TO,$D95,KT_NGAY,13),SUMIFS(KT_PHAN,KT_LOAI,"Tổ",KT_TO,IF(R95="x",$D95,R95),KT_NGAY,13)))</f>
        <v>0</v>
      </c>
      <c r="AZ95" s="31" t="n">
        <f aca="false">IF(OR($B95="",S95=""),0,IF(AND($E95="Trưởng tổ",S95="x"),SUMIFS(KT_TRUONG,KT_LOAI,"Tổ",KT_TO,$D95,KT_NGAY,14),SUMIFS(KT_PHAN,KT_LOAI,"Tổ",KT_TO,IF(S95="x",$D95,S95),KT_NGAY,14)))</f>
        <v>0</v>
      </c>
      <c r="BA95" s="31" t="n">
        <f aca="false">IF(OR($B95="",T95=""),0,IF(AND($E95="Trưởng tổ",T95="x"),SUMIFS(KT_TRUONG,KT_LOAI,"Tổ",KT_TO,$D95,KT_NGAY,15),SUMIFS(KT_PHAN,KT_LOAI,"Tổ",KT_TO,IF(T95="x",$D95,T95),KT_NGAY,15)))</f>
        <v>0</v>
      </c>
      <c r="BB95" s="31" t="n">
        <f aca="false">IF(OR($B95="",U95=""),0,IF(AND($E95="Trưởng tổ",U95="x"),SUMIFS(KT_TRUONG,KT_LOAI,"Tổ",KT_TO,$D95,KT_NGAY,16),SUMIFS(KT_PHAN,KT_LOAI,"Tổ",KT_TO,IF(U95="x",$D95,U95),KT_NGAY,16)))</f>
        <v>0</v>
      </c>
      <c r="BC95" s="31" t="n">
        <f aca="false">IF(OR($B95="",V95=""),0,IF(AND($E95="Trưởng tổ",V95="x"),SUMIFS(KT_TRUONG,KT_LOAI,"Tổ",KT_TO,$D95,KT_NGAY,17),SUMIFS(KT_PHAN,KT_LOAI,"Tổ",KT_TO,IF(V95="x",$D95,V95),KT_NGAY,17)))</f>
        <v>0</v>
      </c>
      <c r="BD95" s="31" t="n">
        <f aca="false">IF(OR($B95="",W95=""),0,IF(AND($E95="Trưởng tổ",W95="x"),SUMIFS(KT_TRUONG,KT_LOAI,"Tổ",KT_TO,$D95,KT_NGAY,18),SUMIFS(KT_PHAN,KT_LOAI,"Tổ",KT_TO,IF(W95="x",$D95,W95),KT_NGAY,18)))</f>
        <v>0</v>
      </c>
      <c r="BE95" s="31" t="n">
        <f aca="false">IF(OR($B95="",X95=""),0,IF(AND($E95="Trưởng tổ",X95="x"),SUMIFS(KT_TRUONG,KT_LOAI,"Tổ",KT_TO,$D95,KT_NGAY,19),SUMIFS(KT_PHAN,KT_LOAI,"Tổ",KT_TO,IF(X95="x",$D95,X95),KT_NGAY,19)))</f>
        <v>0</v>
      </c>
      <c r="BF95" s="31" t="n">
        <f aca="false">IF(OR($B95="",Y95=""),0,IF(AND($E95="Trưởng tổ",Y95="x"),SUMIFS(KT_TRUONG,KT_LOAI,"Tổ",KT_TO,$D95,KT_NGAY,20),SUMIFS(KT_PHAN,KT_LOAI,"Tổ",KT_TO,IF(Y95="x",$D95,Y95),KT_NGAY,20)))</f>
        <v>0</v>
      </c>
      <c r="BG95" s="31" t="n">
        <f aca="false">IF(OR($B95="",Z95=""),0,IF(AND($E95="Trưởng tổ",Z95="x"),SUMIFS(KT_TRUONG,KT_LOAI,"Tổ",KT_TO,$D95,KT_NGAY,21),SUMIFS(KT_PHAN,KT_LOAI,"Tổ",KT_TO,IF(Z95="x",$D95,Z95),KT_NGAY,21)))</f>
        <v>0</v>
      </c>
      <c r="BH95" s="31" t="n">
        <f aca="false">IF(OR($B95="",AA95=""),0,IF(AND($E95="Trưởng tổ",AA95="x"),SUMIFS(KT_TRUONG,KT_LOAI,"Tổ",KT_TO,$D95,KT_NGAY,22),SUMIFS(KT_PHAN,KT_LOAI,"Tổ",KT_TO,IF(AA95="x",$D95,AA95),KT_NGAY,22)))</f>
        <v>0</v>
      </c>
      <c r="BI95" s="31" t="n">
        <f aca="false">IF(OR($B95="",AB95=""),0,IF(AND($E95="Trưởng tổ",AB95="x"),SUMIFS(KT_TRUONG,KT_LOAI,"Tổ",KT_TO,$D95,KT_NGAY,23),SUMIFS(KT_PHAN,KT_LOAI,"Tổ",KT_TO,IF(AB95="x",$D95,AB95),KT_NGAY,23)))</f>
        <v>0</v>
      </c>
      <c r="BJ95" s="31" t="n">
        <f aca="false">IF(OR($B95="",AC95=""),0,IF(AND($E95="Trưởng tổ",AC95="x"),SUMIFS(KT_TRUONG,KT_LOAI,"Tổ",KT_TO,$D95,KT_NGAY,24),SUMIFS(KT_PHAN,KT_LOAI,"Tổ",KT_TO,IF(AC95="x",$D95,AC95),KT_NGAY,24)))</f>
        <v>0</v>
      </c>
      <c r="BK95" s="31" t="n">
        <f aca="false">IF(OR($B95="",AD95=""),0,IF(AND($E95="Trưởng tổ",AD95="x"),SUMIFS(KT_TRUONG,KT_LOAI,"Tổ",KT_TO,$D95,KT_NGAY,25),SUMIFS(KT_PHAN,KT_LOAI,"Tổ",KT_TO,IF(AD95="x",$D95,AD95),KT_NGAY,25)))</f>
        <v>0</v>
      </c>
      <c r="BL95" s="31" t="n">
        <f aca="false">IF(OR($B95="",AE95=""),0,IF(AND($E95="Trưởng tổ",AE95="x"),SUMIFS(KT_TRUONG,KT_LOAI,"Tổ",KT_TO,$D95,KT_NGAY,26),SUMIFS(KT_PHAN,KT_LOAI,"Tổ",KT_TO,IF(AE95="x",$D95,AE95),KT_NGAY,26)))</f>
        <v>0</v>
      </c>
      <c r="BM95" s="31" t="n">
        <f aca="false">IF(OR($B95="",AF95=""),0,IF(AND($E95="Trưởng tổ",AF95="x"),SUMIFS(KT_TRUONG,KT_LOAI,"Tổ",KT_TO,$D95,KT_NGAY,27),SUMIFS(KT_PHAN,KT_LOAI,"Tổ",KT_TO,IF(AF95="x",$D95,AF95),KT_NGAY,27)))</f>
        <v>0</v>
      </c>
      <c r="BN95" s="31" t="n">
        <f aca="false">IF(OR($B95="",AG95=""),0,IF(AND($E95="Trưởng tổ",AG95="x"),SUMIFS(KT_TRUONG,KT_LOAI,"Tổ",KT_TO,$D95,KT_NGAY,28),SUMIFS(KT_PHAN,KT_LOAI,"Tổ",KT_TO,IF(AG95="x",$D95,AG95),KT_NGAY,28)))</f>
        <v>0</v>
      </c>
      <c r="BO95" s="31" t="n">
        <f aca="false">IF(OR($B95="",AH95=""),0,IF(AND($E95="Trưởng tổ",AH95="x"),SUMIFS(KT_TRUONG,KT_LOAI,"Tổ",KT_TO,$D95,KT_NGAY,29),SUMIFS(KT_PHAN,KT_LOAI,"Tổ",KT_TO,IF(AH95="x",$D95,AH95),KT_NGAY,29)))</f>
        <v>0</v>
      </c>
      <c r="BP95" s="31" t="n">
        <f aca="false">IF(OR($B95="",AI95=""),0,IF(AND($E95="Trưởng tổ",AI95="x"),SUMIFS(KT_TRUONG,KT_LOAI,"Tổ",KT_TO,$D95,KT_NGAY,30),SUMIFS(KT_PHAN,KT_LOAI,"Tổ",KT_TO,IF(AI95="x",$D95,AI95),KT_NGAY,30)))</f>
        <v>0</v>
      </c>
      <c r="BQ95" s="31" t="n">
        <f aca="false">IF(OR($B95="",AJ95=""),0,IF(AND($E95="Trưởng tổ",AJ95="x"),SUMIFS(KT_TRUONG,KT_LOAI,"Tổ",KT_TO,$D95,KT_NGAY,31),SUMIFS(KT_PHAN,KT_LOAI,"Tổ",KT_TO,IF(AJ95="x",$D95,AJ95),KT_NGAY,31)))</f>
        <v>0</v>
      </c>
    </row>
    <row r="96" customFormat="false" ht="15" hidden="false" customHeight="false" outlineLevel="0" collapsed="false">
      <c r="A96" s="17" t="str">
        <f aca="false">IF(B96="","",ROW()-5)</f>
        <v/>
      </c>
      <c r="B96" s="29" t="str">
        <f aca="false">IF(OR(BCC!B96="",BCC!D96&lt;&gt;"Thời vụ HAQT"),"",BCC!B96)</f>
        <v/>
      </c>
      <c r="C96" s="17" t="str">
        <f aca="false">IF(B96="","",BCC!C96)</f>
        <v/>
      </c>
      <c r="D96" s="17" t="str">
        <f aca="false">IF(B96="","",IFERROR(INDEX(NV_TO,MATCH(B96,NV_MA,0)),""))</f>
        <v/>
      </c>
      <c r="E96" s="17" t="str">
        <f aca="false">IF(B96="","",IFERROR(INDEX(NV_VT,MATCH(B96,NV_MA,0)),""))</f>
        <v/>
      </c>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17" t="str">
        <f aca="false">IF(B96="","",COUNTA(F96:AJ96))</f>
        <v/>
      </c>
      <c r="AL96" s="30" t="str">
        <f aca="false">IF(B96="","",SUM(AM96:BQ96))</f>
        <v/>
      </c>
      <c r="AM96" s="31" t="n">
        <f aca="false">IF(OR($B96="",F96=""),0,IF(AND($E96="Trưởng tổ",F96="x"),SUMIFS(KT_TRUONG,KT_LOAI,"Tổ",KT_TO,$D96,KT_NGAY,1),SUMIFS(KT_PHAN,KT_LOAI,"Tổ",KT_TO,IF(F96="x",$D96,F96),KT_NGAY,1)))</f>
        <v>0</v>
      </c>
      <c r="AN96" s="31" t="n">
        <f aca="false">IF(OR($B96="",G96=""),0,IF(AND($E96="Trưởng tổ",G96="x"),SUMIFS(KT_TRUONG,KT_LOAI,"Tổ",KT_TO,$D96,KT_NGAY,2),SUMIFS(KT_PHAN,KT_LOAI,"Tổ",KT_TO,IF(G96="x",$D96,G96),KT_NGAY,2)))</f>
        <v>0</v>
      </c>
      <c r="AO96" s="31" t="n">
        <f aca="false">IF(OR($B96="",H96=""),0,IF(AND($E96="Trưởng tổ",H96="x"),SUMIFS(KT_TRUONG,KT_LOAI,"Tổ",KT_TO,$D96,KT_NGAY,3),SUMIFS(KT_PHAN,KT_LOAI,"Tổ",KT_TO,IF(H96="x",$D96,H96),KT_NGAY,3)))</f>
        <v>0</v>
      </c>
      <c r="AP96" s="31" t="n">
        <f aca="false">IF(OR($B96="",I96=""),0,IF(AND($E96="Trưởng tổ",I96="x"),SUMIFS(KT_TRUONG,KT_LOAI,"Tổ",KT_TO,$D96,KT_NGAY,4),SUMIFS(KT_PHAN,KT_LOAI,"Tổ",KT_TO,IF(I96="x",$D96,I96),KT_NGAY,4)))</f>
        <v>0</v>
      </c>
      <c r="AQ96" s="31" t="n">
        <f aca="false">IF(OR($B96="",J96=""),0,IF(AND($E96="Trưởng tổ",J96="x"),SUMIFS(KT_TRUONG,KT_LOAI,"Tổ",KT_TO,$D96,KT_NGAY,5),SUMIFS(KT_PHAN,KT_LOAI,"Tổ",KT_TO,IF(J96="x",$D96,J96),KT_NGAY,5)))</f>
        <v>0</v>
      </c>
      <c r="AR96" s="31" t="n">
        <f aca="false">IF(OR($B96="",K96=""),0,IF(AND($E96="Trưởng tổ",K96="x"),SUMIFS(KT_TRUONG,KT_LOAI,"Tổ",KT_TO,$D96,KT_NGAY,6),SUMIFS(KT_PHAN,KT_LOAI,"Tổ",KT_TO,IF(K96="x",$D96,K96),KT_NGAY,6)))</f>
        <v>0</v>
      </c>
      <c r="AS96" s="31" t="n">
        <f aca="false">IF(OR($B96="",L96=""),0,IF(AND($E96="Trưởng tổ",L96="x"),SUMIFS(KT_TRUONG,KT_LOAI,"Tổ",KT_TO,$D96,KT_NGAY,7),SUMIFS(KT_PHAN,KT_LOAI,"Tổ",KT_TO,IF(L96="x",$D96,L96),KT_NGAY,7)))</f>
        <v>0</v>
      </c>
      <c r="AT96" s="31" t="n">
        <f aca="false">IF(OR($B96="",M96=""),0,IF(AND($E96="Trưởng tổ",M96="x"),SUMIFS(KT_TRUONG,KT_LOAI,"Tổ",KT_TO,$D96,KT_NGAY,8),SUMIFS(KT_PHAN,KT_LOAI,"Tổ",KT_TO,IF(M96="x",$D96,M96),KT_NGAY,8)))</f>
        <v>0</v>
      </c>
      <c r="AU96" s="31" t="n">
        <f aca="false">IF(OR($B96="",N96=""),0,IF(AND($E96="Trưởng tổ",N96="x"),SUMIFS(KT_TRUONG,KT_LOAI,"Tổ",KT_TO,$D96,KT_NGAY,9),SUMIFS(KT_PHAN,KT_LOAI,"Tổ",KT_TO,IF(N96="x",$D96,N96),KT_NGAY,9)))</f>
        <v>0</v>
      </c>
      <c r="AV96" s="31" t="n">
        <f aca="false">IF(OR($B96="",O96=""),0,IF(AND($E96="Trưởng tổ",O96="x"),SUMIFS(KT_TRUONG,KT_LOAI,"Tổ",KT_TO,$D96,KT_NGAY,10),SUMIFS(KT_PHAN,KT_LOAI,"Tổ",KT_TO,IF(O96="x",$D96,O96),KT_NGAY,10)))</f>
        <v>0</v>
      </c>
      <c r="AW96" s="31" t="n">
        <f aca="false">IF(OR($B96="",P96=""),0,IF(AND($E96="Trưởng tổ",P96="x"),SUMIFS(KT_TRUONG,KT_LOAI,"Tổ",KT_TO,$D96,KT_NGAY,11),SUMIFS(KT_PHAN,KT_LOAI,"Tổ",KT_TO,IF(P96="x",$D96,P96),KT_NGAY,11)))</f>
        <v>0</v>
      </c>
      <c r="AX96" s="31" t="n">
        <f aca="false">IF(OR($B96="",Q96=""),0,IF(AND($E96="Trưởng tổ",Q96="x"),SUMIFS(KT_TRUONG,KT_LOAI,"Tổ",KT_TO,$D96,KT_NGAY,12),SUMIFS(KT_PHAN,KT_LOAI,"Tổ",KT_TO,IF(Q96="x",$D96,Q96),KT_NGAY,12)))</f>
        <v>0</v>
      </c>
      <c r="AY96" s="31" t="n">
        <f aca="false">IF(OR($B96="",R96=""),0,IF(AND($E96="Trưởng tổ",R96="x"),SUMIFS(KT_TRUONG,KT_LOAI,"Tổ",KT_TO,$D96,KT_NGAY,13),SUMIFS(KT_PHAN,KT_LOAI,"Tổ",KT_TO,IF(R96="x",$D96,R96),KT_NGAY,13)))</f>
        <v>0</v>
      </c>
      <c r="AZ96" s="31" t="n">
        <f aca="false">IF(OR($B96="",S96=""),0,IF(AND($E96="Trưởng tổ",S96="x"),SUMIFS(KT_TRUONG,KT_LOAI,"Tổ",KT_TO,$D96,KT_NGAY,14),SUMIFS(KT_PHAN,KT_LOAI,"Tổ",KT_TO,IF(S96="x",$D96,S96),KT_NGAY,14)))</f>
        <v>0</v>
      </c>
      <c r="BA96" s="31" t="n">
        <f aca="false">IF(OR($B96="",T96=""),0,IF(AND($E96="Trưởng tổ",T96="x"),SUMIFS(KT_TRUONG,KT_LOAI,"Tổ",KT_TO,$D96,KT_NGAY,15),SUMIFS(KT_PHAN,KT_LOAI,"Tổ",KT_TO,IF(T96="x",$D96,T96),KT_NGAY,15)))</f>
        <v>0</v>
      </c>
      <c r="BB96" s="31" t="n">
        <f aca="false">IF(OR($B96="",U96=""),0,IF(AND($E96="Trưởng tổ",U96="x"),SUMIFS(KT_TRUONG,KT_LOAI,"Tổ",KT_TO,$D96,KT_NGAY,16),SUMIFS(KT_PHAN,KT_LOAI,"Tổ",KT_TO,IF(U96="x",$D96,U96),KT_NGAY,16)))</f>
        <v>0</v>
      </c>
      <c r="BC96" s="31" t="n">
        <f aca="false">IF(OR($B96="",V96=""),0,IF(AND($E96="Trưởng tổ",V96="x"),SUMIFS(KT_TRUONG,KT_LOAI,"Tổ",KT_TO,$D96,KT_NGAY,17),SUMIFS(KT_PHAN,KT_LOAI,"Tổ",KT_TO,IF(V96="x",$D96,V96),KT_NGAY,17)))</f>
        <v>0</v>
      </c>
      <c r="BD96" s="31" t="n">
        <f aca="false">IF(OR($B96="",W96=""),0,IF(AND($E96="Trưởng tổ",W96="x"),SUMIFS(KT_TRUONG,KT_LOAI,"Tổ",KT_TO,$D96,KT_NGAY,18),SUMIFS(KT_PHAN,KT_LOAI,"Tổ",KT_TO,IF(W96="x",$D96,W96),KT_NGAY,18)))</f>
        <v>0</v>
      </c>
      <c r="BE96" s="31" t="n">
        <f aca="false">IF(OR($B96="",X96=""),0,IF(AND($E96="Trưởng tổ",X96="x"),SUMIFS(KT_TRUONG,KT_LOAI,"Tổ",KT_TO,$D96,KT_NGAY,19),SUMIFS(KT_PHAN,KT_LOAI,"Tổ",KT_TO,IF(X96="x",$D96,X96),KT_NGAY,19)))</f>
        <v>0</v>
      </c>
      <c r="BF96" s="31" t="n">
        <f aca="false">IF(OR($B96="",Y96=""),0,IF(AND($E96="Trưởng tổ",Y96="x"),SUMIFS(KT_TRUONG,KT_LOAI,"Tổ",KT_TO,$D96,KT_NGAY,20),SUMIFS(KT_PHAN,KT_LOAI,"Tổ",KT_TO,IF(Y96="x",$D96,Y96),KT_NGAY,20)))</f>
        <v>0</v>
      </c>
      <c r="BG96" s="31" t="n">
        <f aca="false">IF(OR($B96="",Z96=""),0,IF(AND($E96="Trưởng tổ",Z96="x"),SUMIFS(KT_TRUONG,KT_LOAI,"Tổ",KT_TO,$D96,KT_NGAY,21),SUMIFS(KT_PHAN,KT_LOAI,"Tổ",KT_TO,IF(Z96="x",$D96,Z96),KT_NGAY,21)))</f>
        <v>0</v>
      </c>
      <c r="BH96" s="31" t="n">
        <f aca="false">IF(OR($B96="",AA96=""),0,IF(AND($E96="Trưởng tổ",AA96="x"),SUMIFS(KT_TRUONG,KT_LOAI,"Tổ",KT_TO,$D96,KT_NGAY,22),SUMIFS(KT_PHAN,KT_LOAI,"Tổ",KT_TO,IF(AA96="x",$D96,AA96),KT_NGAY,22)))</f>
        <v>0</v>
      </c>
      <c r="BI96" s="31" t="n">
        <f aca="false">IF(OR($B96="",AB96=""),0,IF(AND($E96="Trưởng tổ",AB96="x"),SUMIFS(KT_TRUONG,KT_LOAI,"Tổ",KT_TO,$D96,KT_NGAY,23),SUMIFS(KT_PHAN,KT_LOAI,"Tổ",KT_TO,IF(AB96="x",$D96,AB96),KT_NGAY,23)))</f>
        <v>0</v>
      </c>
      <c r="BJ96" s="31" t="n">
        <f aca="false">IF(OR($B96="",AC96=""),0,IF(AND($E96="Trưởng tổ",AC96="x"),SUMIFS(KT_TRUONG,KT_LOAI,"Tổ",KT_TO,$D96,KT_NGAY,24),SUMIFS(KT_PHAN,KT_LOAI,"Tổ",KT_TO,IF(AC96="x",$D96,AC96),KT_NGAY,24)))</f>
        <v>0</v>
      </c>
      <c r="BK96" s="31" t="n">
        <f aca="false">IF(OR($B96="",AD96=""),0,IF(AND($E96="Trưởng tổ",AD96="x"),SUMIFS(KT_TRUONG,KT_LOAI,"Tổ",KT_TO,$D96,KT_NGAY,25),SUMIFS(KT_PHAN,KT_LOAI,"Tổ",KT_TO,IF(AD96="x",$D96,AD96),KT_NGAY,25)))</f>
        <v>0</v>
      </c>
      <c r="BL96" s="31" t="n">
        <f aca="false">IF(OR($B96="",AE96=""),0,IF(AND($E96="Trưởng tổ",AE96="x"),SUMIFS(KT_TRUONG,KT_LOAI,"Tổ",KT_TO,$D96,KT_NGAY,26),SUMIFS(KT_PHAN,KT_LOAI,"Tổ",KT_TO,IF(AE96="x",$D96,AE96),KT_NGAY,26)))</f>
        <v>0</v>
      </c>
      <c r="BM96" s="31" t="n">
        <f aca="false">IF(OR($B96="",AF96=""),0,IF(AND($E96="Trưởng tổ",AF96="x"),SUMIFS(KT_TRUONG,KT_LOAI,"Tổ",KT_TO,$D96,KT_NGAY,27),SUMIFS(KT_PHAN,KT_LOAI,"Tổ",KT_TO,IF(AF96="x",$D96,AF96),KT_NGAY,27)))</f>
        <v>0</v>
      </c>
      <c r="BN96" s="31" t="n">
        <f aca="false">IF(OR($B96="",AG96=""),0,IF(AND($E96="Trưởng tổ",AG96="x"),SUMIFS(KT_TRUONG,KT_LOAI,"Tổ",KT_TO,$D96,KT_NGAY,28),SUMIFS(KT_PHAN,KT_LOAI,"Tổ",KT_TO,IF(AG96="x",$D96,AG96),KT_NGAY,28)))</f>
        <v>0</v>
      </c>
      <c r="BO96" s="31" t="n">
        <f aca="false">IF(OR($B96="",AH96=""),0,IF(AND($E96="Trưởng tổ",AH96="x"),SUMIFS(KT_TRUONG,KT_LOAI,"Tổ",KT_TO,$D96,KT_NGAY,29),SUMIFS(KT_PHAN,KT_LOAI,"Tổ",KT_TO,IF(AH96="x",$D96,AH96),KT_NGAY,29)))</f>
        <v>0</v>
      </c>
      <c r="BP96" s="31" t="n">
        <f aca="false">IF(OR($B96="",AI96=""),0,IF(AND($E96="Trưởng tổ",AI96="x"),SUMIFS(KT_TRUONG,KT_LOAI,"Tổ",KT_TO,$D96,KT_NGAY,30),SUMIFS(KT_PHAN,KT_LOAI,"Tổ",KT_TO,IF(AI96="x",$D96,AI96),KT_NGAY,30)))</f>
        <v>0</v>
      </c>
      <c r="BQ96" s="31" t="n">
        <f aca="false">IF(OR($B96="",AJ96=""),0,IF(AND($E96="Trưởng tổ",AJ96="x"),SUMIFS(KT_TRUONG,KT_LOAI,"Tổ",KT_TO,$D96,KT_NGAY,31),SUMIFS(KT_PHAN,KT_LOAI,"Tổ",KT_TO,IF(AJ96="x",$D96,AJ96),KT_NGAY,31)))</f>
        <v>0</v>
      </c>
    </row>
    <row r="97" customFormat="false" ht="15" hidden="false" customHeight="false" outlineLevel="0" collapsed="false">
      <c r="A97" s="17" t="str">
        <f aca="false">IF(B97="","",ROW()-5)</f>
        <v/>
      </c>
      <c r="B97" s="29" t="str">
        <f aca="false">IF(OR(BCC!B97="",BCC!D97&lt;&gt;"Thời vụ HAQT"),"",BCC!B97)</f>
        <v/>
      </c>
      <c r="C97" s="17" t="str">
        <f aca="false">IF(B97="","",BCC!C97)</f>
        <v/>
      </c>
      <c r="D97" s="17" t="str">
        <f aca="false">IF(B97="","",IFERROR(INDEX(NV_TO,MATCH(B97,NV_MA,0)),""))</f>
        <v/>
      </c>
      <c r="E97" s="17" t="str">
        <f aca="false">IF(B97="","",IFERROR(INDEX(NV_VT,MATCH(B97,NV_MA,0)),""))</f>
        <v/>
      </c>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17" t="str">
        <f aca="false">IF(B97="","",COUNTA(F97:AJ97))</f>
        <v/>
      </c>
      <c r="AL97" s="30" t="str">
        <f aca="false">IF(B97="","",SUM(AM97:BQ97))</f>
        <v/>
      </c>
      <c r="AM97" s="31" t="n">
        <f aca="false">IF(OR($B97="",F97=""),0,IF(AND($E97="Trưởng tổ",F97="x"),SUMIFS(KT_TRUONG,KT_LOAI,"Tổ",KT_TO,$D97,KT_NGAY,1),SUMIFS(KT_PHAN,KT_LOAI,"Tổ",KT_TO,IF(F97="x",$D97,F97),KT_NGAY,1)))</f>
        <v>0</v>
      </c>
      <c r="AN97" s="31" t="n">
        <f aca="false">IF(OR($B97="",G97=""),0,IF(AND($E97="Trưởng tổ",G97="x"),SUMIFS(KT_TRUONG,KT_LOAI,"Tổ",KT_TO,$D97,KT_NGAY,2),SUMIFS(KT_PHAN,KT_LOAI,"Tổ",KT_TO,IF(G97="x",$D97,G97),KT_NGAY,2)))</f>
        <v>0</v>
      </c>
      <c r="AO97" s="31" t="n">
        <f aca="false">IF(OR($B97="",H97=""),0,IF(AND($E97="Trưởng tổ",H97="x"),SUMIFS(KT_TRUONG,KT_LOAI,"Tổ",KT_TO,$D97,KT_NGAY,3),SUMIFS(KT_PHAN,KT_LOAI,"Tổ",KT_TO,IF(H97="x",$D97,H97),KT_NGAY,3)))</f>
        <v>0</v>
      </c>
      <c r="AP97" s="31" t="n">
        <f aca="false">IF(OR($B97="",I97=""),0,IF(AND($E97="Trưởng tổ",I97="x"),SUMIFS(KT_TRUONG,KT_LOAI,"Tổ",KT_TO,$D97,KT_NGAY,4),SUMIFS(KT_PHAN,KT_LOAI,"Tổ",KT_TO,IF(I97="x",$D97,I97),KT_NGAY,4)))</f>
        <v>0</v>
      </c>
      <c r="AQ97" s="31" t="n">
        <f aca="false">IF(OR($B97="",J97=""),0,IF(AND($E97="Trưởng tổ",J97="x"),SUMIFS(KT_TRUONG,KT_LOAI,"Tổ",KT_TO,$D97,KT_NGAY,5),SUMIFS(KT_PHAN,KT_LOAI,"Tổ",KT_TO,IF(J97="x",$D97,J97),KT_NGAY,5)))</f>
        <v>0</v>
      </c>
      <c r="AR97" s="31" t="n">
        <f aca="false">IF(OR($B97="",K97=""),0,IF(AND($E97="Trưởng tổ",K97="x"),SUMIFS(KT_TRUONG,KT_LOAI,"Tổ",KT_TO,$D97,KT_NGAY,6),SUMIFS(KT_PHAN,KT_LOAI,"Tổ",KT_TO,IF(K97="x",$D97,K97),KT_NGAY,6)))</f>
        <v>0</v>
      </c>
      <c r="AS97" s="31" t="n">
        <f aca="false">IF(OR($B97="",L97=""),0,IF(AND($E97="Trưởng tổ",L97="x"),SUMIFS(KT_TRUONG,KT_LOAI,"Tổ",KT_TO,$D97,KT_NGAY,7),SUMIFS(KT_PHAN,KT_LOAI,"Tổ",KT_TO,IF(L97="x",$D97,L97),KT_NGAY,7)))</f>
        <v>0</v>
      </c>
      <c r="AT97" s="31" t="n">
        <f aca="false">IF(OR($B97="",M97=""),0,IF(AND($E97="Trưởng tổ",M97="x"),SUMIFS(KT_TRUONG,KT_LOAI,"Tổ",KT_TO,$D97,KT_NGAY,8),SUMIFS(KT_PHAN,KT_LOAI,"Tổ",KT_TO,IF(M97="x",$D97,M97),KT_NGAY,8)))</f>
        <v>0</v>
      </c>
      <c r="AU97" s="31" t="n">
        <f aca="false">IF(OR($B97="",N97=""),0,IF(AND($E97="Trưởng tổ",N97="x"),SUMIFS(KT_TRUONG,KT_LOAI,"Tổ",KT_TO,$D97,KT_NGAY,9),SUMIFS(KT_PHAN,KT_LOAI,"Tổ",KT_TO,IF(N97="x",$D97,N97),KT_NGAY,9)))</f>
        <v>0</v>
      </c>
      <c r="AV97" s="31" t="n">
        <f aca="false">IF(OR($B97="",O97=""),0,IF(AND($E97="Trưởng tổ",O97="x"),SUMIFS(KT_TRUONG,KT_LOAI,"Tổ",KT_TO,$D97,KT_NGAY,10),SUMIFS(KT_PHAN,KT_LOAI,"Tổ",KT_TO,IF(O97="x",$D97,O97),KT_NGAY,10)))</f>
        <v>0</v>
      </c>
      <c r="AW97" s="31" t="n">
        <f aca="false">IF(OR($B97="",P97=""),0,IF(AND($E97="Trưởng tổ",P97="x"),SUMIFS(KT_TRUONG,KT_LOAI,"Tổ",KT_TO,$D97,KT_NGAY,11),SUMIFS(KT_PHAN,KT_LOAI,"Tổ",KT_TO,IF(P97="x",$D97,P97),KT_NGAY,11)))</f>
        <v>0</v>
      </c>
      <c r="AX97" s="31" t="n">
        <f aca="false">IF(OR($B97="",Q97=""),0,IF(AND($E97="Trưởng tổ",Q97="x"),SUMIFS(KT_TRUONG,KT_LOAI,"Tổ",KT_TO,$D97,KT_NGAY,12),SUMIFS(KT_PHAN,KT_LOAI,"Tổ",KT_TO,IF(Q97="x",$D97,Q97),KT_NGAY,12)))</f>
        <v>0</v>
      </c>
      <c r="AY97" s="31" t="n">
        <f aca="false">IF(OR($B97="",R97=""),0,IF(AND($E97="Trưởng tổ",R97="x"),SUMIFS(KT_TRUONG,KT_LOAI,"Tổ",KT_TO,$D97,KT_NGAY,13),SUMIFS(KT_PHAN,KT_LOAI,"Tổ",KT_TO,IF(R97="x",$D97,R97),KT_NGAY,13)))</f>
        <v>0</v>
      </c>
      <c r="AZ97" s="31" t="n">
        <f aca="false">IF(OR($B97="",S97=""),0,IF(AND($E97="Trưởng tổ",S97="x"),SUMIFS(KT_TRUONG,KT_LOAI,"Tổ",KT_TO,$D97,KT_NGAY,14),SUMIFS(KT_PHAN,KT_LOAI,"Tổ",KT_TO,IF(S97="x",$D97,S97),KT_NGAY,14)))</f>
        <v>0</v>
      </c>
      <c r="BA97" s="31" t="n">
        <f aca="false">IF(OR($B97="",T97=""),0,IF(AND($E97="Trưởng tổ",T97="x"),SUMIFS(KT_TRUONG,KT_LOAI,"Tổ",KT_TO,$D97,KT_NGAY,15),SUMIFS(KT_PHAN,KT_LOAI,"Tổ",KT_TO,IF(T97="x",$D97,T97),KT_NGAY,15)))</f>
        <v>0</v>
      </c>
      <c r="BB97" s="31" t="n">
        <f aca="false">IF(OR($B97="",U97=""),0,IF(AND($E97="Trưởng tổ",U97="x"),SUMIFS(KT_TRUONG,KT_LOAI,"Tổ",KT_TO,$D97,KT_NGAY,16),SUMIFS(KT_PHAN,KT_LOAI,"Tổ",KT_TO,IF(U97="x",$D97,U97),KT_NGAY,16)))</f>
        <v>0</v>
      </c>
      <c r="BC97" s="31" t="n">
        <f aca="false">IF(OR($B97="",V97=""),0,IF(AND($E97="Trưởng tổ",V97="x"),SUMIFS(KT_TRUONG,KT_LOAI,"Tổ",KT_TO,$D97,KT_NGAY,17),SUMIFS(KT_PHAN,KT_LOAI,"Tổ",KT_TO,IF(V97="x",$D97,V97),KT_NGAY,17)))</f>
        <v>0</v>
      </c>
      <c r="BD97" s="31" t="n">
        <f aca="false">IF(OR($B97="",W97=""),0,IF(AND($E97="Trưởng tổ",W97="x"),SUMIFS(KT_TRUONG,KT_LOAI,"Tổ",KT_TO,$D97,KT_NGAY,18),SUMIFS(KT_PHAN,KT_LOAI,"Tổ",KT_TO,IF(W97="x",$D97,W97),KT_NGAY,18)))</f>
        <v>0</v>
      </c>
      <c r="BE97" s="31" t="n">
        <f aca="false">IF(OR($B97="",X97=""),0,IF(AND($E97="Trưởng tổ",X97="x"),SUMIFS(KT_TRUONG,KT_LOAI,"Tổ",KT_TO,$D97,KT_NGAY,19),SUMIFS(KT_PHAN,KT_LOAI,"Tổ",KT_TO,IF(X97="x",$D97,X97),KT_NGAY,19)))</f>
        <v>0</v>
      </c>
      <c r="BF97" s="31" t="n">
        <f aca="false">IF(OR($B97="",Y97=""),0,IF(AND($E97="Trưởng tổ",Y97="x"),SUMIFS(KT_TRUONG,KT_LOAI,"Tổ",KT_TO,$D97,KT_NGAY,20),SUMIFS(KT_PHAN,KT_LOAI,"Tổ",KT_TO,IF(Y97="x",$D97,Y97),KT_NGAY,20)))</f>
        <v>0</v>
      </c>
      <c r="BG97" s="31" t="n">
        <f aca="false">IF(OR($B97="",Z97=""),0,IF(AND($E97="Trưởng tổ",Z97="x"),SUMIFS(KT_TRUONG,KT_LOAI,"Tổ",KT_TO,$D97,KT_NGAY,21),SUMIFS(KT_PHAN,KT_LOAI,"Tổ",KT_TO,IF(Z97="x",$D97,Z97),KT_NGAY,21)))</f>
        <v>0</v>
      </c>
      <c r="BH97" s="31" t="n">
        <f aca="false">IF(OR($B97="",AA97=""),0,IF(AND($E97="Trưởng tổ",AA97="x"),SUMIFS(KT_TRUONG,KT_LOAI,"Tổ",KT_TO,$D97,KT_NGAY,22),SUMIFS(KT_PHAN,KT_LOAI,"Tổ",KT_TO,IF(AA97="x",$D97,AA97),KT_NGAY,22)))</f>
        <v>0</v>
      </c>
      <c r="BI97" s="31" t="n">
        <f aca="false">IF(OR($B97="",AB97=""),0,IF(AND($E97="Trưởng tổ",AB97="x"),SUMIFS(KT_TRUONG,KT_LOAI,"Tổ",KT_TO,$D97,KT_NGAY,23),SUMIFS(KT_PHAN,KT_LOAI,"Tổ",KT_TO,IF(AB97="x",$D97,AB97),KT_NGAY,23)))</f>
        <v>0</v>
      </c>
      <c r="BJ97" s="31" t="n">
        <f aca="false">IF(OR($B97="",AC97=""),0,IF(AND($E97="Trưởng tổ",AC97="x"),SUMIFS(KT_TRUONG,KT_LOAI,"Tổ",KT_TO,$D97,KT_NGAY,24),SUMIFS(KT_PHAN,KT_LOAI,"Tổ",KT_TO,IF(AC97="x",$D97,AC97),KT_NGAY,24)))</f>
        <v>0</v>
      </c>
      <c r="BK97" s="31" t="n">
        <f aca="false">IF(OR($B97="",AD97=""),0,IF(AND($E97="Trưởng tổ",AD97="x"),SUMIFS(KT_TRUONG,KT_LOAI,"Tổ",KT_TO,$D97,KT_NGAY,25),SUMIFS(KT_PHAN,KT_LOAI,"Tổ",KT_TO,IF(AD97="x",$D97,AD97),KT_NGAY,25)))</f>
        <v>0</v>
      </c>
      <c r="BL97" s="31" t="n">
        <f aca="false">IF(OR($B97="",AE97=""),0,IF(AND($E97="Trưởng tổ",AE97="x"),SUMIFS(KT_TRUONG,KT_LOAI,"Tổ",KT_TO,$D97,KT_NGAY,26),SUMIFS(KT_PHAN,KT_LOAI,"Tổ",KT_TO,IF(AE97="x",$D97,AE97),KT_NGAY,26)))</f>
        <v>0</v>
      </c>
      <c r="BM97" s="31" t="n">
        <f aca="false">IF(OR($B97="",AF97=""),0,IF(AND($E97="Trưởng tổ",AF97="x"),SUMIFS(KT_TRUONG,KT_LOAI,"Tổ",KT_TO,$D97,KT_NGAY,27),SUMIFS(KT_PHAN,KT_LOAI,"Tổ",KT_TO,IF(AF97="x",$D97,AF97),KT_NGAY,27)))</f>
        <v>0</v>
      </c>
      <c r="BN97" s="31" t="n">
        <f aca="false">IF(OR($B97="",AG97=""),0,IF(AND($E97="Trưởng tổ",AG97="x"),SUMIFS(KT_TRUONG,KT_LOAI,"Tổ",KT_TO,$D97,KT_NGAY,28),SUMIFS(KT_PHAN,KT_LOAI,"Tổ",KT_TO,IF(AG97="x",$D97,AG97),KT_NGAY,28)))</f>
        <v>0</v>
      </c>
      <c r="BO97" s="31" t="n">
        <f aca="false">IF(OR($B97="",AH97=""),0,IF(AND($E97="Trưởng tổ",AH97="x"),SUMIFS(KT_TRUONG,KT_LOAI,"Tổ",KT_TO,$D97,KT_NGAY,29),SUMIFS(KT_PHAN,KT_LOAI,"Tổ",KT_TO,IF(AH97="x",$D97,AH97),KT_NGAY,29)))</f>
        <v>0</v>
      </c>
      <c r="BP97" s="31" t="n">
        <f aca="false">IF(OR($B97="",AI97=""),0,IF(AND($E97="Trưởng tổ",AI97="x"),SUMIFS(KT_TRUONG,KT_LOAI,"Tổ",KT_TO,$D97,KT_NGAY,30),SUMIFS(KT_PHAN,KT_LOAI,"Tổ",KT_TO,IF(AI97="x",$D97,AI97),KT_NGAY,30)))</f>
        <v>0</v>
      </c>
      <c r="BQ97" s="31" t="n">
        <f aca="false">IF(OR($B97="",AJ97=""),0,IF(AND($E97="Trưởng tổ",AJ97="x"),SUMIFS(KT_TRUONG,KT_LOAI,"Tổ",KT_TO,$D97,KT_NGAY,31),SUMIFS(KT_PHAN,KT_LOAI,"Tổ",KT_TO,IF(AJ97="x",$D97,AJ97),KT_NGAY,31)))</f>
        <v>0</v>
      </c>
    </row>
    <row r="98" customFormat="false" ht="15" hidden="false" customHeight="false" outlineLevel="0" collapsed="false">
      <c r="A98" s="17" t="str">
        <f aca="false">IF(B98="","",ROW()-5)</f>
        <v/>
      </c>
      <c r="B98" s="29" t="str">
        <f aca="false">IF(OR(BCC!B98="",BCC!D98&lt;&gt;"Thời vụ HAQT"),"",BCC!B98)</f>
        <v/>
      </c>
      <c r="C98" s="17" t="str">
        <f aca="false">IF(B98="","",BCC!C98)</f>
        <v/>
      </c>
      <c r="D98" s="17" t="str">
        <f aca="false">IF(B98="","",IFERROR(INDEX(NV_TO,MATCH(B98,NV_MA,0)),""))</f>
        <v/>
      </c>
      <c r="E98" s="17" t="str">
        <f aca="false">IF(B98="","",IFERROR(INDEX(NV_VT,MATCH(B98,NV_MA,0)),""))</f>
        <v/>
      </c>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17" t="str">
        <f aca="false">IF(B98="","",COUNTA(F98:AJ98))</f>
        <v/>
      </c>
      <c r="AL98" s="30" t="str">
        <f aca="false">IF(B98="","",SUM(AM98:BQ98))</f>
        <v/>
      </c>
      <c r="AM98" s="31" t="n">
        <f aca="false">IF(OR($B98="",F98=""),0,IF(AND($E98="Trưởng tổ",F98="x"),SUMIFS(KT_TRUONG,KT_LOAI,"Tổ",KT_TO,$D98,KT_NGAY,1),SUMIFS(KT_PHAN,KT_LOAI,"Tổ",KT_TO,IF(F98="x",$D98,F98),KT_NGAY,1)))</f>
        <v>0</v>
      </c>
      <c r="AN98" s="31" t="n">
        <f aca="false">IF(OR($B98="",G98=""),0,IF(AND($E98="Trưởng tổ",G98="x"),SUMIFS(KT_TRUONG,KT_LOAI,"Tổ",KT_TO,$D98,KT_NGAY,2),SUMIFS(KT_PHAN,KT_LOAI,"Tổ",KT_TO,IF(G98="x",$D98,G98),KT_NGAY,2)))</f>
        <v>0</v>
      </c>
      <c r="AO98" s="31" t="n">
        <f aca="false">IF(OR($B98="",H98=""),0,IF(AND($E98="Trưởng tổ",H98="x"),SUMIFS(KT_TRUONG,KT_LOAI,"Tổ",KT_TO,$D98,KT_NGAY,3),SUMIFS(KT_PHAN,KT_LOAI,"Tổ",KT_TO,IF(H98="x",$D98,H98),KT_NGAY,3)))</f>
        <v>0</v>
      </c>
      <c r="AP98" s="31" t="n">
        <f aca="false">IF(OR($B98="",I98=""),0,IF(AND($E98="Trưởng tổ",I98="x"),SUMIFS(KT_TRUONG,KT_LOAI,"Tổ",KT_TO,$D98,KT_NGAY,4),SUMIFS(KT_PHAN,KT_LOAI,"Tổ",KT_TO,IF(I98="x",$D98,I98),KT_NGAY,4)))</f>
        <v>0</v>
      </c>
      <c r="AQ98" s="31" t="n">
        <f aca="false">IF(OR($B98="",J98=""),0,IF(AND($E98="Trưởng tổ",J98="x"),SUMIFS(KT_TRUONG,KT_LOAI,"Tổ",KT_TO,$D98,KT_NGAY,5),SUMIFS(KT_PHAN,KT_LOAI,"Tổ",KT_TO,IF(J98="x",$D98,J98),KT_NGAY,5)))</f>
        <v>0</v>
      </c>
      <c r="AR98" s="31" t="n">
        <f aca="false">IF(OR($B98="",K98=""),0,IF(AND($E98="Trưởng tổ",K98="x"),SUMIFS(KT_TRUONG,KT_LOAI,"Tổ",KT_TO,$D98,KT_NGAY,6),SUMIFS(KT_PHAN,KT_LOAI,"Tổ",KT_TO,IF(K98="x",$D98,K98),KT_NGAY,6)))</f>
        <v>0</v>
      </c>
      <c r="AS98" s="31" t="n">
        <f aca="false">IF(OR($B98="",L98=""),0,IF(AND($E98="Trưởng tổ",L98="x"),SUMIFS(KT_TRUONG,KT_LOAI,"Tổ",KT_TO,$D98,KT_NGAY,7),SUMIFS(KT_PHAN,KT_LOAI,"Tổ",KT_TO,IF(L98="x",$D98,L98),KT_NGAY,7)))</f>
        <v>0</v>
      </c>
      <c r="AT98" s="31" t="n">
        <f aca="false">IF(OR($B98="",M98=""),0,IF(AND($E98="Trưởng tổ",M98="x"),SUMIFS(KT_TRUONG,KT_LOAI,"Tổ",KT_TO,$D98,KT_NGAY,8),SUMIFS(KT_PHAN,KT_LOAI,"Tổ",KT_TO,IF(M98="x",$D98,M98),KT_NGAY,8)))</f>
        <v>0</v>
      </c>
      <c r="AU98" s="31" t="n">
        <f aca="false">IF(OR($B98="",N98=""),0,IF(AND($E98="Trưởng tổ",N98="x"),SUMIFS(KT_TRUONG,KT_LOAI,"Tổ",KT_TO,$D98,KT_NGAY,9),SUMIFS(KT_PHAN,KT_LOAI,"Tổ",KT_TO,IF(N98="x",$D98,N98),KT_NGAY,9)))</f>
        <v>0</v>
      </c>
      <c r="AV98" s="31" t="n">
        <f aca="false">IF(OR($B98="",O98=""),0,IF(AND($E98="Trưởng tổ",O98="x"),SUMIFS(KT_TRUONG,KT_LOAI,"Tổ",KT_TO,$D98,KT_NGAY,10),SUMIFS(KT_PHAN,KT_LOAI,"Tổ",KT_TO,IF(O98="x",$D98,O98),KT_NGAY,10)))</f>
        <v>0</v>
      </c>
      <c r="AW98" s="31" t="n">
        <f aca="false">IF(OR($B98="",P98=""),0,IF(AND($E98="Trưởng tổ",P98="x"),SUMIFS(KT_TRUONG,KT_LOAI,"Tổ",KT_TO,$D98,KT_NGAY,11),SUMIFS(KT_PHAN,KT_LOAI,"Tổ",KT_TO,IF(P98="x",$D98,P98),KT_NGAY,11)))</f>
        <v>0</v>
      </c>
      <c r="AX98" s="31" t="n">
        <f aca="false">IF(OR($B98="",Q98=""),0,IF(AND($E98="Trưởng tổ",Q98="x"),SUMIFS(KT_TRUONG,KT_LOAI,"Tổ",KT_TO,$D98,KT_NGAY,12),SUMIFS(KT_PHAN,KT_LOAI,"Tổ",KT_TO,IF(Q98="x",$D98,Q98),KT_NGAY,12)))</f>
        <v>0</v>
      </c>
      <c r="AY98" s="31" t="n">
        <f aca="false">IF(OR($B98="",R98=""),0,IF(AND($E98="Trưởng tổ",R98="x"),SUMIFS(KT_TRUONG,KT_LOAI,"Tổ",KT_TO,$D98,KT_NGAY,13),SUMIFS(KT_PHAN,KT_LOAI,"Tổ",KT_TO,IF(R98="x",$D98,R98),KT_NGAY,13)))</f>
        <v>0</v>
      </c>
      <c r="AZ98" s="31" t="n">
        <f aca="false">IF(OR($B98="",S98=""),0,IF(AND($E98="Trưởng tổ",S98="x"),SUMIFS(KT_TRUONG,KT_LOAI,"Tổ",KT_TO,$D98,KT_NGAY,14),SUMIFS(KT_PHAN,KT_LOAI,"Tổ",KT_TO,IF(S98="x",$D98,S98),KT_NGAY,14)))</f>
        <v>0</v>
      </c>
      <c r="BA98" s="31" t="n">
        <f aca="false">IF(OR($B98="",T98=""),0,IF(AND($E98="Trưởng tổ",T98="x"),SUMIFS(KT_TRUONG,KT_LOAI,"Tổ",KT_TO,$D98,KT_NGAY,15),SUMIFS(KT_PHAN,KT_LOAI,"Tổ",KT_TO,IF(T98="x",$D98,T98),KT_NGAY,15)))</f>
        <v>0</v>
      </c>
      <c r="BB98" s="31" t="n">
        <f aca="false">IF(OR($B98="",U98=""),0,IF(AND($E98="Trưởng tổ",U98="x"),SUMIFS(KT_TRUONG,KT_LOAI,"Tổ",KT_TO,$D98,KT_NGAY,16),SUMIFS(KT_PHAN,KT_LOAI,"Tổ",KT_TO,IF(U98="x",$D98,U98),KT_NGAY,16)))</f>
        <v>0</v>
      </c>
      <c r="BC98" s="31" t="n">
        <f aca="false">IF(OR($B98="",V98=""),0,IF(AND($E98="Trưởng tổ",V98="x"),SUMIFS(KT_TRUONG,KT_LOAI,"Tổ",KT_TO,$D98,KT_NGAY,17),SUMIFS(KT_PHAN,KT_LOAI,"Tổ",KT_TO,IF(V98="x",$D98,V98),KT_NGAY,17)))</f>
        <v>0</v>
      </c>
      <c r="BD98" s="31" t="n">
        <f aca="false">IF(OR($B98="",W98=""),0,IF(AND($E98="Trưởng tổ",W98="x"),SUMIFS(KT_TRUONG,KT_LOAI,"Tổ",KT_TO,$D98,KT_NGAY,18),SUMIFS(KT_PHAN,KT_LOAI,"Tổ",KT_TO,IF(W98="x",$D98,W98),KT_NGAY,18)))</f>
        <v>0</v>
      </c>
      <c r="BE98" s="31" t="n">
        <f aca="false">IF(OR($B98="",X98=""),0,IF(AND($E98="Trưởng tổ",X98="x"),SUMIFS(KT_TRUONG,KT_LOAI,"Tổ",KT_TO,$D98,KT_NGAY,19),SUMIFS(KT_PHAN,KT_LOAI,"Tổ",KT_TO,IF(X98="x",$D98,X98),KT_NGAY,19)))</f>
        <v>0</v>
      </c>
      <c r="BF98" s="31" t="n">
        <f aca="false">IF(OR($B98="",Y98=""),0,IF(AND($E98="Trưởng tổ",Y98="x"),SUMIFS(KT_TRUONG,KT_LOAI,"Tổ",KT_TO,$D98,KT_NGAY,20),SUMIFS(KT_PHAN,KT_LOAI,"Tổ",KT_TO,IF(Y98="x",$D98,Y98),KT_NGAY,20)))</f>
        <v>0</v>
      </c>
      <c r="BG98" s="31" t="n">
        <f aca="false">IF(OR($B98="",Z98=""),0,IF(AND($E98="Trưởng tổ",Z98="x"),SUMIFS(KT_TRUONG,KT_LOAI,"Tổ",KT_TO,$D98,KT_NGAY,21),SUMIFS(KT_PHAN,KT_LOAI,"Tổ",KT_TO,IF(Z98="x",$D98,Z98),KT_NGAY,21)))</f>
        <v>0</v>
      </c>
      <c r="BH98" s="31" t="n">
        <f aca="false">IF(OR($B98="",AA98=""),0,IF(AND($E98="Trưởng tổ",AA98="x"),SUMIFS(KT_TRUONG,KT_LOAI,"Tổ",KT_TO,$D98,KT_NGAY,22),SUMIFS(KT_PHAN,KT_LOAI,"Tổ",KT_TO,IF(AA98="x",$D98,AA98),KT_NGAY,22)))</f>
        <v>0</v>
      </c>
      <c r="BI98" s="31" t="n">
        <f aca="false">IF(OR($B98="",AB98=""),0,IF(AND($E98="Trưởng tổ",AB98="x"),SUMIFS(KT_TRUONG,KT_LOAI,"Tổ",KT_TO,$D98,KT_NGAY,23),SUMIFS(KT_PHAN,KT_LOAI,"Tổ",KT_TO,IF(AB98="x",$D98,AB98),KT_NGAY,23)))</f>
        <v>0</v>
      </c>
      <c r="BJ98" s="31" t="n">
        <f aca="false">IF(OR($B98="",AC98=""),0,IF(AND($E98="Trưởng tổ",AC98="x"),SUMIFS(KT_TRUONG,KT_LOAI,"Tổ",KT_TO,$D98,KT_NGAY,24),SUMIFS(KT_PHAN,KT_LOAI,"Tổ",KT_TO,IF(AC98="x",$D98,AC98),KT_NGAY,24)))</f>
        <v>0</v>
      </c>
      <c r="BK98" s="31" t="n">
        <f aca="false">IF(OR($B98="",AD98=""),0,IF(AND($E98="Trưởng tổ",AD98="x"),SUMIFS(KT_TRUONG,KT_LOAI,"Tổ",KT_TO,$D98,KT_NGAY,25),SUMIFS(KT_PHAN,KT_LOAI,"Tổ",KT_TO,IF(AD98="x",$D98,AD98),KT_NGAY,25)))</f>
        <v>0</v>
      </c>
      <c r="BL98" s="31" t="n">
        <f aca="false">IF(OR($B98="",AE98=""),0,IF(AND($E98="Trưởng tổ",AE98="x"),SUMIFS(KT_TRUONG,KT_LOAI,"Tổ",KT_TO,$D98,KT_NGAY,26),SUMIFS(KT_PHAN,KT_LOAI,"Tổ",KT_TO,IF(AE98="x",$D98,AE98),KT_NGAY,26)))</f>
        <v>0</v>
      </c>
      <c r="BM98" s="31" t="n">
        <f aca="false">IF(OR($B98="",AF98=""),0,IF(AND($E98="Trưởng tổ",AF98="x"),SUMIFS(KT_TRUONG,KT_LOAI,"Tổ",KT_TO,$D98,KT_NGAY,27),SUMIFS(KT_PHAN,KT_LOAI,"Tổ",KT_TO,IF(AF98="x",$D98,AF98),KT_NGAY,27)))</f>
        <v>0</v>
      </c>
      <c r="BN98" s="31" t="n">
        <f aca="false">IF(OR($B98="",AG98=""),0,IF(AND($E98="Trưởng tổ",AG98="x"),SUMIFS(KT_TRUONG,KT_LOAI,"Tổ",KT_TO,$D98,KT_NGAY,28),SUMIFS(KT_PHAN,KT_LOAI,"Tổ",KT_TO,IF(AG98="x",$D98,AG98),KT_NGAY,28)))</f>
        <v>0</v>
      </c>
      <c r="BO98" s="31" t="n">
        <f aca="false">IF(OR($B98="",AH98=""),0,IF(AND($E98="Trưởng tổ",AH98="x"),SUMIFS(KT_TRUONG,KT_LOAI,"Tổ",KT_TO,$D98,KT_NGAY,29),SUMIFS(KT_PHAN,KT_LOAI,"Tổ",KT_TO,IF(AH98="x",$D98,AH98),KT_NGAY,29)))</f>
        <v>0</v>
      </c>
      <c r="BP98" s="31" t="n">
        <f aca="false">IF(OR($B98="",AI98=""),0,IF(AND($E98="Trưởng tổ",AI98="x"),SUMIFS(KT_TRUONG,KT_LOAI,"Tổ",KT_TO,$D98,KT_NGAY,30),SUMIFS(KT_PHAN,KT_LOAI,"Tổ",KT_TO,IF(AI98="x",$D98,AI98),KT_NGAY,30)))</f>
        <v>0</v>
      </c>
      <c r="BQ98" s="31" t="n">
        <f aca="false">IF(OR($B98="",AJ98=""),0,IF(AND($E98="Trưởng tổ",AJ98="x"),SUMIFS(KT_TRUONG,KT_LOAI,"Tổ",KT_TO,$D98,KT_NGAY,31),SUMIFS(KT_PHAN,KT_LOAI,"Tổ",KT_TO,IF(AJ98="x",$D98,AJ98),KT_NGAY,31)))</f>
        <v>0</v>
      </c>
    </row>
    <row r="99" customFormat="false" ht="15" hidden="false" customHeight="false" outlineLevel="0" collapsed="false">
      <c r="A99" s="17" t="str">
        <f aca="false">IF(B99="","",ROW()-5)</f>
        <v/>
      </c>
      <c r="B99" s="29" t="str">
        <f aca="false">IF(OR(BCC!B99="",BCC!D99&lt;&gt;"Thời vụ HAQT"),"",BCC!B99)</f>
        <v/>
      </c>
      <c r="C99" s="17" t="str">
        <f aca="false">IF(B99="","",BCC!C99)</f>
        <v/>
      </c>
      <c r="D99" s="17" t="str">
        <f aca="false">IF(B99="","",IFERROR(INDEX(NV_TO,MATCH(B99,NV_MA,0)),""))</f>
        <v/>
      </c>
      <c r="E99" s="17" t="str">
        <f aca="false">IF(B99="","",IFERROR(INDEX(NV_VT,MATCH(B99,NV_MA,0)),""))</f>
        <v/>
      </c>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17" t="str">
        <f aca="false">IF(B99="","",COUNTA(F99:AJ99))</f>
        <v/>
      </c>
      <c r="AL99" s="30" t="str">
        <f aca="false">IF(B99="","",SUM(AM99:BQ99))</f>
        <v/>
      </c>
      <c r="AM99" s="31" t="n">
        <f aca="false">IF(OR($B99="",F99=""),0,IF(AND($E99="Trưởng tổ",F99="x"),SUMIFS(KT_TRUONG,KT_LOAI,"Tổ",KT_TO,$D99,KT_NGAY,1),SUMIFS(KT_PHAN,KT_LOAI,"Tổ",KT_TO,IF(F99="x",$D99,F99),KT_NGAY,1)))</f>
        <v>0</v>
      </c>
      <c r="AN99" s="31" t="n">
        <f aca="false">IF(OR($B99="",G99=""),0,IF(AND($E99="Trưởng tổ",G99="x"),SUMIFS(KT_TRUONG,KT_LOAI,"Tổ",KT_TO,$D99,KT_NGAY,2),SUMIFS(KT_PHAN,KT_LOAI,"Tổ",KT_TO,IF(G99="x",$D99,G99),KT_NGAY,2)))</f>
        <v>0</v>
      </c>
      <c r="AO99" s="31" t="n">
        <f aca="false">IF(OR($B99="",H99=""),0,IF(AND($E99="Trưởng tổ",H99="x"),SUMIFS(KT_TRUONG,KT_LOAI,"Tổ",KT_TO,$D99,KT_NGAY,3),SUMIFS(KT_PHAN,KT_LOAI,"Tổ",KT_TO,IF(H99="x",$D99,H99),KT_NGAY,3)))</f>
        <v>0</v>
      </c>
      <c r="AP99" s="31" t="n">
        <f aca="false">IF(OR($B99="",I99=""),0,IF(AND($E99="Trưởng tổ",I99="x"),SUMIFS(KT_TRUONG,KT_LOAI,"Tổ",KT_TO,$D99,KT_NGAY,4),SUMIFS(KT_PHAN,KT_LOAI,"Tổ",KT_TO,IF(I99="x",$D99,I99),KT_NGAY,4)))</f>
        <v>0</v>
      </c>
      <c r="AQ99" s="31" t="n">
        <f aca="false">IF(OR($B99="",J99=""),0,IF(AND($E99="Trưởng tổ",J99="x"),SUMIFS(KT_TRUONG,KT_LOAI,"Tổ",KT_TO,$D99,KT_NGAY,5),SUMIFS(KT_PHAN,KT_LOAI,"Tổ",KT_TO,IF(J99="x",$D99,J99),KT_NGAY,5)))</f>
        <v>0</v>
      </c>
      <c r="AR99" s="31" t="n">
        <f aca="false">IF(OR($B99="",K99=""),0,IF(AND($E99="Trưởng tổ",K99="x"),SUMIFS(KT_TRUONG,KT_LOAI,"Tổ",KT_TO,$D99,KT_NGAY,6),SUMIFS(KT_PHAN,KT_LOAI,"Tổ",KT_TO,IF(K99="x",$D99,K99),KT_NGAY,6)))</f>
        <v>0</v>
      </c>
      <c r="AS99" s="31" t="n">
        <f aca="false">IF(OR($B99="",L99=""),0,IF(AND($E99="Trưởng tổ",L99="x"),SUMIFS(KT_TRUONG,KT_LOAI,"Tổ",KT_TO,$D99,KT_NGAY,7),SUMIFS(KT_PHAN,KT_LOAI,"Tổ",KT_TO,IF(L99="x",$D99,L99),KT_NGAY,7)))</f>
        <v>0</v>
      </c>
      <c r="AT99" s="31" t="n">
        <f aca="false">IF(OR($B99="",M99=""),0,IF(AND($E99="Trưởng tổ",M99="x"),SUMIFS(KT_TRUONG,KT_LOAI,"Tổ",KT_TO,$D99,KT_NGAY,8),SUMIFS(KT_PHAN,KT_LOAI,"Tổ",KT_TO,IF(M99="x",$D99,M99),KT_NGAY,8)))</f>
        <v>0</v>
      </c>
      <c r="AU99" s="31" t="n">
        <f aca="false">IF(OR($B99="",N99=""),0,IF(AND($E99="Trưởng tổ",N99="x"),SUMIFS(KT_TRUONG,KT_LOAI,"Tổ",KT_TO,$D99,KT_NGAY,9),SUMIFS(KT_PHAN,KT_LOAI,"Tổ",KT_TO,IF(N99="x",$D99,N99),KT_NGAY,9)))</f>
        <v>0</v>
      </c>
      <c r="AV99" s="31" t="n">
        <f aca="false">IF(OR($B99="",O99=""),0,IF(AND($E99="Trưởng tổ",O99="x"),SUMIFS(KT_TRUONG,KT_LOAI,"Tổ",KT_TO,$D99,KT_NGAY,10),SUMIFS(KT_PHAN,KT_LOAI,"Tổ",KT_TO,IF(O99="x",$D99,O99),KT_NGAY,10)))</f>
        <v>0</v>
      </c>
      <c r="AW99" s="31" t="n">
        <f aca="false">IF(OR($B99="",P99=""),0,IF(AND($E99="Trưởng tổ",P99="x"),SUMIFS(KT_TRUONG,KT_LOAI,"Tổ",KT_TO,$D99,KT_NGAY,11),SUMIFS(KT_PHAN,KT_LOAI,"Tổ",KT_TO,IF(P99="x",$D99,P99),KT_NGAY,11)))</f>
        <v>0</v>
      </c>
      <c r="AX99" s="31" t="n">
        <f aca="false">IF(OR($B99="",Q99=""),0,IF(AND($E99="Trưởng tổ",Q99="x"),SUMIFS(KT_TRUONG,KT_LOAI,"Tổ",KT_TO,$D99,KT_NGAY,12),SUMIFS(KT_PHAN,KT_LOAI,"Tổ",KT_TO,IF(Q99="x",$D99,Q99),KT_NGAY,12)))</f>
        <v>0</v>
      </c>
      <c r="AY99" s="31" t="n">
        <f aca="false">IF(OR($B99="",R99=""),0,IF(AND($E99="Trưởng tổ",R99="x"),SUMIFS(KT_TRUONG,KT_LOAI,"Tổ",KT_TO,$D99,KT_NGAY,13),SUMIFS(KT_PHAN,KT_LOAI,"Tổ",KT_TO,IF(R99="x",$D99,R99),KT_NGAY,13)))</f>
        <v>0</v>
      </c>
      <c r="AZ99" s="31" t="n">
        <f aca="false">IF(OR($B99="",S99=""),0,IF(AND($E99="Trưởng tổ",S99="x"),SUMIFS(KT_TRUONG,KT_LOAI,"Tổ",KT_TO,$D99,KT_NGAY,14),SUMIFS(KT_PHAN,KT_LOAI,"Tổ",KT_TO,IF(S99="x",$D99,S99),KT_NGAY,14)))</f>
        <v>0</v>
      </c>
      <c r="BA99" s="31" t="n">
        <f aca="false">IF(OR($B99="",T99=""),0,IF(AND($E99="Trưởng tổ",T99="x"),SUMIFS(KT_TRUONG,KT_LOAI,"Tổ",KT_TO,$D99,KT_NGAY,15),SUMIFS(KT_PHAN,KT_LOAI,"Tổ",KT_TO,IF(T99="x",$D99,T99),KT_NGAY,15)))</f>
        <v>0</v>
      </c>
      <c r="BB99" s="31" t="n">
        <f aca="false">IF(OR($B99="",U99=""),0,IF(AND($E99="Trưởng tổ",U99="x"),SUMIFS(KT_TRUONG,KT_LOAI,"Tổ",KT_TO,$D99,KT_NGAY,16),SUMIFS(KT_PHAN,KT_LOAI,"Tổ",KT_TO,IF(U99="x",$D99,U99),KT_NGAY,16)))</f>
        <v>0</v>
      </c>
      <c r="BC99" s="31" t="n">
        <f aca="false">IF(OR($B99="",V99=""),0,IF(AND($E99="Trưởng tổ",V99="x"),SUMIFS(KT_TRUONG,KT_LOAI,"Tổ",KT_TO,$D99,KT_NGAY,17),SUMIFS(KT_PHAN,KT_LOAI,"Tổ",KT_TO,IF(V99="x",$D99,V99),KT_NGAY,17)))</f>
        <v>0</v>
      </c>
      <c r="BD99" s="31" t="n">
        <f aca="false">IF(OR($B99="",W99=""),0,IF(AND($E99="Trưởng tổ",W99="x"),SUMIFS(KT_TRUONG,KT_LOAI,"Tổ",KT_TO,$D99,KT_NGAY,18),SUMIFS(KT_PHAN,KT_LOAI,"Tổ",KT_TO,IF(W99="x",$D99,W99),KT_NGAY,18)))</f>
        <v>0</v>
      </c>
      <c r="BE99" s="31" t="n">
        <f aca="false">IF(OR($B99="",X99=""),0,IF(AND($E99="Trưởng tổ",X99="x"),SUMIFS(KT_TRUONG,KT_LOAI,"Tổ",KT_TO,$D99,KT_NGAY,19),SUMIFS(KT_PHAN,KT_LOAI,"Tổ",KT_TO,IF(X99="x",$D99,X99),KT_NGAY,19)))</f>
        <v>0</v>
      </c>
      <c r="BF99" s="31" t="n">
        <f aca="false">IF(OR($B99="",Y99=""),0,IF(AND($E99="Trưởng tổ",Y99="x"),SUMIFS(KT_TRUONG,KT_LOAI,"Tổ",KT_TO,$D99,KT_NGAY,20),SUMIFS(KT_PHAN,KT_LOAI,"Tổ",KT_TO,IF(Y99="x",$D99,Y99),KT_NGAY,20)))</f>
        <v>0</v>
      </c>
      <c r="BG99" s="31" t="n">
        <f aca="false">IF(OR($B99="",Z99=""),0,IF(AND($E99="Trưởng tổ",Z99="x"),SUMIFS(KT_TRUONG,KT_LOAI,"Tổ",KT_TO,$D99,KT_NGAY,21),SUMIFS(KT_PHAN,KT_LOAI,"Tổ",KT_TO,IF(Z99="x",$D99,Z99),KT_NGAY,21)))</f>
        <v>0</v>
      </c>
      <c r="BH99" s="31" t="n">
        <f aca="false">IF(OR($B99="",AA99=""),0,IF(AND($E99="Trưởng tổ",AA99="x"),SUMIFS(KT_TRUONG,KT_LOAI,"Tổ",KT_TO,$D99,KT_NGAY,22),SUMIFS(KT_PHAN,KT_LOAI,"Tổ",KT_TO,IF(AA99="x",$D99,AA99),KT_NGAY,22)))</f>
        <v>0</v>
      </c>
      <c r="BI99" s="31" t="n">
        <f aca="false">IF(OR($B99="",AB99=""),0,IF(AND($E99="Trưởng tổ",AB99="x"),SUMIFS(KT_TRUONG,KT_LOAI,"Tổ",KT_TO,$D99,KT_NGAY,23),SUMIFS(KT_PHAN,KT_LOAI,"Tổ",KT_TO,IF(AB99="x",$D99,AB99),KT_NGAY,23)))</f>
        <v>0</v>
      </c>
      <c r="BJ99" s="31" t="n">
        <f aca="false">IF(OR($B99="",AC99=""),0,IF(AND($E99="Trưởng tổ",AC99="x"),SUMIFS(KT_TRUONG,KT_LOAI,"Tổ",KT_TO,$D99,KT_NGAY,24),SUMIFS(KT_PHAN,KT_LOAI,"Tổ",KT_TO,IF(AC99="x",$D99,AC99),KT_NGAY,24)))</f>
        <v>0</v>
      </c>
      <c r="BK99" s="31" t="n">
        <f aca="false">IF(OR($B99="",AD99=""),0,IF(AND($E99="Trưởng tổ",AD99="x"),SUMIFS(KT_TRUONG,KT_LOAI,"Tổ",KT_TO,$D99,KT_NGAY,25),SUMIFS(KT_PHAN,KT_LOAI,"Tổ",KT_TO,IF(AD99="x",$D99,AD99),KT_NGAY,25)))</f>
        <v>0</v>
      </c>
      <c r="BL99" s="31" t="n">
        <f aca="false">IF(OR($B99="",AE99=""),0,IF(AND($E99="Trưởng tổ",AE99="x"),SUMIFS(KT_TRUONG,KT_LOAI,"Tổ",KT_TO,$D99,KT_NGAY,26),SUMIFS(KT_PHAN,KT_LOAI,"Tổ",KT_TO,IF(AE99="x",$D99,AE99),KT_NGAY,26)))</f>
        <v>0</v>
      </c>
      <c r="BM99" s="31" t="n">
        <f aca="false">IF(OR($B99="",AF99=""),0,IF(AND($E99="Trưởng tổ",AF99="x"),SUMIFS(KT_TRUONG,KT_LOAI,"Tổ",KT_TO,$D99,KT_NGAY,27),SUMIFS(KT_PHAN,KT_LOAI,"Tổ",KT_TO,IF(AF99="x",$D99,AF99),KT_NGAY,27)))</f>
        <v>0</v>
      </c>
      <c r="BN99" s="31" t="n">
        <f aca="false">IF(OR($B99="",AG99=""),0,IF(AND($E99="Trưởng tổ",AG99="x"),SUMIFS(KT_TRUONG,KT_LOAI,"Tổ",KT_TO,$D99,KT_NGAY,28),SUMIFS(KT_PHAN,KT_LOAI,"Tổ",KT_TO,IF(AG99="x",$D99,AG99),KT_NGAY,28)))</f>
        <v>0</v>
      </c>
      <c r="BO99" s="31" t="n">
        <f aca="false">IF(OR($B99="",AH99=""),0,IF(AND($E99="Trưởng tổ",AH99="x"),SUMIFS(KT_TRUONG,KT_LOAI,"Tổ",KT_TO,$D99,KT_NGAY,29),SUMIFS(KT_PHAN,KT_LOAI,"Tổ",KT_TO,IF(AH99="x",$D99,AH99),KT_NGAY,29)))</f>
        <v>0</v>
      </c>
      <c r="BP99" s="31" t="n">
        <f aca="false">IF(OR($B99="",AI99=""),0,IF(AND($E99="Trưởng tổ",AI99="x"),SUMIFS(KT_TRUONG,KT_LOAI,"Tổ",KT_TO,$D99,KT_NGAY,30),SUMIFS(KT_PHAN,KT_LOAI,"Tổ",KT_TO,IF(AI99="x",$D99,AI99),KT_NGAY,30)))</f>
        <v>0</v>
      </c>
      <c r="BQ99" s="31" t="n">
        <f aca="false">IF(OR($B99="",AJ99=""),0,IF(AND($E99="Trưởng tổ",AJ99="x"),SUMIFS(KT_TRUONG,KT_LOAI,"Tổ",KT_TO,$D99,KT_NGAY,31),SUMIFS(KT_PHAN,KT_LOAI,"Tổ",KT_TO,IF(AJ99="x",$D99,AJ99),KT_NGAY,31)))</f>
        <v>0</v>
      </c>
    </row>
    <row r="100" customFormat="false" ht="15" hidden="false" customHeight="false" outlineLevel="0" collapsed="false">
      <c r="A100" s="17" t="str">
        <f aca="false">IF(B100="","",ROW()-5)</f>
        <v/>
      </c>
      <c r="B100" s="29" t="str">
        <f aca="false">IF(OR(BCC!B100="",BCC!D100&lt;&gt;"Thời vụ HAQT"),"",BCC!B100)</f>
        <v/>
      </c>
      <c r="C100" s="17" t="str">
        <f aca="false">IF(B100="","",BCC!C100)</f>
        <v/>
      </c>
      <c r="D100" s="17" t="str">
        <f aca="false">IF(B100="","",IFERROR(INDEX(NV_TO,MATCH(B100,NV_MA,0)),""))</f>
        <v/>
      </c>
      <c r="E100" s="17" t="str">
        <f aca="false">IF(B100="","",IFERROR(INDEX(NV_VT,MATCH(B100,NV_MA,0)),""))</f>
        <v/>
      </c>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17" t="str">
        <f aca="false">IF(B100="","",COUNTA(F100:AJ100))</f>
        <v/>
      </c>
      <c r="AL100" s="30" t="str">
        <f aca="false">IF(B100="","",SUM(AM100:BQ100))</f>
        <v/>
      </c>
      <c r="AM100" s="31" t="n">
        <f aca="false">IF(OR($B100="",F100=""),0,IF(AND($E100="Trưởng tổ",F100="x"),SUMIFS(KT_TRUONG,KT_LOAI,"Tổ",KT_TO,$D100,KT_NGAY,1),SUMIFS(KT_PHAN,KT_LOAI,"Tổ",KT_TO,IF(F100="x",$D100,F100),KT_NGAY,1)))</f>
        <v>0</v>
      </c>
      <c r="AN100" s="31" t="n">
        <f aca="false">IF(OR($B100="",G100=""),0,IF(AND($E100="Trưởng tổ",G100="x"),SUMIFS(KT_TRUONG,KT_LOAI,"Tổ",KT_TO,$D100,KT_NGAY,2),SUMIFS(KT_PHAN,KT_LOAI,"Tổ",KT_TO,IF(G100="x",$D100,G100),KT_NGAY,2)))</f>
        <v>0</v>
      </c>
      <c r="AO100" s="31" t="n">
        <f aca="false">IF(OR($B100="",H100=""),0,IF(AND($E100="Trưởng tổ",H100="x"),SUMIFS(KT_TRUONG,KT_LOAI,"Tổ",KT_TO,$D100,KT_NGAY,3),SUMIFS(KT_PHAN,KT_LOAI,"Tổ",KT_TO,IF(H100="x",$D100,H100),KT_NGAY,3)))</f>
        <v>0</v>
      </c>
      <c r="AP100" s="31" t="n">
        <f aca="false">IF(OR($B100="",I100=""),0,IF(AND($E100="Trưởng tổ",I100="x"),SUMIFS(KT_TRUONG,KT_LOAI,"Tổ",KT_TO,$D100,KT_NGAY,4),SUMIFS(KT_PHAN,KT_LOAI,"Tổ",KT_TO,IF(I100="x",$D100,I100),KT_NGAY,4)))</f>
        <v>0</v>
      </c>
      <c r="AQ100" s="31" t="n">
        <f aca="false">IF(OR($B100="",J100=""),0,IF(AND($E100="Trưởng tổ",J100="x"),SUMIFS(KT_TRUONG,KT_LOAI,"Tổ",KT_TO,$D100,KT_NGAY,5),SUMIFS(KT_PHAN,KT_LOAI,"Tổ",KT_TO,IF(J100="x",$D100,J100),KT_NGAY,5)))</f>
        <v>0</v>
      </c>
      <c r="AR100" s="31" t="n">
        <f aca="false">IF(OR($B100="",K100=""),0,IF(AND($E100="Trưởng tổ",K100="x"),SUMIFS(KT_TRUONG,KT_LOAI,"Tổ",KT_TO,$D100,KT_NGAY,6),SUMIFS(KT_PHAN,KT_LOAI,"Tổ",KT_TO,IF(K100="x",$D100,K100),KT_NGAY,6)))</f>
        <v>0</v>
      </c>
      <c r="AS100" s="31" t="n">
        <f aca="false">IF(OR($B100="",L100=""),0,IF(AND($E100="Trưởng tổ",L100="x"),SUMIFS(KT_TRUONG,KT_LOAI,"Tổ",KT_TO,$D100,KT_NGAY,7),SUMIFS(KT_PHAN,KT_LOAI,"Tổ",KT_TO,IF(L100="x",$D100,L100),KT_NGAY,7)))</f>
        <v>0</v>
      </c>
      <c r="AT100" s="31" t="n">
        <f aca="false">IF(OR($B100="",M100=""),0,IF(AND($E100="Trưởng tổ",M100="x"),SUMIFS(KT_TRUONG,KT_LOAI,"Tổ",KT_TO,$D100,KT_NGAY,8),SUMIFS(KT_PHAN,KT_LOAI,"Tổ",KT_TO,IF(M100="x",$D100,M100),KT_NGAY,8)))</f>
        <v>0</v>
      </c>
      <c r="AU100" s="31" t="n">
        <f aca="false">IF(OR($B100="",N100=""),0,IF(AND($E100="Trưởng tổ",N100="x"),SUMIFS(KT_TRUONG,KT_LOAI,"Tổ",KT_TO,$D100,KT_NGAY,9),SUMIFS(KT_PHAN,KT_LOAI,"Tổ",KT_TO,IF(N100="x",$D100,N100),KT_NGAY,9)))</f>
        <v>0</v>
      </c>
      <c r="AV100" s="31" t="n">
        <f aca="false">IF(OR($B100="",O100=""),0,IF(AND($E100="Trưởng tổ",O100="x"),SUMIFS(KT_TRUONG,KT_LOAI,"Tổ",KT_TO,$D100,KT_NGAY,10),SUMIFS(KT_PHAN,KT_LOAI,"Tổ",KT_TO,IF(O100="x",$D100,O100),KT_NGAY,10)))</f>
        <v>0</v>
      </c>
      <c r="AW100" s="31" t="n">
        <f aca="false">IF(OR($B100="",P100=""),0,IF(AND($E100="Trưởng tổ",P100="x"),SUMIFS(KT_TRUONG,KT_LOAI,"Tổ",KT_TO,$D100,KT_NGAY,11),SUMIFS(KT_PHAN,KT_LOAI,"Tổ",KT_TO,IF(P100="x",$D100,P100),KT_NGAY,11)))</f>
        <v>0</v>
      </c>
      <c r="AX100" s="31" t="n">
        <f aca="false">IF(OR($B100="",Q100=""),0,IF(AND($E100="Trưởng tổ",Q100="x"),SUMIFS(KT_TRUONG,KT_LOAI,"Tổ",KT_TO,$D100,KT_NGAY,12),SUMIFS(KT_PHAN,KT_LOAI,"Tổ",KT_TO,IF(Q100="x",$D100,Q100),KT_NGAY,12)))</f>
        <v>0</v>
      </c>
      <c r="AY100" s="31" t="n">
        <f aca="false">IF(OR($B100="",R100=""),0,IF(AND($E100="Trưởng tổ",R100="x"),SUMIFS(KT_TRUONG,KT_LOAI,"Tổ",KT_TO,$D100,KT_NGAY,13),SUMIFS(KT_PHAN,KT_LOAI,"Tổ",KT_TO,IF(R100="x",$D100,R100),KT_NGAY,13)))</f>
        <v>0</v>
      </c>
      <c r="AZ100" s="31" t="n">
        <f aca="false">IF(OR($B100="",S100=""),0,IF(AND($E100="Trưởng tổ",S100="x"),SUMIFS(KT_TRUONG,KT_LOAI,"Tổ",KT_TO,$D100,KT_NGAY,14),SUMIFS(KT_PHAN,KT_LOAI,"Tổ",KT_TO,IF(S100="x",$D100,S100),KT_NGAY,14)))</f>
        <v>0</v>
      </c>
      <c r="BA100" s="31" t="n">
        <f aca="false">IF(OR($B100="",T100=""),0,IF(AND($E100="Trưởng tổ",T100="x"),SUMIFS(KT_TRUONG,KT_LOAI,"Tổ",KT_TO,$D100,KT_NGAY,15),SUMIFS(KT_PHAN,KT_LOAI,"Tổ",KT_TO,IF(T100="x",$D100,T100),KT_NGAY,15)))</f>
        <v>0</v>
      </c>
      <c r="BB100" s="31" t="n">
        <f aca="false">IF(OR($B100="",U100=""),0,IF(AND($E100="Trưởng tổ",U100="x"),SUMIFS(KT_TRUONG,KT_LOAI,"Tổ",KT_TO,$D100,KT_NGAY,16),SUMIFS(KT_PHAN,KT_LOAI,"Tổ",KT_TO,IF(U100="x",$D100,U100),KT_NGAY,16)))</f>
        <v>0</v>
      </c>
      <c r="BC100" s="31" t="n">
        <f aca="false">IF(OR($B100="",V100=""),0,IF(AND($E100="Trưởng tổ",V100="x"),SUMIFS(KT_TRUONG,KT_LOAI,"Tổ",KT_TO,$D100,KT_NGAY,17),SUMIFS(KT_PHAN,KT_LOAI,"Tổ",KT_TO,IF(V100="x",$D100,V100),KT_NGAY,17)))</f>
        <v>0</v>
      </c>
      <c r="BD100" s="31" t="n">
        <f aca="false">IF(OR($B100="",W100=""),0,IF(AND($E100="Trưởng tổ",W100="x"),SUMIFS(KT_TRUONG,KT_LOAI,"Tổ",KT_TO,$D100,KT_NGAY,18),SUMIFS(KT_PHAN,KT_LOAI,"Tổ",KT_TO,IF(W100="x",$D100,W100),KT_NGAY,18)))</f>
        <v>0</v>
      </c>
      <c r="BE100" s="31" t="n">
        <f aca="false">IF(OR($B100="",X100=""),0,IF(AND($E100="Trưởng tổ",X100="x"),SUMIFS(KT_TRUONG,KT_LOAI,"Tổ",KT_TO,$D100,KT_NGAY,19),SUMIFS(KT_PHAN,KT_LOAI,"Tổ",KT_TO,IF(X100="x",$D100,X100),KT_NGAY,19)))</f>
        <v>0</v>
      </c>
      <c r="BF100" s="31" t="n">
        <f aca="false">IF(OR($B100="",Y100=""),0,IF(AND($E100="Trưởng tổ",Y100="x"),SUMIFS(KT_TRUONG,KT_LOAI,"Tổ",KT_TO,$D100,KT_NGAY,20),SUMIFS(KT_PHAN,KT_LOAI,"Tổ",KT_TO,IF(Y100="x",$D100,Y100),KT_NGAY,20)))</f>
        <v>0</v>
      </c>
      <c r="BG100" s="31" t="n">
        <f aca="false">IF(OR($B100="",Z100=""),0,IF(AND($E100="Trưởng tổ",Z100="x"),SUMIFS(KT_TRUONG,KT_LOAI,"Tổ",KT_TO,$D100,KT_NGAY,21),SUMIFS(KT_PHAN,KT_LOAI,"Tổ",KT_TO,IF(Z100="x",$D100,Z100),KT_NGAY,21)))</f>
        <v>0</v>
      </c>
      <c r="BH100" s="31" t="n">
        <f aca="false">IF(OR($B100="",AA100=""),0,IF(AND($E100="Trưởng tổ",AA100="x"),SUMIFS(KT_TRUONG,KT_LOAI,"Tổ",KT_TO,$D100,KT_NGAY,22),SUMIFS(KT_PHAN,KT_LOAI,"Tổ",KT_TO,IF(AA100="x",$D100,AA100),KT_NGAY,22)))</f>
        <v>0</v>
      </c>
      <c r="BI100" s="31" t="n">
        <f aca="false">IF(OR($B100="",AB100=""),0,IF(AND($E100="Trưởng tổ",AB100="x"),SUMIFS(KT_TRUONG,KT_LOAI,"Tổ",KT_TO,$D100,KT_NGAY,23),SUMIFS(KT_PHAN,KT_LOAI,"Tổ",KT_TO,IF(AB100="x",$D100,AB100),KT_NGAY,23)))</f>
        <v>0</v>
      </c>
      <c r="BJ100" s="31" t="n">
        <f aca="false">IF(OR($B100="",AC100=""),0,IF(AND($E100="Trưởng tổ",AC100="x"),SUMIFS(KT_TRUONG,KT_LOAI,"Tổ",KT_TO,$D100,KT_NGAY,24),SUMIFS(KT_PHAN,KT_LOAI,"Tổ",KT_TO,IF(AC100="x",$D100,AC100),KT_NGAY,24)))</f>
        <v>0</v>
      </c>
      <c r="BK100" s="31" t="n">
        <f aca="false">IF(OR($B100="",AD100=""),0,IF(AND($E100="Trưởng tổ",AD100="x"),SUMIFS(KT_TRUONG,KT_LOAI,"Tổ",KT_TO,$D100,KT_NGAY,25),SUMIFS(KT_PHAN,KT_LOAI,"Tổ",KT_TO,IF(AD100="x",$D100,AD100),KT_NGAY,25)))</f>
        <v>0</v>
      </c>
      <c r="BL100" s="31" t="n">
        <f aca="false">IF(OR($B100="",AE100=""),0,IF(AND($E100="Trưởng tổ",AE100="x"),SUMIFS(KT_TRUONG,KT_LOAI,"Tổ",KT_TO,$D100,KT_NGAY,26),SUMIFS(KT_PHAN,KT_LOAI,"Tổ",KT_TO,IF(AE100="x",$D100,AE100),KT_NGAY,26)))</f>
        <v>0</v>
      </c>
      <c r="BM100" s="31" t="n">
        <f aca="false">IF(OR($B100="",AF100=""),0,IF(AND($E100="Trưởng tổ",AF100="x"),SUMIFS(KT_TRUONG,KT_LOAI,"Tổ",KT_TO,$D100,KT_NGAY,27),SUMIFS(KT_PHAN,KT_LOAI,"Tổ",KT_TO,IF(AF100="x",$D100,AF100),KT_NGAY,27)))</f>
        <v>0</v>
      </c>
      <c r="BN100" s="31" t="n">
        <f aca="false">IF(OR($B100="",AG100=""),0,IF(AND($E100="Trưởng tổ",AG100="x"),SUMIFS(KT_TRUONG,KT_LOAI,"Tổ",KT_TO,$D100,KT_NGAY,28),SUMIFS(KT_PHAN,KT_LOAI,"Tổ",KT_TO,IF(AG100="x",$D100,AG100),KT_NGAY,28)))</f>
        <v>0</v>
      </c>
      <c r="BO100" s="31" t="n">
        <f aca="false">IF(OR($B100="",AH100=""),0,IF(AND($E100="Trưởng tổ",AH100="x"),SUMIFS(KT_TRUONG,KT_LOAI,"Tổ",KT_TO,$D100,KT_NGAY,29),SUMIFS(KT_PHAN,KT_LOAI,"Tổ",KT_TO,IF(AH100="x",$D100,AH100),KT_NGAY,29)))</f>
        <v>0</v>
      </c>
      <c r="BP100" s="31" t="n">
        <f aca="false">IF(OR($B100="",AI100=""),0,IF(AND($E100="Trưởng tổ",AI100="x"),SUMIFS(KT_TRUONG,KT_LOAI,"Tổ",KT_TO,$D100,KT_NGAY,30),SUMIFS(KT_PHAN,KT_LOAI,"Tổ",KT_TO,IF(AI100="x",$D100,AI100),KT_NGAY,30)))</f>
        <v>0</v>
      </c>
      <c r="BQ100" s="31" t="n">
        <f aca="false">IF(OR($B100="",AJ100=""),0,IF(AND($E100="Trưởng tổ",AJ100="x"),SUMIFS(KT_TRUONG,KT_LOAI,"Tổ",KT_TO,$D100,KT_NGAY,31),SUMIFS(KT_PHAN,KT_LOAI,"Tổ",KT_TO,IF(AJ100="x",$D100,AJ100),KT_NGAY,31)))</f>
        <v>0</v>
      </c>
    </row>
  </sheetData>
  <sheetProtection sheet="true" formatColumns="false" formatRows="false"/>
  <conditionalFormatting sqref="F6:AJ100">
    <cfRule type="expression" priority="2" aboveAverage="0" equalAverage="0" bottom="0" percent="0" rank="0" text="" dxfId="0">
      <formula>F$3=""</formula>
    </cfRule>
  </conditionalFormatting>
  <dataValidations count="1">
    <dataValidation allowBlank="true" errorStyle="stop" operator="between" showDropDown="false" showErrorMessage="false" showInputMessage="false" sqref="F6:AJ100" type="list">
      <formula1>"x,Tổ 1,Tổ 2,Tổ 3,Tổ 4,Tổ 5,Tổ 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2" min="2" style="0" width="4.5"/>
  </cols>
  <sheetData>
    <row r="1" customFormat="false" ht="17.35" hidden="false" customHeight="false" outlineLevel="0" collapsed="false">
      <c r="A1" s="1" t="s">
        <v>310</v>
      </c>
    </row>
    <row r="2" customFormat="false" ht="15" hidden="false" customHeight="false" outlineLevel="0" collapsed="false">
      <c r="A2" s="2" t="s">
        <v>311</v>
      </c>
    </row>
    <row r="4" customFormat="false" ht="36" hidden="false" customHeight="true" outlineLevel="0" collapsed="false">
      <c r="A4" s="14" t="s">
        <v>279</v>
      </c>
      <c r="B4" s="14" t="s">
        <v>235</v>
      </c>
      <c r="C4" s="14" t="s">
        <v>236</v>
      </c>
      <c r="D4" s="14" t="s">
        <v>237</v>
      </c>
      <c r="E4" s="14" t="s">
        <v>238</v>
      </c>
      <c r="F4" s="14" t="s">
        <v>239</v>
      </c>
      <c r="G4" s="14" t="s">
        <v>240</v>
      </c>
      <c r="H4" s="14" t="s">
        <v>241</v>
      </c>
      <c r="I4" s="14" t="s">
        <v>242</v>
      </c>
      <c r="J4" s="14" t="s">
        <v>243</v>
      </c>
      <c r="K4" s="14" t="s">
        <v>244</v>
      </c>
      <c r="L4" s="14" t="s">
        <v>245</v>
      </c>
      <c r="M4" s="14" t="s">
        <v>246</v>
      </c>
      <c r="N4" s="14" t="s">
        <v>247</v>
      </c>
      <c r="O4" s="14" t="s">
        <v>248</v>
      </c>
      <c r="P4" s="14" t="s">
        <v>249</v>
      </c>
      <c r="Q4" s="14" t="s">
        <v>250</v>
      </c>
      <c r="R4" s="14" t="s">
        <v>251</v>
      </c>
      <c r="S4" s="14" t="s">
        <v>252</v>
      </c>
      <c r="T4" s="14" t="s">
        <v>253</v>
      </c>
      <c r="U4" s="14" t="s">
        <v>254</v>
      </c>
      <c r="V4" s="14" t="s">
        <v>255</v>
      </c>
      <c r="W4" s="14" t="s">
        <v>256</v>
      </c>
      <c r="X4" s="14" t="s">
        <v>257</v>
      </c>
      <c r="Y4" s="14" t="s">
        <v>258</v>
      </c>
      <c r="Z4" s="14" t="s">
        <v>259</v>
      </c>
      <c r="AA4" s="14" t="s">
        <v>260</v>
      </c>
      <c r="AB4" s="14" t="s">
        <v>261</v>
      </c>
      <c r="AC4" s="14" t="s">
        <v>262</v>
      </c>
      <c r="AD4" s="14" t="s">
        <v>263</v>
      </c>
      <c r="AE4" s="14" t="s">
        <v>264</v>
      </c>
      <c r="AF4" s="14" t="s">
        <v>265</v>
      </c>
    </row>
    <row r="5" customFormat="false" ht="15" hidden="false" customHeight="false" outlineLevel="0" collapsed="false">
      <c r="A5" s="10" t="s">
        <v>147</v>
      </c>
      <c r="B5" s="17" t="n">
        <f aca="false">IF($A5="","",SUMPRODUCT((KTN_TO=$A5)*(KT_NGUOI!$F$6:$F$100="x"))+SUMPRODUCT((KT_NGUOI!$F$6:$F$100=$A5)*1))</f>
        <v>0</v>
      </c>
      <c r="C5" s="17" t="n">
        <f aca="false">IF($A5="","",SUMPRODUCT((KTN_TO=$A5)*(KT_NGUOI!$G$6:$G$100="x"))+SUMPRODUCT((KT_NGUOI!$G$6:$G$100=$A5)*1))</f>
        <v>0</v>
      </c>
      <c r="D5" s="17" t="n">
        <f aca="false">IF($A5="","",SUMPRODUCT((KTN_TO=$A5)*(KT_NGUOI!$H$6:$H$100="x"))+SUMPRODUCT((KT_NGUOI!$H$6:$H$100=$A5)*1))</f>
        <v>0</v>
      </c>
      <c r="E5" s="17" t="n">
        <f aca="false">IF($A5="","",SUMPRODUCT((KTN_TO=$A5)*(KT_NGUOI!$I$6:$I$100="x"))+SUMPRODUCT((KT_NGUOI!$I$6:$I$100=$A5)*1))</f>
        <v>0</v>
      </c>
      <c r="F5" s="17" t="n">
        <f aca="false">IF($A5="","",SUMPRODUCT((KTN_TO=$A5)*(KT_NGUOI!$J$6:$J$100="x"))+SUMPRODUCT((KT_NGUOI!$J$6:$J$100=$A5)*1))</f>
        <v>0</v>
      </c>
      <c r="G5" s="17" t="n">
        <f aca="false">IF($A5="","",SUMPRODUCT((KTN_TO=$A5)*(KT_NGUOI!$K$6:$K$100="x"))+SUMPRODUCT((KT_NGUOI!$K$6:$K$100=$A5)*1))</f>
        <v>0</v>
      </c>
      <c r="H5" s="17" t="n">
        <f aca="false">IF($A5="","",SUMPRODUCT((KTN_TO=$A5)*(KT_NGUOI!$L$6:$L$100="x"))+SUMPRODUCT((KT_NGUOI!$L$6:$L$100=$A5)*1))</f>
        <v>0</v>
      </c>
      <c r="I5" s="17" t="n">
        <f aca="false">IF($A5="","",SUMPRODUCT((KTN_TO=$A5)*(KT_NGUOI!$M$6:$M$100="x"))+SUMPRODUCT((KT_NGUOI!$M$6:$M$100=$A5)*1))</f>
        <v>0</v>
      </c>
      <c r="J5" s="17" t="n">
        <f aca="false">IF($A5="","",SUMPRODUCT((KTN_TO=$A5)*(KT_NGUOI!$N$6:$N$100="x"))+SUMPRODUCT((KT_NGUOI!$N$6:$N$100=$A5)*1))</f>
        <v>0</v>
      </c>
      <c r="K5" s="17" t="n">
        <f aca="false">IF($A5="","",SUMPRODUCT((KTN_TO=$A5)*(KT_NGUOI!$O$6:$O$100="x"))+SUMPRODUCT((KT_NGUOI!$O$6:$O$100=$A5)*1))</f>
        <v>0</v>
      </c>
      <c r="L5" s="17" t="n">
        <f aca="false">IF($A5="","",SUMPRODUCT((KTN_TO=$A5)*(KT_NGUOI!$P$6:$P$100="x"))+SUMPRODUCT((KT_NGUOI!$P$6:$P$100=$A5)*1))</f>
        <v>0</v>
      </c>
      <c r="M5" s="17" t="n">
        <f aca="false">IF($A5="","",SUMPRODUCT((KTN_TO=$A5)*(KT_NGUOI!$Q$6:$Q$100="x"))+SUMPRODUCT((KT_NGUOI!$Q$6:$Q$100=$A5)*1))</f>
        <v>0</v>
      </c>
      <c r="N5" s="17" t="n">
        <f aca="false">IF($A5="","",SUMPRODUCT((KTN_TO=$A5)*(KT_NGUOI!$R$6:$R$100="x"))+SUMPRODUCT((KT_NGUOI!$R$6:$R$100=$A5)*1))</f>
        <v>0</v>
      </c>
      <c r="O5" s="17" t="n">
        <f aca="false">IF($A5="","",SUMPRODUCT((KTN_TO=$A5)*(KT_NGUOI!$S$6:$S$100="x"))+SUMPRODUCT((KT_NGUOI!$S$6:$S$100=$A5)*1))</f>
        <v>0</v>
      </c>
      <c r="P5" s="17" t="n">
        <f aca="false">IF($A5="","",SUMPRODUCT((KTN_TO=$A5)*(KT_NGUOI!$T$6:$T$100="x"))+SUMPRODUCT((KT_NGUOI!$T$6:$T$100=$A5)*1))</f>
        <v>0</v>
      </c>
      <c r="Q5" s="17" t="n">
        <f aca="false">IF($A5="","",SUMPRODUCT((KTN_TO=$A5)*(KT_NGUOI!$U$6:$U$100="x"))+SUMPRODUCT((KT_NGUOI!$U$6:$U$100=$A5)*1))</f>
        <v>0</v>
      </c>
      <c r="R5" s="17" t="n">
        <f aca="false">IF($A5="","",SUMPRODUCT((KTN_TO=$A5)*(KT_NGUOI!$V$6:$V$100="x"))+SUMPRODUCT((KT_NGUOI!$V$6:$V$100=$A5)*1))</f>
        <v>0</v>
      </c>
      <c r="S5" s="17" t="n">
        <f aca="false">IF($A5="","",SUMPRODUCT((KTN_TO=$A5)*(KT_NGUOI!$W$6:$W$100="x"))+SUMPRODUCT((KT_NGUOI!$W$6:$W$100=$A5)*1))</f>
        <v>10</v>
      </c>
      <c r="T5" s="17" t="n">
        <f aca="false">IF($A5="","",SUMPRODUCT((KTN_TO=$A5)*(KT_NGUOI!$X$6:$X$100="x"))+SUMPRODUCT((KT_NGUOI!$X$6:$X$100=$A5)*1))</f>
        <v>0</v>
      </c>
      <c r="U5" s="17" t="n">
        <f aca="false">IF($A5="","",SUMPRODUCT((KTN_TO=$A5)*(KT_NGUOI!$Y$6:$Y$100="x"))+SUMPRODUCT((KT_NGUOI!$Y$6:$Y$100=$A5)*1))</f>
        <v>0</v>
      </c>
      <c r="V5" s="17" t="n">
        <f aca="false">IF($A5="","",SUMPRODUCT((KTN_TO=$A5)*(KT_NGUOI!$Z$6:$Z$100="x"))+SUMPRODUCT((KT_NGUOI!$Z$6:$Z$100=$A5)*1))</f>
        <v>0</v>
      </c>
      <c r="W5" s="17" t="n">
        <f aca="false">IF($A5="","",SUMPRODUCT((KTN_TO=$A5)*(KT_NGUOI!$AA$6:$AA$100="x"))+SUMPRODUCT((KT_NGUOI!$AA$6:$AA$100=$A5)*1))</f>
        <v>0</v>
      </c>
      <c r="X5" s="17" t="n">
        <f aca="false">IF($A5="","",SUMPRODUCT((KTN_TO=$A5)*(KT_NGUOI!$AB$6:$AB$100="x"))+SUMPRODUCT((KT_NGUOI!$AB$6:$AB$100=$A5)*1))</f>
        <v>7</v>
      </c>
      <c r="Y5" s="17" t="n">
        <f aca="false">IF($A5="","",SUMPRODUCT((KTN_TO=$A5)*(KT_NGUOI!$AC$6:$AC$100="x"))+SUMPRODUCT((KT_NGUOI!$AC$6:$AC$100=$A5)*1))</f>
        <v>0</v>
      </c>
      <c r="Z5" s="17" t="n">
        <f aca="false">IF($A5="","",SUMPRODUCT((KTN_TO=$A5)*(KT_NGUOI!$AD$6:$AD$100="x"))+SUMPRODUCT((KT_NGUOI!$AD$6:$AD$100=$A5)*1))</f>
        <v>0</v>
      </c>
      <c r="AA5" s="17" t="n">
        <f aca="false">IF($A5="","",SUMPRODUCT((KTN_TO=$A5)*(KT_NGUOI!$AE$6:$AE$100="x"))+SUMPRODUCT((KT_NGUOI!$AE$6:$AE$100=$A5)*1))</f>
        <v>6</v>
      </c>
      <c r="AB5" s="17" t="n">
        <f aca="false">IF($A5="","",SUMPRODUCT((KTN_TO=$A5)*(KT_NGUOI!$AF$6:$AF$100="x"))+SUMPRODUCT((KT_NGUOI!$AF$6:$AF$100=$A5)*1))</f>
        <v>0</v>
      </c>
      <c r="AC5" s="17" t="n">
        <f aca="false">IF($A5="","",SUMPRODUCT((KTN_TO=$A5)*(KT_NGUOI!$AG$6:$AG$100="x"))+SUMPRODUCT((KT_NGUOI!$AG$6:$AG$100=$A5)*1))</f>
        <v>0</v>
      </c>
      <c r="AD5" s="17" t="n">
        <f aca="false">IF($A5="","",SUMPRODUCT((KTN_TO=$A5)*(KT_NGUOI!$AH$6:$AH$100="x"))+SUMPRODUCT((KT_NGUOI!$AH$6:$AH$100=$A5)*1))</f>
        <v>0</v>
      </c>
      <c r="AE5" s="17" t="n">
        <f aca="false">IF($A5="","",SUMPRODUCT((KTN_TO=$A5)*(KT_NGUOI!$AI$6:$AI$100="x"))+SUMPRODUCT((KT_NGUOI!$AI$6:$AI$100=$A5)*1))</f>
        <v>0</v>
      </c>
      <c r="AF5" s="17" t="n">
        <f aca="false">IF($A5="","",SUMPRODUCT((KTN_TO=$A5)*(KT_NGUOI!$AJ$6:$AJ$100="x"))+SUMPRODUCT((KT_NGUOI!$AJ$6:$AJ$100=$A5)*1))</f>
        <v>0</v>
      </c>
    </row>
    <row r="6" customFormat="false" ht="15" hidden="false" customHeight="false" outlineLevel="0" collapsed="false">
      <c r="A6" s="10" t="s">
        <v>170</v>
      </c>
      <c r="B6" s="17" t="n">
        <f aca="false">IF($A6="","",SUMPRODUCT((KTN_TO=$A6)*(KT_NGUOI!$F$6:$F$100="x"))+SUMPRODUCT((KT_NGUOI!$F$6:$F$100=$A6)*1))</f>
        <v>0</v>
      </c>
      <c r="C6" s="17" t="n">
        <f aca="false">IF($A6="","",SUMPRODUCT((KTN_TO=$A6)*(KT_NGUOI!$G$6:$G$100="x"))+SUMPRODUCT((KT_NGUOI!$G$6:$G$100=$A6)*1))</f>
        <v>0</v>
      </c>
      <c r="D6" s="17" t="n">
        <f aca="false">IF($A6="","",SUMPRODUCT((KTN_TO=$A6)*(KT_NGUOI!$H$6:$H$100="x"))+SUMPRODUCT((KT_NGUOI!$H$6:$H$100=$A6)*1))</f>
        <v>0</v>
      </c>
      <c r="E6" s="17" t="n">
        <f aca="false">IF($A6="","",SUMPRODUCT((KTN_TO=$A6)*(KT_NGUOI!$I$6:$I$100="x"))+SUMPRODUCT((KT_NGUOI!$I$6:$I$100=$A6)*1))</f>
        <v>0</v>
      </c>
      <c r="F6" s="17" t="n">
        <f aca="false">IF($A6="","",SUMPRODUCT((KTN_TO=$A6)*(KT_NGUOI!$J$6:$J$100="x"))+SUMPRODUCT((KT_NGUOI!$J$6:$J$100=$A6)*1))</f>
        <v>0</v>
      </c>
      <c r="G6" s="17" t="n">
        <f aca="false">IF($A6="","",SUMPRODUCT((KTN_TO=$A6)*(KT_NGUOI!$K$6:$K$100="x"))+SUMPRODUCT((KT_NGUOI!$K$6:$K$100=$A6)*1))</f>
        <v>0</v>
      </c>
      <c r="H6" s="17" t="n">
        <f aca="false">IF($A6="","",SUMPRODUCT((KTN_TO=$A6)*(KT_NGUOI!$L$6:$L$100="x"))+SUMPRODUCT((KT_NGUOI!$L$6:$L$100=$A6)*1))</f>
        <v>0</v>
      </c>
      <c r="I6" s="17" t="n">
        <f aca="false">IF($A6="","",SUMPRODUCT((KTN_TO=$A6)*(KT_NGUOI!$M$6:$M$100="x"))+SUMPRODUCT((KT_NGUOI!$M$6:$M$100=$A6)*1))</f>
        <v>0</v>
      </c>
      <c r="J6" s="17" t="n">
        <f aca="false">IF($A6="","",SUMPRODUCT((KTN_TO=$A6)*(KT_NGUOI!$N$6:$N$100="x"))+SUMPRODUCT((KT_NGUOI!$N$6:$N$100=$A6)*1))</f>
        <v>0</v>
      </c>
      <c r="K6" s="17" t="n">
        <f aca="false">IF($A6="","",SUMPRODUCT((KTN_TO=$A6)*(KT_NGUOI!$O$6:$O$100="x"))+SUMPRODUCT((KT_NGUOI!$O$6:$O$100=$A6)*1))</f>
        <v>0</v>
      </c>
      <c r="L6" s="17" t="n">
        <f aca="false">IF($A6="","",SUMPRODUCT((KTN_TO=$A6)*(KT_NGUOI!$P$6:$P$100="x"))+SUMPRODUCT((KT_NGUOI!$P$6:$P$100=$A6)*1))</f>
        <v>0</v>
      </c>
      <c r="M6" s="17" t="n">
        <f aca="false">IF($A6="","",SUMPRODUCT((KTN_TO=$A6)*(KT_NGUOI!$Q$6:$Q$100="x"))+SUMPRODUCT((KT_NGUOI!$Q$6:$Q$100=$A6)*1))</f>
        <v>0</v>
      </c>
      <c r="N6" s="17" t="n">
        <f aca="false">IF($A6="","",SUMPRODUCT((KTN_TO=$A6)*(KT_NGUOI!$R$6:$R$100="x"))+SUMPRODUCT((KT_NGUOI!$R$6:$R$100=$A6)*1))</f>
        <v>0</v>
      </c>
      <c r="O6" s="17" t="n">
        <f aca="false">IF($A6="","",SUMPRODUCT((KTN_TO=$A6)*(KT_NGUOI!$S$6:$S$100="x"))+SUMPRODUCT((KT_NGUOI!$S$6:$S$100=$A6)*1))</f>
        <v>0</v>
      </c>
      <c r="P6" s="17" t="n">
        <f aca="false">IF($A6="","",SUMPRODUCT((KTN_TO=$A6)*(KT_NGUOI!$T$6:$T$100="x"))+SUMPRODUCT((KT_NGUOI!$T$6:$T$100=$A6)*1))</f>
        <v>0</v>
      </c>
      <c r="Q6" s="17" t="n">
        <f aca="false">IF($A6="","",SUMPRODUCT((KTN_TO=$A6)*(KT_NGUOI!$U$6:$U$100="x"))+SUMPRODUCT((KT_NGUOI!$U$6:$U$100=$A6)*1))</f>
        <v>0</v>
      </c>
      <c r="R6" s="17" t="n">
        <f aca="false">IF($A6="","",SUMPRODUCT((KTN_TO=$A6)*(KT_NGUOI!$V$6:$V$100="x"))+SUMPRODUCT((KT_NGUOI!$V$6:$V$100=$A6)*1))</f>
        <v>0</v>
      </c>
      <c r="S6" s="17" t="n">
        <f aca="false">IF($A6="","",SUMPRODUCT((KTN_TO=$A6)*(KT_NGUOI!$W$6:$W$100="x"))+SUMPRODUCT((KT_NGUOI!$W$6:$W$100=$A6)*1))</f>
        <v>0</v>
      </c>
      <c r="T6" s="17" t="n">
        <f aca="false">IF($A6="","",SUMPRODUCT((KTN_TO=$A6)*(KT_NGUOI!$X$6:$X$100="x"))+SUMPRODUCT((KT_NGUOI!$X$6:$X$100=$A6)*1))</f>
        <v>10</v>
      </c>
      <c r="U6" s="17" t="n">
        <f aca="false">IF($A6="","",SUMPRODUCT((KTN_TO=$A6)*(KT_NGUOI!$Y$6:$Y$100="x"))+SUMPRODUCT((KT_NGUOI!$Y$6:$Y$100=$A6)*1))</f>
        <v>0</v>
      </c>
      <c r="V6" s="17" t="n">
        <f aca="false">IF($A6="","",SUMPRODUCT((KTN_TO=$A6)*(KT_NGUOI!$Z$6:$Z$100="x"))+SUMPRODUCT((KT_NGUOI!$Z$6:$Z$100=$A6)*1))</f>
        <v>0</v>
      </c>
      <c r="W6" s="17" t="n">
        <f aca="false">IF($A6="","",SUMPRODUCT((KTN_TO=$A6)*(KT_NGUOI!$AA$6:$AA$100="x"))+SUMPRODUCT((KT_NGUOI!$AA$6:$AA$100=$A6)*1))</f>
        <v>0</v>
      </c>
      <c r="X6" s="17" t="n">
        <f aca="false">IF($A6="","",SUMPRODUCT((KTN_TO=$A6)*(KT_NGUOI!$AB$6:$AB$100="x"))+SUMPRODUCT((KT_NGUOI!$AB$6:$AB$100=$A6)*1))</f>
        <v>0</v>
      </c>
      <c r="Y6" s="17" t="n">
        <f aca="false">IF($A6="","",SUMPRODUCT((KTN_TO=$A6)*(KT_NGUOI!$AC$6:$AC$100="x"))+SUMPRODUCT((KT_NGUOI!$AC$6:$AC$100=$A6)*1))</f>
        <v>6</v>
      </c>
      <c r="Z6" s="17" t="n">
        <f aca="false">IF($A6="","",SUMPRODUCT((KTN_TO=$A6)*(KT_NGUOI!$AD$6:$AD$100="x"))+SUMPRODUCT((KT_NGUOI!$AD$6:$AD$100=$A6)*1))</f>
        <v>0</v>
      </c>
      <c r="AA6" s="17" t="n">
        <f aca="false">IF($A6="","",SUMPRODUCT((KTN_TO=$A6)*(KT_NGUOI!$AE$6:$AE$100="x"))+SUMPRODUCT((KT_NGUOI!$AE$6:$AE$100=$A6)*1))</f>
        <v>2</v>
      </c>
      <c r="AB6" s="17" t="n">
        <f aca="false">IF($A6="","",SUMPRODUCT((KTN_TO=$A6)*(KT_NGUOI!$AF$6:$AF$100="x"))+SUMPRODUCT((KT_NGUOI!$AF$6:$AF$100=$A6)*1))</f>
        <v>0</v>
      </c>
      <c r="AC6" s="17" t="n">
        <f aca="false">IF($A6="","",SUMPRODUCT((KTN_TO=$A6)*(KT_NGUOI!$AG$6:$AG$100="x"))+SUMPRODUCT((KT_NGUOI!$AG$6:$AG$100=$A6)*1))</f>
        <v>0</v>
      </c>
      <c r="AD6" s="17" t="n">
        <f aca="false">IF($A6="","",SUMPRODUCT((KTN_TO=$A6)*(KT_NGUOI!$AH$6:$AH$100="x"))+SUMPRODUCT((KT_NGUOI!$AH$6:$AH$100=$A6)*1))</f>
        <v>0</v>
      </c>
      <c r="AE6" s="17" t="n">
        <f aca="false">IF($A6="","",SUMPRODUCT((KTN_TO=$A6)*(KT_NGUOI!$AI$6:$AI$100="x"))+SUMPRODUCT((KT_NGUOI!$AI$6:$AI$100=$A6)*1))</f>
        <v>0</v>
      </c>
      <c r="AF6" s="17" t="n">
        <f aca="false">IF($A6="","",SUMPRODUCT((KTN_TO=$A6)*(KT_NGUOI!$AJ$6:$AJ$100="x"))+SUMPRODUCT((KT_NGUOI!$AJ$6:$AJ$100=$A6)*1))</f>
        <v>0</v>
      </c>
    </row>
    <row r="7" customFormat="false" ht="15" hidden="false" customHeight="false" outlineLevel="0" collapsed="false">
      <c r="A7" s="10" t="s">
        <v>173</v>
      </c>
      <c r="B7" s="17" t="n">
        <f aca="false">IF($A7="","",SUMPRODUCT((KTN_TO=$A7)*(KT_NGUOI!$F$6:$F$100="x"))+SUMPRODUCT((KT_NGUOI!$F$6:$F$100=$A7)*1))</f>
        <v>0</v>
      </c>
      <c r="C7" s="17" t="n">
        <f aca="false">IF($A7="","",SUMPRODUCT((KTN_TO=$A7)*(KT_NGUOI!$G$6:$G$100="x"))+SUMPRODUCT((KT_NGUOI!$G$6:$G$100=$A7)*1))</f>
        <v>0</v>
      </c>
      <c r="D7" s="17" t="n">
        <f aca="false">IF($A7="","",SUMPRODUCT((KTN_TO=$A7)*(KT_NGUOI!$H$6:$H$100="x"))+SUMPRODUCT((KT_NGUOI!$H$6:$H$100=$A7)*1))</f>
        <v>0</v>
      </c>
      <c r="E7" s="17" t="n">
        <f aca="false">IF($A7="","",SUMPRODUCT((KTN_TO=$A7)*(KT_NGUOI!$I$6:$I$100="x"))+SUMPRODUCT((KT_NGUOI!$I$6:$I$100=$A7)*1))</f>
        <v>0</v>
      </c>
      <c r="F7" s="17" t="n">
        <f aca="false">IF($A7="","",SUMPRODUCT((KTN_TO=$A7)*(KT_NGUOI!$J$6:$J$100="x"))+SUMPRODUCT((KT_NGUOI!$J$6:$J$100=$A7)*1))</f>
        <v>0</v>
      </c>
      <c r="G7" s="17" t="n">
        <f aca="false">IF($A7="","",SUMPRODUCT((KTN_TO=$A7)*(KT_NGUOI!$K$6:$K$100="x"))+SUMPRODUCT((KT_NGUOI!$K$6:$K$100=$A7)*1))</f>
        <v>0</v>
      </c>
      <c r="H7" s="17" t="n">
        <f aca="false">IF($A7="","",SUMPRODUCT((KTN_TO=$A7)*(KT_NGUOI!$L$6:$L$100="x"))+SUMPRODUCT((KT_NGUOI!$L$6:$L$100=$A7)*1))</f>
        <v>0</v>
      </c>
      <c r="I7" s="17" t="n">
        <f aca="false">IF($A7="","",SUMPRODUCT((KTN_TO=$A7)*(KT_NGUOI!$M$6:$M$100="x"))+SUMPRODUCT((KT_NGUOI!$M$6:$M$100=$A7)*1))</f>
        <v>0</v>
      </c>
      <c r="J7" s="17" t="n">
        <f aca="false">IF($A7="","",SUMPRODUCT((KTN_TO=$A7)*(KT_NGUOI!$N$6:$N$100="x"))+SUMPRODUCT((KT_NGUOI!$N$6:$N$100=$A7)*1))</f>
        <v>0</v>
      </c>
      <c r="K7" s="17" t="n">
        <f aca="false">IF($A7="","",SUMPRODUCT((KTN_TO=$A7)*(KT_NGUOI!$O$6:$O$100="x"))+SUMPRODUCT((KT_NGUOI!$O$6:$O$100=$A7)*1))</f>
        <v>0</v>
      </c>
      <c r="L7" s="17" t="n">
        <f aca="false">IF($A7="","",SUMPRODUCT((KTN_TO=$A7)*(KT_NGUOI!$P$6:$P$100="x"))+SUMPRODUCT((KT_NGUOI!$P$6:$P$100=$A7)*1))</f>
        <v>0</v>
      </c>
      <c r="M7" s="17" t="n">
        <f aca="false">IF($A7="","",SUMPRODUCT((KTN_TO=$A7)*(KT_NGUOI!$Q$6:$Q$100="x"))+SUMPRODUCT((KT_NGUOI!$Q$6:$Q$100=$A7)*1))</f>
        <v>0</v>
      </c>
      <c r="N7" s="17" t="n">
        <f aca="false">IF($A7="","",SUMPRODUCT((KTN_TO=$A7)*(KT_NGUOI!$R$6:$R$100="x"))+SUMPRODUCT((KT_NGUOI!$R$6:$R$100=$A7)*1))</f>
        <v>0</v>
      </c>
      <c r="O7" s="17" t="n">
        <f aca="false">IF($A7="","",SUMPRODUCT((KTN_TO=$A7)*(KT_NGUOI!$S$6:$S$100="x"))+SUMPRODUCT((KT_NGUOI!$S$6:$S$100=$A7)*1))</f>
        <v>0</v>
      </c>
      <c r="P7" s="17" t="n">
        <f aca="false">IF($A7="","",SUMPRODUCT((KTN_TO=$A7)*(KT_NGUOI!$T$6:$T$100="x"))+SUMPRODUCT((KT_NGUOI!$T$6:$T$100=$A7)*1))</f>
        <v>0</v>
      </c>
      <c r="Q7" s="17" t="n">
        <f aca="false">IF($A7="","",SUMPRODUCT((KTN_TO=$A7)*(KT_NGUOI!$U$6:$U$100="x"))+SUMPRODUCT((KT_NGUOI!$U$6:$U$100=$A7)*1))</f>
        <v>0</v>
      </c>
      <c r="R7" s="17" t="n">
        <f aca="false">IF($A7="","",SUMPRODUCT((KTN_TO=$A7)*(KT_NGUOI!$V$6:$V$100="x"))+SUMPRODUCT((KT_NGUOI!$V$6:$V$100=$A7)*1))</f>
        <v>0</v>
      </c>
      <c r="S7" s="17" t="n">
        <f aca="false">IF($A7="","",SUMPRODUCT((KTN_TO=$A7)*(KT_NGUOI!$W$6:$W$100="x"))+SUMPRODUCT((KT_NGUOI!$W$6:$W$100=$A7)*1))</f>
        <v>0</v>
      </c>
      <c r="T7" s="17" t="n">
        <f aca="false">IF($A7="","",SUMPRODUCT((KTN_TO=$A7)*(KT_NGUOI!$X$6:$X$100="x"))+SUMPRODUCT((KT_NGUOI!$X$6:$X$100=$A7)*1))</f>
        <v>0</v>
      </c>
      <c r="U7" s="17" t="n">
        <f aca="false">IF($A7="","",SUMPRODUCT((KTN_TO=$A7)*(KT_NGUOI!$Y$6:$Y$100="x"))+SUMPRODUCT((KT_NGUOI!$Y$6:$Y$100=$A7)*1))</f>
        <v>9</v>
      </c>
      <c r="V7" s="17" t="n">
        <f aca="false">IF($A7="","",SUMPRODUCT((KTN_TO=$A7)*(KT_NGUOI!$Z$6:$Z$100="x"))+SUMPRODUCT((KT_NGUOI!$Z$6:$Z$100=$A7)*1))</f>
        <v>0</v>
      </c>
      <c r="W7" s="17" t="n">
        <f aca="false">IF($A7="","",SUMPRODUCT((KTN_TO=$A7)*(KT_NGUOI!$AA$6:$AA$100="x"))+SUMPRODUCT((KT_NGUOI!$AA$6:$AA$100=$A7)*1))</f>
        <v>0</v>
      </c>
      <c r="X7" s="17" t="n">
        <f aca="false">IF($A7="","",SUMPRODUCT((KTN_TO=$A7)*(KT_NGUOI!$AB$6:$AB$100="x"))+SUMPRODUCT((KT_NGUOI!$AB$6:$AB$100=$A7)*1))</f>
        <v>0</v>
      </c>
      <c r="Y7" s="17" t="n">
        <f aca="false">IF($A7="","",SUMPRODUCT((KTN_TO=$A7)*(KT_NGUOI!$AC$6:$AC$100="x"))+SUMPRODUCT((KT_NGUOI!$AC$6:$AC$100=$A7)*1))</f>
        <v>0</v>
      </c>
      <c r="Z7" s="17" t="n">
        <f aca="false">IF($A7="","",SUMPRODUCT((KTN_TO=$A7)*(KT_NGUOI!$AD$6:$AD$100="x"))+SUMPRODUCT((KT_NGUOI!$AD$6:$AD$100=$A7)*1))</f>
        <v>7</v>
      </c>
      <c r="AA7" s="17" t="n">
        <f aca="false">IF($A7="","",SUMPRODUCT((KTN_TO=$A7)*(KT_NGUOI!$AE$6:$AE$100="x"))+SUMPRODUCT((KT_NGUOI!$AE$6:$AE$100=$A7)*1))</f>
        <v>0</v>
      </c>
      <c r="AB7" s="17" t="n">
        <f aca="false">IF($A7="","",SUMPRODUCT((KTN_TO=$A7)*(KT_NGUOI!$AF$6:$AF$100="x"))+SUMPRODUCT((KT_NGUOI!$AF$6:$AF$100=$A7)*1))</f>
        <v>0</v>
      </c>
      <c r="AC7" s="17" t="n">
        <f aca="false">IF($A7="","",SUMPRODUCT((KTN_TO=$A7)*(KT_NGUOI!$AG$6:$AG$100="x"))+SUMPRODUCT((KT_NGUOI!$AG$6:$AG$100=$A7)*1))</f>
        <v>0</v>
      </c>
      <c r="AD7" s="17" t="n">
        <f aca="false">IF($A7="","",SUMPRODUCT((KTN_TO=$A7)*(KT_NGUOI!$AH$6:$AH$100="x"))+SUMPRODUCT((KT_NGUOI!$AH$6:$AH$100=$A7)*1))</f>
        <v>0</v>
      </c>
      <c r="AE7" s="17" t="n">
        <f aca="false">IF($A7="","",SUMPRODUCT((KTN_TO=$A7)*(KT_NGUOI!$AI$6:$AI$100="x"))+SUMPRODUCT((KT_NGUOI!$AI$6:$AI$100=$A7)*1))</f>
        <v>0</v>
      </c>
      <c r="AF7" s="17" t="n">
        <f aca="false">IF($A7="","",SUMPRODUCT((KTN_TO=$A7)*(KT_NGUOI!$AJ$6:$AJ$100="x"))+SUMPRODUCT((KT_NGUOI!$AJ$6:$AJ$100=$A7)*1))</f>
        <v>0</v>
      </c>
    </row>
    <row r="8" customFormat="false" ht="15" hidden="false" customHeight="false" outlineLevel="0" collapsed="false">
      <c r="A8" s="10" t="s">
        <v>312</v>
      </c>
      <c r="B8" s="17" t="n">
        <f aca="false">IF($A8="","",SUMPRODUCT((KTN_TO=$A8)*(KT_NGUOI!$F$6:$F$100="x"))+SUMPRODUCT((KT_NGUOI!$F$6:$F$100=$A8)*1))</f>
        <v>0</v>
      </c>
      <c r="C8" s="17" t="n">
        <f aca="false">IF($A8="","",SUMPRODUCT((KTN_TO=$A8)*(KT_NGUOI!$G$6:$G$100="x"))+SUMPRODUCT((KT_NGUOI!$G$6:$G$100=$A8)*1))</f>
        <v>0</v>
      </c>
      <c r="D8" s="17" t="n">
        <f aca="false">IF($A8="","",SUMPRODUCT((KTN_TO=$A8)*(KT_NGUOI!$H$6:$H$100="x"))+SUMPRODUCT((KT_NGUOI!$H$6:$H$100=$A8)*1))</f>
        <v>0</v>
      </c>
      <c r="E8" s="17" t="n">
        <f aca="false">IF($A8="","",SUMPRODUCT((KTN_TO=$A8)*(KT_NGUOI!$I$6:$I$100="x"))+SUMPRODUCT((KT_NGUOI!$I$6:$I$100=$A8)*1))</f>
        <v>0</v>
      </c>
      <c r="F8" s="17" t="n">
        <f aca="false">IF($A8="","",SUMPRODUCT((KTN_TO=$A8)*(KT_NGUOI!$J$6:$J$100="x"))+SUMPRODUCT((KT_NGUOI!$J$6:$J$100=$A8)*1))</f>
        <v>0</v>
      </c>
      <c r="G8" s="17" t="n">
        <f aca="false">IF($A8="","",SUMPRODUCT((KTN_TO=$A8)*(KT_NGUOI!$K$6:$K$100="x"))+SUMPRODUCT((KT_NGUOI!$K$6:$K$100=$A8)*1))</f>
        <v>0</v>
      </c>
      <c r="H8" s="17" t="n">
        <f aca="false">IF($A8="","",SUMPRODUCT((KTN_TO=$A8)*(KT_NGUOI!$L$6:$L$100="x"))+SUMPRODUCT((KT_NGUOI!$L$6:$L$100=$A8)*1))</f>
        <v>0</v>
      </c>
      <c r="I8" s="17" t="n">
        <f aca="false">IF($A8="","",SUMPRODUCT((KTN_TO=$A8)*(KT_NGUOI!$M$6:$M$100="x"))+SUMPRODUCT((KT_NGUOI!$M$6:$M$100=$A8)*1))</f>
        <v>0</v>
      </c>
      <c r="J8" s="17" t="n">
        <f aca="false">IF($A8="","",SUMPRODUCT((KTN_TO=$A8)*(KT_NGUOI!$N$6:$N$100="x"))+SUMPRODUCT((KT_NGUOI!$N$6:$N$100=$A8)*1))</f>
        <v>0</v>
      </c>
      <c r="K8" s="17" t="n">
        <f aca="false">IF($A8="","",SUMPRODUCT((KTN_TO=$A8)*(KT_NGUOI!$O$6:$O$100="x"))+SUMPRODUCT((KT_NGUOI!$O$6:$O$100=$A8)*1))</f>
        <v>0</v>
      </c>
      <c r="L8" s="17" t="n">
        <f aca="false">IF($A8="","",SUMPRODUCT((KTN_TO=$A8)*(KT_NGUOI!$P$6:$P$100="x"))+SUMPRODUCT((KT_NGUOI!$P$6:$P$100=$A8)*1))</f>
        <v>0</v>
      </c>
      <c r="M8" s="17" t="n">
        <f aca="false">IF($A8="","",SUMPRODUCT((KTN_TO=$A8)*(KT_NGUOI!$Q$6:$Q$100="x"))+SUMPRODUCT((KT_NGUOI!$Q$6:$Q$100=$A8)*1))</f>
        <v>0</v>
      </c>
      <c r="N8" s="17" t="n">
        <f aca="false">IF($A8="","",SUMPRODUCT((KTN_TO=$A8)*(KT_NGUOI!$R$6:$R$100="x"))+SUMPRODUCT((KT_NGUOI!$R$6:$R$100=$A8)*1))</f>
        <v>0</v>
      </c>
      <c r="O8" s="17" t="n">
        <f aca="false">IF($A8="","",SUMPRODUCT((KTN_TO=$A8)*(KT_NGUOI!$S$6:$S$100="x"))+SUMPRODUCT((KT_NGUOI!$S$6:$S$100=$A8)*1))</f>
        <v>0</v>
      </c>
      <c r="P8" s="17" t="n">
        <f aca="false">IF($A8="","",SUMPRODUCT((KTN_TO=$A8)*(KT_NGUOI!$T$6:$T$100="x"))+SUMPRODUCT((KT_NGUOI!$T$6:$T$100=$A8)*1))</f>
        <v>0</v>
      </c>
      <c r="Q8" s="17" t="n">
        <f aca="false">IF($A8="","",SUMPRODUCT((KTN_TO=$A8)*(KT_NGUOI!$U$6:$U$100="x"))+SUMPRODUCT((KT_NGUOI!$U$6:$U$100=$A8)*1))</f>
        <v>0</v>
      </c>
      <c r="R8" s="17" t="n">
        <f aca="false">IF($A8="","",SUMPRODUCT((KTN_TO=$A8)*(KT_NGUOI!$V$6:$V$100="x"))+SUMPRODUCT((KT_NGUOI!$V$6:$V$100=$A8)*1))</f>
        <v>0</v>
      </c>
      <c r="S8" s="17" t="n">
        <f aca="false">IF($A8="","",SUMPRODUCT((KTN_TO=$A8)*(KT_NGUOI!$W$6:$W$100="x"))+SUMPRODUCT((KT_NGUOI!$W$6:$W$100=$A8)*1))</f>
        <v>0</v>
      </c>
      <c r="T8" s="17" t="n">
        <f aca="false">IF($A8="","",SUMPRODUCT((KTN_TO=$A8)*(KT_NGUOI!$X$6:$X$100="x"))+SUMPRODUCT((KT_NGUOI!$X$6:$X$100=$A8)*1))</f>
        <v>0</v>
      </c>
      <c r="U8" s="17" t="n">
        <f aca="false">IF($A8="","",SUMPRODUCT((KTN_TO=$A8)*(KT_NGUOI!$Y$6:$Y$100="x"))+SUMPRODUCT((KT_NGUOI!$Y$6:$Y$100=$A8)*1))</f>
        <v>0</v>
      </c>
      <c r="V8" s="17" t="n">
        <f aca="false">IF($A8="","",SUMPRODUCT((KTN_TO=$A8)*(KT_NGUOI!$Z$6:$Z$100="x"))+SUMPRODUCT((KT_NGUOI!$Z$6:$Z$100=$A8)*1))</f>
        <v>0</v>
      </c>
      <c r="W8" s="17" t="n">
        <f aca="false">IF($A8="","",SUMPRODUCT((KTN_TO=$A8)*(KT_NGUOI!$AA$6:$AA$100="x"))+SUMPRODUCT((KT_NGUOI!$AA$6:$AA$100=$A8)*1))</f>
        <v>0</v>
      </c>
      <c r="X8" s="17" t="n">
        <f aca="false">IF($A8="","",SUMPRODUCT((KTN_TO=$A8)*(KT_NGUOI!$AB$6:$AB$100="x"))+SUMPRODUCT((KT_NGUOI!$AB$6:$AB$100=$A8)*1))</f>
        <v>0</v>
      </c>
      <c r="Y8" s="17" t="n">
        <f aca="false">IF($A8="","",SUMPRODUCT((KTN_TO=$A8)*(KT_NGUOI!$AC$6:$AC$100="x"))+SUMPRODUCT((KT_NGUOI!$AC$6:$AC$100=$A8)*1))</f>
        <v>0</v>
      </c>
      <c r="Z8" s="17" t="n">
        <f aca="false">IF($A8="","",SUMPRODUCT((KTN_TO=$A8)*(KT_NGUOI!$AD$6:$AD$100="x"))+SUMPRODUCT((KT_NGUOI!$AD$6:$AD$100=$A8)*1))</f>
        <v>0</v>
      </c>
      <c r="AA8" s="17" t="n">
        <f aca="false">IF($A8="","",SUMPRODUCT((KTN_TO=$A8)*(KT_NGUOI!$AE$6:$AE$100="x"))+SUMPRODUCT((KT_NGUOI!$AE$6:$AE$100=$A8)*1))</f>
        <v>0</v>
      </c>
      <c r="AB8" s="17" t="n">
        <f aca="false">IF($A8="","",SUMPRODUCT((KTN_TO=$A8)*(KT_NGUOI!$AF$6:$AF$100="x"))+SUMPRODUCT((KT_NGUOI!$AF$6:$AF$100=$A8)*1))</f>
        <v>0</v>
      </c>
      <c r="AC8" s="17" t="n">
        <f aca="false">IF($A8="","",SUMPRODUCT((KTN_TO=$A8)*(KT_NGUOI!$AG$6:$AG$100="x"))+SUMPRODUCT((KT_NGUOI!$AG$6:$AG$100=$A8)*1))</f>
        <v>0</v>
      </c>
      <c r="AD8" s="17" t="n">
        <f aca="false">IF($A8="","",SUMPRODUCT((KTN_TO=$A8)*(KT_NGUOI!$AH$6:$AH$100="x"))+SUMPRODUCT((KT_NGUOI!$AH$6:$AH$100=$A8)*1))</f>
        <v>0</v>
      </c>
      <c r="AE8" s="17" t="n">
        <f aca="false">IF($A8="","",SUMPRODUCT((KTN_TO=$A8)*(KT_NGUOI!$AI$6:$AI$100="x"))+SUMPRODUCT((KT_NGUOI!$AI$6:$AI$100=$A8)*1))</f>
        <v>0</v>
      </c>
      <c r="AF8" s="17" t="n">
        <f aca="false">IF($A8="","",SUMPRODUCT((KTN_TO=$A8)*(KT_NGUOI!$AJ$6:$AJ$100="x"))+SUMPRODUCT((KT_NGUOI!$AJ$6:$AJ$100=$A8)*1))</f>
        <v>0</v>
      </c>
    </row>
    <row r="9" customFormat="false" ht="15" hidden="false" customHeight="false" outlineLevel="0" collapsed="false">
      <c r="A9" s="10" t="s">
        <v>313</v>
      </c>
      <c r="B9" s="17" t="n">
        <f aca="false">IF($A9="","",SUMPRODUCT((KTN_TO=$A9)*(KT_NGUOI!$F$6:$F$100="x"))+SUMPRODUCT((KT_NGUOI!$F$6:$F$100=$A9)*1))</f>
        <v>0</v>
      </c>
      <c r="C9" s="17" t="n">
        <f aca="false">IF($A9="","",SUMPRODUCT((KTN_TO=$A9)*(KT_NGUOI!$G$6:$G$100="x"))+SUMPRODUCT((KT_NGUOI!$G$6:$G$100=$A9)*1))</f>
        <v>0</v>
      </c>
      <c r="D9" s="17" t="n">
        <f aca="false">IF($A9="","",SUMPRODUCT((KTN_TO=$A9)*(KT_NGUOI!$H$6:$H$100="x"))+SUMPRODUCT((KT_NGUOI!$H$6:$H$100=$A9)*1))</f>
        <v>0</v>
      </c>
      <c r="E9" s="17" t="n">
        <f aca="false">IF($A9="","",SUMPRODUCT((KTN_TO=$A9)*(KT_NGUOI!$I$6:$I$100="x"))+SUMPRODUCT((KT_NGUOI!$I$6:$I$100=$A9)*1))</f>
        <v>0</v>
      </c>
      <c r="F9" s="17" t="n">
        <f aca="false">IF($A9="","",SUMPRODUCT((KTN_TO=$A9)*(KT_NGUOI!$J$6:$J$100="x"))+SUMPRODUCT((KT_NGUOI!$J$6:$J$100=$A9)*1))</f>
        <v>0</v>
      </c>
      <c r="G9" s="17" t="n">
        <f aca="false">IF($A9="","",SUMPRODUCT((KTN_TO=$A9)*(KT_NGUOI!$K$6:$K$100="x"))+SUMPRODUCT((KT_NGUOI!$K$6:$K$100=$A9)*1))</f>
        <v>0</v>
      </c>
      <c r="H9" s="17" t="n">
        <f aca="false">IF($A9="","",SUMPRODUCT((KTN_TO=$A9)*(KT_NGUOI!$L$6:$L$100="x"))+SUMPRODUCT((KT_NGUOI!$L$6:$L$100=$A9)*1))</f>
        <v>0</v>
      </c>
      <c r="I9" s="17" t="n">
        <f aca="false">IF($A9="","",SUMPRODUCT((KTN_TO=$A9)*(KT_NGUOI!$M$6:$M$100="x"))+SUMPRODUCT((KT_NGUOI!$M$6:$M$100=$A9)*1))</f>
        <v>0</v>
      </c>
      <c r="J9" s="17" t="n">
        <f aca="false">IF($A9="","",SUMPRODUCT((KTN_TO=$A9)*(KT_NGUOI!$N$6:$N$100="x"))+SUMPRODUCT((KT_NGUOI!$N$6:$N$100=$A9)*1))</f>
        <v>0</v>
      </c>
      <c r="K9" s="17" t="n">
        <f aca="false">IF($A9="","",SUMPRODUCT((KTN_TO=$A9)*(KT_NGUOI!$O$6:$O$100="x"))+SUMPRODUCT((KT_NGUOI!$O$6:$O$100=$A9)*1))</f>
        <v>0</v>
      </c>
      <c r="L9" s="17" t="n">
        <f aca="false">IF($A9="","",SUMPRODUCT((KTN_TO=$A9)*(KT_NGUOI!$P$6:$P$100="x"))+SUMPRODUCT((KT_NGUOI!$P$6:$P$100=$A9)*1))</f>
        <v>0</v>
      </c>
      <c r="M9" s="17" t="n">
        <f aca="false">IF($A9="","",SUMPRODUCT((KTN_TO=$A9)*(KT_NGUOI!$Q$6:$Q$100="x"))+SUMPRODUCT((KT_NGUOI!$Q$6:$Q$100=$A9)*1))</f>
        <v>0</v>
      </c>
      <c r="N9" s="17" t="n">
        <f aca="false">IF($A9="","",SUMPRODUCT((KTN_TO=$A9)*(KT_NGUOI!$R$6:$R$100="x"))+SUMPRODUCT((KT_NGUOI!$R$6:$R$100=$A9)*1))</f>
        <v>0</v>
      </c>
      <c r="O9" s="17" t="n">
        <f aca="false">IF($A9="","",SUMPRODUCT((KTN_TO=$A9)*(KT_NGUOI!$S$6:$S$100="x"))+SUMPRODUCT((KT_NGUOI!$S$6:$S$100=$A9)*1))</f>
        <v>0</v>
      </c>
      <c r="P9" s="17" t="n">
        <f aca="false">IF($A9="","",SUMPRODUCT((KTN_TO=$A9)*(KT_NGUOI!$T$6:$T$100="x"))+SUMPRODUCT((KT_NGUOI!$T$6:$T$100=$A9)*1))</f>
        <v>0</v>
      </c>
      <c r="Q9" s="17" t="n">
        <f aca="false">IF($A9="","",SUMPRODUCT((KTN_TO=$A9)*(KT_NGUOI!$U$6:$U$100="x"))+SUMPRODUCT((KT_NGUOI!$U$6:$U$100=$A9)*1))</f>
        <v>0</v>
      </c>
      <c r="R9" s="17" t="n">
        <f aca="false">IF($A9="","",SUMPRODUCT((KTN_TO=$A9)*(KT_NGUOI!$V$6:$V$100="x"))+SUMPRODUCT((KT_NGUOI!$V$6:$V$100=$A9)*1))</f>
        <v>0</v>
      </c>
      <c r="S9" s="17" t="n">
        <f aca="false">IF($A9="","",SUMPRODUCT((KTN_TO=$A9)*(KT_NGUOI!$W$6:$W$100="x"))+SUMPRODUCT((KT_NGUOI!$W$6:$W$100=$A9)*1))</f>
        <v>0</v>
      </c>
      <c r="T9" s="17" t="n">
        <f aca="false">IF($A9="","",SUMPRODUCT((KTN_TO=$A9)*(KT_NGUOI!$X$6:$X$100="x"))+SUMPRODUCT((KT_NGUOI!$X$6:$X$100=$A9)*1))</f>
        <v>0</v>
      </c>
      <c r="U9" s="17" t="n">
        <f aca="false">IF($A9="","",SUMPRODUCT((KTN_TO=$A9)*(KT_NGUOI!$Y$6:$Y$100="x"))+SUMPRODUCT((KT_NGUOI!$Y$6:$Y$100=$A9)*1))</f>
        <v>0</v>
      </c>
      <c r="V9" s="17" t="n">
        <f aca="false">IF($A9="","",SUMPRODUCT((KTN_TO=$A9)*(KT_NGUOI!$Z$6:$Z$100="x"))+SUMPRODUCT((KT_NGUOI!$Z$6:$Z$100=$A9)*1))</f>
        <v>0</v>
      </c>
      <c r="W9" s="17" t="n">
        <f aca="false">IF($A9="","",SUMPRODUCT((KTN_TO=$A9)*(KT_NGUOI!$AA$6:$AA$100="x"))+SUMPRODUCT((KT_NGUOI!$AA$6:$AA$100=$A9)*1))</f>
        <v>0</v>
      </c>
      <c r="X9" s="17" t="n">
        <f aca="false">IF($A9="","",SUMPRODUCT((KTN_TO=$A9)*(KT_NGUOI!$AB$6:$AB$100="x"))+SUMPRODUCT((KT_NGUOI!$AB$6:$AB$100=$A9)*1))</f>
        <v>0</v>
      </c>
      <c r="Y9" s="17" t="n">
        <f aca="false">IF($A9="","",SUMPRODUCT((KTN_TO=$A9)*(KT_NGUOI!$AC$6:$AC$100="x"))+SUMPRODUCT((KT_NGUOI!$AC$6:$AC$100=$A9)*1))</f>
        <v>0</v>
      </c>
      <c r="Z9" s="17" t="n">
        <f aca="false">IF($A9="","",SUMPRODUCT((KTN_TO=$A9)*(KT_NGUOI!$AD$6:$AD$100="x"))+SUMPRODUCT((KT_NGUOI!$AD$6:$AD$100=$A9)*1))</f>
        <v>0</v>
      </c>
      <c r="AA9" s="17" t="n">
        <f aca="false">IF($A9="","",SUMPRODUCT((KTN_TO=$A9)*(KT_NGUOI!$AE$6:$AE$100="x"))+SUMPRODUCT((KT_NGUOI!$AE$6:$AE$100=$A9)*1))</f>
        <v>0</v>
      </c>
      <c r="AB9" s="17" t="n">
        <f aca="false">IF($A9="","",SUMPRODUCT((KTN_TO=$A9)*(KT_NGUOI!$AF$6:$AF$100="x"))+SUMPRODUCT((KT_NGUOI!$AF$6:$AF$100=$A9)*1))</f>
        <v>0</v>
      </c>
      <c r="AC9" s="17" t="n">
        <f aca="false">IF($A9="","",SUMPRODUCT((KTN_TO=$A9)*(KT_NGUOI!$AG$6:$AG$100="x"))+SUMPRODUCT((KT_NGUOI!$AG$6:$AG$100=$A9)*1))</f>
        <v>0</v>
      </c>
      <c r="AD9" s="17" t="n">
        <f aca="false">IF($A9="","",SUMPRODUCT((KTN_TO=$A9)*(KT_NGUOI!$AH$6:$AH$100="x"))+SUMPRODUCT((KT_NGUOI!$AH$6:$AH$100=$A9)*1))</f>
        <v>0</v>
      </c>
      <c r="AE9" s="17" t="n">
        <f aca="false">IF($A9="","",SUMPRODUCT((KTN_TO=$A9)*(KT_NGUOI!$AI$6:$AI$100="x"))+SUMPRODUCT((KT_NGUOI!$AI$6:$AI$100=$A9)*1))</f>
        <v>0</v>
      </c>
      <c r="AF9" s="17" t="n">
        <f aca="false">IF($A9="","",SUMPRODUCT((KTN_TO=$A9)*(KT_NGUOI!$AJ$6:$AJ$100="x"))+SUMPRODUCT((KT_NGUOI!$AJ$6:$AJ$100=$A9)*1))</f>
        <v>0</v>
      </c>
    </row>
    <row r="10" customFormat="false" ht="15" hidden="false" customHeight="false" outlineLevel="0" collapsed="false">
      <c r="A10" s="10" t="s">
        <v>314</v>
      </c>
      <c r="B10" s="17" t="n">
        <f aca="false">IF($A10="","",SUMPRODUCT((KTN_TO=$A10)*(KT_NGUOI!$F$6:$F$100="x"))+SUMPRODUCT((KT_NGUOI!$F$6:$F$100=$A10)*1))</f>
        <v>0</v>
      </c>
      <c r="C10" s="17" t="n">
        <f aca="false">IF($A10="","",SUMPRODUCT((KTN_TO=$A10)*(KT_NGUOI!$G$6:$G$100="x"))+SUMPRODUCT((KT_NGUOI!$G$6:$G$100=$A10)*1))</f>
        <v>0</v>
      </c>
      <c r="D10" s="17" t="n">
        <f aca="false">IF($A10="","",SUMPRODUCT((KTN_TO=$A10)*(KT_NGUOI!$H$6:$H$100="x"))+SUMPRODUCT((KT_NGUOI!$H$6:$H$100=$A10)*1))</f>
        <v>0</v>
      </c>
      <c r="E10" s="17" t="n">
        <f aca="false">IF($A10="","",SUMPRODUCT((KTN_TO=$A10)*(KT_NGUOI!$I$6:$I$100="x"))+SUMPRODUCT((KT_NGUOI!$I$6:$I$100=$A10)*1))</f>
        <v>0</v>
      </c>
      <c r="F10" s="17" t="n">
        <f aca="false">IF($A10="","",SUMPRODUCT((KTN_TO=$A10)*(KT_NGUOI!$J$6:$J$100="x"))+SUMPRODUCT((KT_NGUOI!$J$6:$J$100=$A10)*1))</f>
        <v>0</v>
      </c>
      <c r="G10" s="17" t="n">
        <f aca="false">IF($A10="","",SUMPRODUCT((KTN_TO=$A10)*(KT_NGUOI!$K$6:$K$100="x"))+SUMPRODUCT((KT_NGUOI!$K$6:$K$100=$A10)*1))</f>
        <v>0</v>
      </c>
      <c r="H10" s="17" t="n">
        <f aca="false">IF($A10="","",SUMPRODUCT((KTN_TO=$A10)*(KT_NGUOI!$L$6:$L$100="x"))+SUMPRODUCT((KT_NGUOI!$L$6:$L$100=$A10)*1))</f>
        <v>0</v>
      </c>
      <c r="I10" s="17" t="n">
        <f aca="false">IF($A10="","",SUMPRODUCT((KTN_TO=$A10)*(KT_NGUOI!$M$6:$M$100="x"))+SUMPRODUCT((KT_NGUOI!$M$6:$M$100=$A10)*1))</f>
        <v>0</v>
      </c>
      <c r="J10" s="17" t="n">
        <f aca="false">IF($A10="","",SUMPRODUCT((KTN_TO=$A10)*(KT_NGUOI!$N$6:$N$100="x"))+SUMPRODUCT((KT_NGUOI!$N$6:$N$100=$A10)*1))</f>
        <v>0</v>
      </c>
      <c r="K10" s="17" t="n">
        <f aca="false">IF($A10="","",SUMPRODUCT((KTN_TO=$A10)*(KT_NGUOI!$O$6:$O$100="x"))+SUMPRODUCT((KT_NGUOI!$O$6:$O$100=$A10)*1))</f>
        <v>0</v>
      </c>
      <c r="L10" s="17" t="n">
        <f aca="false">IF($A10="","",SUMPRODUCT((KTN_TO=$A10)*(KT_NGUOI!$P$6:$P$100="x"))+SUMPRODUCT((KT_NGUOI!$P$6:$P$100=$A10)*1))</f>
        <v>0</v>
      </c>
      <c r="M10" s="17" t="n">
        <f aca="false">IF($A10="","",SUMPRODUCT((KTN_TO=$A10)*(KT_NGUOI!$Q$6:$Q$100="x"))+SUMPRODUCT((KT_NGUOI!$Q$6:$Q$100=$A10)*1))</f>
        <v>0</v>
      </c>
      <c r="N10" s="17" t="n">
        <f aca="false">IF($A10="","",SUMPRODUCT((KTN_TO=$A10)*(KT_NGUOI!$R$6:$R$100="x"))+SUMPRODUCT((KT_NGUOI!$R$6:$R$100=$A10)*1))</f>
        <v>0</v>
      </c>
      <c r="O10" s="17" t="n">
        <f aca="false">IF($A10="","",SUMPRODUCT((KTN_TO=$A10)*(KT_NGUOI!$S$6:$S$100="x"))+SUMPRODUCT((KT_NGUOI!$S$6:$S$100=$A10)*1))</f>
        <v>0</v>
      </c>
      <c r="P10" s="17" t="n">
        <f aca="false">IF($A10="","",SUMPRODUCT((KTN_TO=$A10)*(KT_NGUOI!$T$6:$T$100="x"))+SUMPRODUCT((KT_NGUOI!$T$6:$T$100=$A10)*1))</f>
        <v>0</v>
      </c>
      <c r="Q10" s="17" t="n">
        <f aca="false">IF($A10="","",SUMPRODUCT((KTN_TO=$A10)*(KT_NGUOI!$U$6:$U$100="x"))+SUMPRODUCT((KT_NGUOI!$U$6:$U$100=$A10)*1))</f>
        <v>0</v>
      </c>
      <c r="R10" s="17" t="n">
        <f aca="false">IF($A10="","",SUMPRODUCT((KTN_TO=$A10)*(KT_NGUOI!$V$6:$V$100="x"))+SUMPRODUCT((KT_NGUOI!$V$6:$V$100=$A10)*1))</f>
        <v>0</v>
      </c>
      <c r="S10" s="17" t="n">
        <f aca="false">IF($A10="","",SUMPRODUCT((KTN_TO=$A10)*(KT_NGUOI!$W$6:$W$100="x"))+SUMPRODUCT((KT_NGUOI!$W$6:$W$100=$A10)*1))</f>
        <v>0</v>
      </c>
      <c r="T10" s="17" t="n">
        <f aca="false">IF($A10="","",SUMPRODUCT((KTN_TO=$A10)*(KT_NGUOI!$X$6:$X$100="x"))+SUMPRODUCT((KT_NGUOI!$X$6:$X$100=$A10)*1))</f>
        <v>0</v>
      </c>
      <c r="U10" s="17" t="n">
        <f aca="false">IF($A10="","",SUMPRODUCT((KTN_TO=$A10)*(KT_NGUOI!$Y$6:$Y$100="x"))+SUMPRODUCT((KT_NGUOI!$Y$6:$Y$100=$A10)*1))</f>
        <v>0</v>
      </c>
      <c r="V10" s="17" t="n">
        <f aca="false">IF($A10="","",SUMPRODUCT((KTN_TO=$A10)*(KT_NGUOI!$Z$6:$Z$100="x"))+SUMPRODUCT((KT_NGUOI!$Z$6:$Z$100=$A10)*1))</f>
        <v>0</v>
      </c>
      <c r="W10" s="17" t="n">
        <f aca="false">IF($A10="","",SUMPRODUCT((KTN_TO=$A10)*(KT_NGUOI!$AA$6:$AA$100="x"))+SUMPRODUCT((KT_NGUOI!$AA$6:$AA$100=$A10)*1))</f>
        <v>0</v>
      </c>
      <c r="X10" s="17" t="n">
        <f aca="false">IF($A10="","",SUMPRODUCT((KTN_TO=$A10)*(KT_NGUOI!$AB$6:$AB$100="x"))+SUMPRODUCT((KT_NGUOI!$AB$6:$AB$100=$A10)*1))</f>
        <v>0</v>
      </c>
      <c r="Y10" s="17" t="n">
        <f aca="false">IF($A10="","",SUMPRODUCT((KTN_TO=$A10)*(KT_NGUOI!$AC$6:$AC$100="x"))+SUMPRODUCT((KT_NGUOI!$AC$6:$AC$100=$A10)*1))</f>
        <v>0</v>
      </c>
      <c r="Z10" s="17" t="n">
        <f aca="false">IF($A10="","",SUMPRODUCT((KTN_TO=$A10)*(KT_NGUOI!$AD$6:$AD$100="x"))+SUMPRODUCT((KT_NGUOI!$AD$6:$AD$100=$A10)*1))</f>
        <v>0</v>
      </c>
      <c r="AA10" s="17" t="n">
        <f aca="false">IF($A10="","",SUMPRODUCT((KTN_TO=$A10)*(KT_NGUOI!$AE$6:$AE$100="x"))+SUMPRODUCT((KT_NGUOI!$AE$6:$AE$100=$A10)*1))</f>
        <v>0</v>
      </c>
      <c r="AB10" s="17" t="n">
        <f aca="false">IF($A10="","",SUMPRODUCT((KTN_TO=$A10)*(KT_NGUOI!$AF$6:$AF$100="x"))+SUMPRODUCT((KT_NGUOI!$AF$6:$AF$100=$A10)*1))</f>
        <v>0</v>
      </c>
      <c r="AC10" s="17" t="n">
        <f aca="false">IF($A10="","",SUMPRODUCT((KTN_TO=$A10)*(KT_NGUOI!$AG$6:$AG$100="x"))+SUMPRODUCT((KT_NGUOI!$AG$6:$AG$100=$A10)*1))</f>
        <v>0</v>
      </c>
      <c r="AD10" s="17" t="n">
        <f aca="false">IF($A10="","",SUMPRODUCT((KTN_TO=$A10)*(KT_NGUOI!$AH$6:$AH$100="x"))+SUMPRODUCT((KT_NGUOI!$AH$6:$AH$100=$A10)*1))</f>
        <v>0</v>
      </c>
      <c r="AE10" s="17" t="n">
        <f aca="false">IF($A10="","",SUMPRODUCT((KTN_TO=$A10)*(KT_NGUOI!$AI$6:$AI$100="x"))+SUMPRODUCT((KT_NGUOI!$AI$6:$AI$100=$A10)*1))</f>
        <v>0</v>
      </c>
      <c r="AF10" s="17" t="n">
        <f aca="false">IF($A10="","",SUMPRODUCT((KTN_TO=$A10)*(KT_NGUOI!$AJ$6:$AJ$100="x"))+SUMPRODUCT((KT_NGUOI!$AJ$6:$AJ$100=$A10)*1))</f>
        <v>0</v>
      </c>
    </row>
    <row r="11" customFormat="false" ht="15" hidden="false" customHeight="false" outlineLevel="0" collapsed="false">
      <c r="A11" s="10" t="s">
        <v>315</v>
      </c>
      <c r="B11" s="17" t="n">
        <f aca="false">IF($A11="","",SUMPRODUCT((KTN_TO=$A11)*(KT_NGUOI!$F$6:$F$100="x"))+SUMPRODUCT((KT_NGUOI!$F$6:$F$100=$A11)*1))</f>
        <v>0</v>
      </c>
      <c r="C11" s="17" t="n">
        <f aca="false">IF($A11="","",SUMPRODUCT((KTN_TO=$A11)*(KT_NGUOI!$G$6:$G$100="x"))+SUMPRODUCT((KT_NGUOI!$G$6:$G$100=$A11)*1))</f>
        <v>0</v>
      </c>
      <c r="D11" s="17" t="n">
        <f aca="false">IF($A11="","",SUMPRODUCT((KTN_TO=$A11)*(KT_NGUOI!$H$6:$H$100="x"))+SUMPRODUCT((KT_NGUOI!$H$6:$H$100=$A11)*1))</f>
        <v>0</v>
      </c>
      <c r="E11" s="17" t="n">
        <f aca="false">IF($A11="","",SUMPRODUCT((KTN_TO=$A11)*(KT_NGUOI!$I$6:$I$100="x"))+SUMPRODUCT((KT_NGUOI!$I$6:$I$100=$A11)*1))</f>
        <v>0</v>
      </c>
      <c r="F11" s="17" t="n">
        <f aca="false">IF($A11="","",SUMPRODUCT((KTN_TO=$A11)*(KT_NGUOI!$J$6:$J$100="x"))+SUMPRODUCT((KT_NGUOI!$J$6:$J$100=$A11)*1))</f>
        <v>0</v>
      </c>
      <c r="G11" s="17" t="n">
        <f aca="false">IF($A11="","",SUMPRODUCT((KTN_TO=$A11)*(KT_NGUOI!$K$6:$K$100="x"))+SUMPRODUCT((KT_NGUOI!$K$6:$K$100=$A11)*1))</f>
        <v>0</v>
      </c>
      <c r="H11" s="17" t="n">
        <f aca="false">IF($A11="","",SUMPRODUCT((KTN_TO=$A11)*(KT_NGUOI!$L$6:$L$100="x"))+SUMPRODUCT((KT_NGUOI!$L$6:$L$100=$A11)*1))</f>
        <v>0</v>
      </c>
      <c r="I11" s="17" t="n">
        <f aca="false">IF($A11="","",SUMPRODUCT((KTN_TO=$A11)*(KT_NGUOI!$M$6:$M$100="x"))+SUMPRODUCT((KT_NGUOI!$M$6:$M$100=$A11)*1))</f>
        <v>0</v>
      </c>
      <c r="J11" s="17" t="n">
        <f aca="false">IF($A11="","",SUMPRODUCT((KTN_TO=$A11)*(KT_NGUOI!$N$6:$N$100="x"))+SUMPRODUCT((KT_NGUOI!$N$6:$N$100=$A11)*1))</f>
        <v>0</v>
      </c>
      <c r="K11" s="17" t="n">
        <f aca="false">IF($A11="","",SUMPRODUCT((KTN_TO=$A11)*(KT_NGUOI!$O$6:$O$100="x"))+SUMPRODUCT((KT_NGUOI!$O$6:$O$100=$A11)*1))</f>
        <v>0</v>
      </c>
      <c r="L11" s="17" t="n">
        <f aca="false">IF($A11="","",SUMPRODUCT((KTN_TO=$A11)*(KT_NGUOI!$P$6:$P$100="x"))+SUMPRODUCT((KT_NGUOI!$P$6:$P$100=$A11)*1))</f>
        <v>0</v>
      </c>
      <c r="M11" s="17" t="n">
        <f aca="false">IF($A11="","",SUMPRODUCT((KTN_TO=$A11)*(KT_NGUOI!$Q$6:$Q$100="x"))+SUMPRODUCT((KT_NGUOI!$Q$6:$Q$100=$A11)*1))</f>
        <v>0</v>
      </c>
      <c r="N11" s="17" t="n">
        <f aca="false">IF($A11="","",SUMPRODUCT((KTN_TO=$A11)*(KT_NGUOI!$R$6:$R$100="x"))+SUMPRODUCT((KT_NGUOI!$R$6:$R$100=$A11)*1))</f>
        <v>0</v>
      </c>
      <c r="O11" s="17" t="n">
        <f aca="false">IF($A11="","",SUMPRODUCT((KTN_TO=$A11)*(KT_NGUOI!$S$6:$S$100="x"))+SUMPRODUCT((KT_NGUOI!$S$6:$S$100=$A11)*1))</f>
        <v>0</v>
      </c>
      <c r="P11" s="17" t="n">
        <f aca="false">IF($A11="","",SUMPRODUCT((KTN_TO=$A11)*(KT_NGUOI!$T$6:$T$100="x"))+SUMPRODUCT((KT_NGUOI!$T$6:$T$100=$A11)*1))</f>
        <v>0</v>
      </c>
      <c r="Q11" s="17" t="n">
        <f aca="false">IF($A11="","",SUMPRODUCT((KTN_TO=$A11)*(KT_NGUOI!$U$6:$U$100="x"))+SUMPRODUCT((KT_NGUOI!$U$6:$U$100=$A11)*1))</f>
        <v>0</v>
      </c>
      <c r="R11" s="17" t="n">
        <f aca="false">IF($A11="","",SUMPRODUCT((KTN_TO=$A11)*(KT_NGUOI!$V$6:$V$100="x"))+SUMPRODUCT((KT_NGUOI!$V$6:$V$100=$A11)*1))</f>
        <v>0</v>
      </c>
      <c r="S11" s="17" t="n">
        <f aca="false">IF($A11="","",SUMPRODUCT((KTN_TO=$A11)*(KT_NGUOI!$W$6:$W$100="x"))+SUMPRODUCT((KT_NGUOI!$W$6:$W$100=$A11)*1))</f>
        <v>0</v>
      </c>
      <c r="T11" s="17" t="n">
        <f aca="false">IF($A11="","",SUMPRODUCT((KTN_TO=$A11)*(KT_NGUOI!$X$6:$X$100="x"))+SUMPRODUCT((KT_NGUOI!$X$6:$X$100=$A11)*1))</f>
        <v>0</v>
      </c>
      <c r="U11" s="17" t="n">
        <f aca="false">IF($A11="","",SUMPRODUCT((KTN_TO=$A11)*(KT_NGUOI!$Y$6:$Y$100="x"))+SUMPRODUCT((KT_NGUOI!$Y$6:$Y$100=$A11)*1))</f>
        <v>0</v>
      </c>
      <c r="V11" s="17" t="n">
        <f aca="false">IF($A11="","",SUMPRODUCT((KTN_TO=$A11)*(KT_NGUOI!$Z$6:$Z$100="x"))+SUMPRODUCT((KT_NGUOI!$Z$6:$Z$100=$A11)*1))</f>
        <v>0</v>
      </c>
      <c r="W11" s="17" t="n">
        <f aca="false">IF($A11="","",SUMPRODUCT((KTN_TO=$A11)*(KT_NGUOI!$AA$6:$AA$100="x"))+SUMPRODUCT((KT_NGUOI!$AA$6:$AA$100=$A11)*1))</f>
        <v>0</v>
      </c>
      <c r="X11" s="17" t="n">
        <f aca="false">IF($A11="","",SUMPRODUCT((KTN_TO=$A11)*(KT_NGUOI!$AB$6:$AB$100="x"))+SUMPRODUCT((KT_NGUOI!$AB$6:$AB$100=$A11)*1))</f>
        <v>0</v>
      </c>
      <c r="Y11" s="17" t="n">
        <f aca="false">IF($A11="","",SUMPRODUCT((KTN_TO=$A11)*(KT_NGUOI!$AC$6:$AC$100="x"))+SUMPRODUCT((KT_NGUOI!$AC$6:$AC$100=$A11)*1))</f>
        <v>0</v>
      </c>
      <c r="Z11" s="17" t="n">
        <f aca="false">IF($A11="","",SUMPRODUCT((KTN_TO=$A11)*(KT_NGUOI!$AD$6:$AD$100="x"))+SUMPRODUCT((KT_NGUOI!$AD$6:$AD$100=$A11)*1))</f>
        <v>0</v>
      </c>
      <c r="AA11" s="17" t="n">
        <f aca="false">IF($A11="","",SUMPRODUCT((KTN_TO=$A11)*(KT_NGUOI!$AE$6:$AE$100="x"))+SUMPRODUCT((KT_NGUOI!$AE$6:$AE$100=$A11)*1))</f>
        <v>0</v>
      </c>
      <c r="AB11" s="17" t="n">
        <f aca="false">IF($A11="","",SUMPRODUCT((KTN_TO=$A11)*(KT_NGUOI!$AF$6:$AF$100="x"))+SUMPRODUCT((KT_NGUOI!$AF$6:$AF$100=$A11)*1))</f>
        <v>0</v>
      </c>
      <c r="AC11" s="17" t="n">
        <f aca="false">IF($A11="","",SUMPRODUCT((KTN_TO=$A11)*(KT_NGUOI!$AG$6:$AG$100="x"))+SUMPRODUCT((KT_NGUOI!$AG$6:$AG$100=$A11)*1))</f>
        <v>0</v>
      </c>
      <c r="AD11" s="17" t="n">
        <f aca="false">IF($A11="","",SUMPRODUCT((KTN_TO=$A11)*(KT_NGUOI!$AH$6:$AH$100="x"))+SUMPRODUCT((KT_NGUOI!$AH$6:$AH$100=$A11)*1))</f>
        <v>0</v>
      </c>
      <c r="AE11" s="17" t="n">
        <f aca="false">IF($A11="","",SUMPRODUCT((KTN_TO=$A11)*(KT_NGUOI!$AI$6:$AI$100="x"))+SUMPRODUCT((KT_NGUOI!$AI$6:$AI$100=$A11)*1))</f>
        <v>0</v>
      </c>
      <c r="AF11" s="17" t="n">
        <f aca="false">IF($A11="","",SUMPRODUCT((KTN_TO=$A11)*(KT_NGUOI!$AJ$6:$AJ$100="x"))+SUMPRODUCT((KT_NGUOI!$AJ$6:$AJ$100=$A11)*1))</f>
        <v>0</v>
      </c>
    </row>
    <row r="12" customFormat="false" ht="15" hidden="false" customHeight="false" outlineLevel="0" collapsed="false">
      <c r="A12" s="10" t="s">
        <v>316</v>
      </c>
      <c r="B12" s="17" t="n">
        <f aca="false">IF($A12="","",SUMPRODUCT((KTN_TO=$A12)*(KT_NGUOI!$F$6:$F$100="x"))+SUMPRODUCT((KT_NGUOI!$F$6:$F$100=$A12)*1))</f>
        <v>0</v>
      </c>
      <c r="C12" s="17" t="n">
        <f aca="false">IF($A12="","",SUMPRODUCT((KTN_TO=$A12)*(KT_NGUOI!$G$6:$G$100="x"))+SUMPRODUCT((KT_NGUOI!$G$6:$G$100=$A12)*1))</f>
        <v>0</v>
      </c>
      <c r="D12" s="17" t="n">
        <f aca="false">IF($A12="","",SUMPRODUCT((KTN_TO=$A12)*(KT_NGUOI!$H$6:$H$100="x"))+SUMPRODUCT((KT_NGUOI!$H$6:$H$100=$A12)*1))</f>
        <v>0</v>
      </c>
      <c r="E12" s="17" t="n">
        <f aca="false">IF($A12="","",SUMPRODUCT((KTN_TO=$A12)*(KT_NGUOI!$I$6:$I$100="x"))+SUMPRODUCT((KT_NGUOI!$I$6:$I$100=$A12)*1))</f>
        <v>0</v>
      </c>
      <c r="F12" s="17" t="n">
        <f aca="false">IF($A12="","",SUMPRODUCT((KTN_TO=$A12)*(KT_NGUOI!$J$6:$J$100="x"))+SUMPRODUCT((KT_NGUOI!$J$6:$J$100=$A12)*1))</f>
        <v>0</v>
      </c>
      <c r="G12" s="17" t="n">
        <f aca="false">IF($A12="","",SUMPRODUCT((KTN_TO=$A12)*(KT_NGUOI!$K$6:$K$100="x"))+SUMPRODUCT((KT_NGUOI!$K$6:$K$100=$A12)*1))</f>
        <v>0</v>
      </c>
      <c r="H12" s="17" t="n">
        <f aca="false">IF($A12="","",SUMPRODUCT((KTN_TO=$A12)*(KT_NGUOI!$L$6:$L$100="x"))+SUMPRODUCT((KT_NGUOI!$L$6:$L$100=$A12)*1))</f>
        <v>0</v>
      </c>
      <c r="I12" s="17" t="n">
        <f aca="false">IF($A12="","",SUMPRODUCT((KTN_TO=$A12)*(KT_NGUOI!$M$6:$M$100="x"))+SUMPRODUCT((KT_NGUOI!$M$6:$M$100=$A12)*1))</f>
        <v>0</v>
      </c>
      <c r="J12" s="17" t="n">
        <f aca="false">IF($A12="","",SUMPRODUCT((KTN_TO=$A12)*(KT_NGUOI!$N$6:$N$100="x"))+SUMPRODUCT((KT_NGUOI!$N$6:$N$100=$A12)*1))</f>
        <v>0</v>
      </c>
      <c r="K12" s="17" t="n">
        <f aca="false">IF($A12="","",SUMPRODUCT((KTN_TO=$A12)*(KT_NGUOI!$O$6:$O$100="x"))+SUMPRODUCT((KT_NGUOI!$O$6:$O$100=$A12)*1))</f>
        <v>0</v>
      </c>
      <c r="L12" s="17" t="n">
        <f aca="false">IF($A12="","",SUMPRODUCT((KTN_TO=$A12)*(KT_NGUOI!$P$6:$P$100="x"))+SUMPRODUCT((KT_NGUOI!$P$6:$P$100=$A12)*1))</f>
        <v>0</v>
      </c>
      <c r="M12" s="17" t="n">
        <f aca="false">IF($A12="","",SUMPRODUCT((KTN_TO=$A12)*(KT_NGUOI!$Q$6:$Q$100="x"))+SUMPRODUCT((KT_NGUOI!$Q$6:$Q$100=$A12)*1))</f>
        <v>0</v>
      </c>
      <c r="N12" s="17" t="n">
        <f aca="false">IF($A12="","",SUMPRODUCT((KTN_TO=$A12)*(KT_NGUOI!$R$6:$R$100="x"))+SUMPRODUCT((KT_NGUOI!$R$6:$R$100=$A12)*1))</f>
        <v>0</v>
      </c>
      <c r="O12" s="17" t="n">
        <f aca="false">IF($A12="","",SUMPRODUCT((KTN_TO=$A12)*(KT_NGUOI!$S$6:$S$100="x"))+SUMPRODUCT((KT_NGUOI!$S$6:$S$100=$A12)*1))</f>
        <v>0</v>
      </c>
      <c r="P12" s="17" t="n">
        <f aca="false">IF($A12="","",SUMPRODUCT((KTN_TO=$A12)*(KT_NGUOI!$T$6:$T$100="x"))+SUMPRODUCT((KT_NGUOI!$T$6:$T$100=$A12)*1))</f>
        <v>0</v>
      </c>
      <c r="Q12" s="17" t="n">
        <f aca="false">IF($A12="","",SUMPRODUCT((KTN_TO=$A12)*(KT_NGUOI!$U$6:$U$100="x"))+SUMPRODUCT((KT_NGUOI!$U$6:$U$100=$A12)*1))</f>
        <v>0</v>
      </c>
      <c r="R12" s="17" t="n">
        <f aca="false">IF($A12="","",SUMPRODUCT((KTN_TO=$A12)*(KT_NGUOI!$V$6:$V$100="x"))+SUMPRODUCT((KT_NGUOI!$V$6:$V$100=$A12)*1))</f>
        <v>0</v>
      </c>
      <c r="S12" s="17" t="n">
        <f aca="false">IF($A12="","",SUMPRODUCT((KTN_TO=$A12)*(KT_NGUOI!$W$6:$W$100="x"))+SUMPRODUCT((KT_NGUOI!$W$6:$W$100=$A12)*1))</f>
        <v>0</v>
      </c>
      <c r="T12" s="17" t="n">
        <f aca="false">IF($A12="","",SUMPRODUCT((KTN_TO=$A12)*(KT_NGUOI!$X$6:$X$100="x"))+SUMPRODUCT((KT_NGUOI!$X$6:$X$100=$A12)*1))</f>
        <v>0</v>
      </c>
      <c r="U12" s="17" t="n">
        <f aca="false">IF($A12="","",SUMPRODUCT((KTN_TO=$A12)*(KT_NGUOI!$Y$6:$Y$100="x"))+SUMPRODUCT((KT_NGUOI!$Y$6:$Y$100=$A12)*1))</f>
        <v>0</v>
      </c>
      <c r="V12" s="17" t="n">
        <f aca="false">IF($A12="","",SUMPRODUCT((KTN_TO=$A12)*(KT_NGUOI!$Z$6:$Z$100="x"))+SUMPRODUCT((KT_NGUOI!$Z$6:$Z$100=$A12)*1))</f>
        <v>0</v>
      </c>
      <c r="W12" s="17" t="n">
        <f aca="false">IF($A12="","",SUMPRODUCT((KTN_TO=$A12)*(KT_NGUOI!$AA$6:$AA$100="x"))+SUMPRODUCT((KT_NGUOI!$AA$6:$AA$100=$A12)*1))</f>
        <v>0</v>
      </c>
      <c r="X12" s="17" t="n">
        <f aca="false">IF($A12="","",SUMPRODUCT((KTN_TO=$A12)*(KT_NGUOI!$AB$6:$AB$100="x"))+SUMPRODUCT((KT_NGUOI!$AB$6:$AB$100=$A12)*1))</f>
        <v>0</v>
      </c>
      <c r="Y12" s="17" t="n">
        <f aca="false">IF($A12="","",SUMPRODUCT((KTN_TO=$A12)*(KT_NGUOI!$AC$6:$AC$100="x"))+SUMPRODUCT((KT_NGUOI!$AC$6:$AC$100=$A12)*1))</f>
        <v>0</v>
      </c>
      <c r="Z12" s="17" t="n">
        <f aca="false">IF($A12="","",SUMPRODUCT((KTN_TO=$A12)*(KT_NGUOI!$AD$6:$AD$100="x"))+SUMPRODUCT((KT_NGUOI!$AD$6:$AD$100=$A12)*1))</f>
        <v>0</v>
      </c>
      <c r="AA12" s="17" t="n">
        <f aca="false">IF($A12="","",SUMPRODUCT((KTN_TO=$A12)*(KT_NGUOI!$AE$6:$AE$100="x"))+SUMPRODUCT((KT_NGUOI!$AE$6:$AE$100=$A12)*1))</f>
        <v>0</v>
      </c>
      <c r="AB12" s="17" t="n">
        <f aca="false">IF($A12="","",SUMPRODUCT((KTN_TO=$A12)*(KT_NGUOI!$AF$6:$AF$100="x"))+SUMPRODUCT((KT_NGUOI!$AF$6:$AF$100=$A12)*1))</f>
        <v>0</v>
      </c>
      <c r="AC12" s="17" t="n">
        <f aca="false">IF($A12="","",SUMPRODUCT((KTN_TO=$A12)*(KT_NGUOI!$AG$6:$AG$100="x"))+SUMPRODUCT((KT_NGUOI!$AG$6:$AG$100=$A12)*1))</f>
        <v>0</v>
      </c>
      <c r="AD12" s="17" t="n">
        <f aca="false">IF($A12="","",SUMPRODUCT((KTN_TO=$A12)*(KT_NGUOI!$AH$6:$AH$100="x"))+SUMPRODUCT((KT_NGUOI!$AH$6:$AH$100=$A12)*1))</f>
        <v>0</v>
      </c>
      <c r="AE12" s="17" t="n">
        <f aca="false">IF($A12="","",SUMPRODUCT((KTN_TO=$A12)*(KT_NGUOI!$AI$6:$AI$100="x"))+SUMPRODUCT((KT_NGUOI!$AI$6:$AI$100=$A12)*1))</f>
        <v>0</v>
      </c>
      <c r="AF12" s="17" t="n">
        <f aca="false">IF($A12="","",SUMPRODUCT((KTN_TO=$A12)*(KT_NGUOI!$AJ$6:$AJ$100="x"))+SUMPRODUCT((KT_NGUOI!$AJ$6:$AJ$100=$A12)*1))</f>
        <v>0</v>
      </c>
    </row>
    <row r="13" customFormat="false" ht="15" hidden="false" customHeight="false" outlineLevel="0" collapsed="false">
      <c r="A13" s="10" t="s">
        <v>317</v>
      </c>
      <c r="B13" s="17" t="n">
        <f aca="false">IF($A13="","",SUMPRODUCT((KTN_TO=$A13)*(KT_NGUOI!$F$6:$F$100="x"))+SUMPRODUCT((KT_NGUOI!$F$6:$F$100=$A13)*1))</f>
        <v>0</v>
      </c>
      <c r="C13" s="17" t="n">
        <f aca="false">IF($A13="","",SUMPRODUCT((KTN_TO=$A13)*(KT_NGUOI!$G$6:$G$100="x"))+SUMPRODUCT((KT_NGUOI!$G$6:$G$100=$A13)*1))</f>
        <v>0</v>
      </c>
      <c r="D13" s="17" t="n">
        <f aca="false">IF($A13="","",SUMPRODUCT((KTN_TO=$A13)*(KT_NGUOI!$H$6:$H$100="x"))+SUMPRODUCT((KT_NGUOI!$H$6:$H$100=$A13)*1))</f>
        <v>0</v>
      </c>
      <c r="E13" s="17" t="n">
        <f aca="false">IF($A13="","",SUMPRODUCT((KTN_TO=$A13)*(KT_NGUOI!$I$6:$I$100="x"))+SUMPRODUCT((KT_NGUOI!$I$6:$I$100=$A13)*1))</f>
        <v>0</v>
      </c>
      <c r="F13" s="17" t="n">
        <f aca="false">IF($A13="","",SUMPRODUCT((KTN_TO=$A13)*(KT_NGUOI!$J$6:$J$100="x"))+SUMPRODUCT((KT_NGUOI!$J$6:$J$100=$A13)*1))</f>
        <v>0</v>
      </c>
      <c r="G13" s="17" t="n">
        <f aca="false">IF($A13="","",SUMPRODUCT((KTN_TO=$A13)*(KT_NGUOI!$K$6:$K$100="x"))+SUMPRODUCT((KT_NGUOI!$K$6:$K$100=$A13)*1))</f>
        <v>0</v>
      </c>
      <c r="H13" s="17" t="n">
        <f aca="false">IF($A13="","",SUMPRODUCT((KTN_TO=$A13)*(KT_NGUOI!$L$6:$L$100="x"))+SUMPRODUCT((KT_NGUOI!$L$6:$L$100=$A13)*1))</f>
        <v>0</v>
      </c>
      <c r="I13" s="17" t="n">
        <f aca="false">IF($A13="","",SUMPRODUCT((KTN_TO=$A13)*(KT_NGUOI!$M$6:$M$100="x"))+SUMPRODUCT((KT_NGUOI!$M$6:$M$100=$A13)*1))</f>
        <v>0</v>
      </c>
      <c r="J13" s="17" t="n">
        <f aca="false">IF($A13="","",SUMPRODUCT((KTN_TO=$A13)*(KT_NGUOI!$N$6:$N$100="x"))+SUMPRODUCT((KT_NGUOI!$N$6:$N$100=$A13)*1))</f>
        <v>0</v>
      </c>
      <c r="K13" s="17" t="n">
        <f aca="false">IF($A13="","",SUMPRODUCT((KTN_TO=$A13)*(KT_NGUOI!$O$6:$O$100="x"))+SUMPRODUCT((KT_NGUOI!$O$6:$O$100=$A13)*1))</f>
        <v>0</v>
      </c>
      <c r="L13" s="17" t="n">
        <f aca="false">IF($A13="","",SUMPRODUCT((KTN_TO=$A13)*(KT_NGUOI!$P$6:$P$100="x"))+SUMPRODUCT((KT_NGUOI!$P$6:$P$100=$A13)*1))</f>
        <v>0</v>
      </c>
      <c r="M13" s="17" t="n">
        <f aca="false">IF($A13="","",SUMPRODUCT((KTN_TO=$A13)*(KT_NGUOI!$Q$6:$Q$100="x"))+SUMPRODUCT((KT_NGUOI!$Q$6:$Q$100=$A13)*1))</f>
        <v>0</v>
      </c>
      <c r="N13" s="17" t="n">
        <f aca="false">IF($A13="","",SUMPRODUCT((KTN_TO=$A13)*(KT_NGUOI!$R$6:$R$100="x"))+SUMPRODUCT((KT_NGUOI!$R$6:$R$100=$A13)*1))</f>
        <v>0</v>
      </c>
      <c r="O13" s="17" t="n">
        <f aca="false">IF($A13="","",SUMPRODUCT((KTN_TO=$A13)*(KT_NGUOI!$S$6:$S$100="x"))+SUMPRODUCT((KT_NGUOI!$S$6:$S$100=$A13)*1))</f>
        <v>0</v>
      </c>
      <c r="P13" s="17" t="n">
        <f aca="false">IF($A13="","",SUMPRODUCT((KTN_TO=$A13)*(KT_NGUOI!$T$6:$T$100="x"))+SUMPRODUCT((KT_NGUOI!$T$6:$T$100=$A13)*1))</f>
        <v>0</v>
      </c>
      <c r="Q13" s="17" t="n">
        <f aca="false">IF($A13="","",SUMPRODUCT((KTN_TO=$A13)*(KT_NGUOI!$U$6:$U$100="x"))+SUMPRODUCT((KT_NGUOI!$U$6:$U$100=$A13)*1))</f>
        <v>0</v>
      </c>
      <c r="R13" s="17" t="n">
        <f aca="false">IF($A13="","",SUMPRODUCT((KTN_TO=$A13)*(KT_NGUOI!$V$6:$V$100="x"))+SUMPRODUCT((KT_NGUOI!$V$6:$V$100=$A13)*1))</f>
        <v>0</v>
      </c>
      <c r="S13" s="17" t="n">
        <f aca="false">IF($A13="","",SUMPRODUCT((KTN_TO=$A13)*(KT_NGUOI!$W$6:$W$100="x"))+SUMPRODUCT((KT_NGUOI!$W$6:$W$100=$A13)*1))</f>
        <v>0</v>
      </c>
      <c r="T13" s="17" t="n">
        <f aca="false">IF($A13="","",SUMPRODUCT((KTN_TO=$A13)*(KT_NGUOI!$X$6:$X$100="x"))+SUMPRODUCT((KT_NGUOI!$X$6:$X$100=$A13)*1))</f>
        <v>0</v>
      </c>
      <c r="U13" s="17" t="n">
        <f aca="false">IF($A13="","",SUMPRODUCT((KTN_TO=$A13)*(KT_NGUOI!$Y$6:$Y$100="x"))+SUMPRODUCT((KT_NGUOI!$Y$6:$Y$100=$A13)*1))</f>
        <v>0</v>
      </c>
      <c r="V13" s="17" t="n">
        <f aca="false">IF($A13="","",SUMPRODUCT((KTN_TO=$A13)*(KT_NGUOI!$Z$6:$Z$100="x"))+SUMPRODUCT((KT_NGUOI!$Z$6:$Z$100=$A13)*1))</f>
        <v>0</v>
      </c>
      <c r="W13" s="17" t="n">
        <f aca="false">IF($A13="","",SUMPRODUCT((KTN_TO=$A13)*(KT_NGUOI!$AA$6:$AA$100="x"))+SUMPRODUCT((KT_NGUOI!$AA$6:$AA$100=$A13)*1))</f>
        <v>0</v>
      </c>
      <c r="X13" s="17" t="n">
        <f aca="false">IF($A13="","",SUMPRODUCT((KTN_TO=$A13)*(KT_NGUOI!$AB$6:$AB$100="x"))+SUMPRODUCT((KT_NGUOI!$AB$6:$AB$100=$A13)*1))</f>
        <v>0</v>
      </c>
      <c r="Y13" s="17" t="n">
        <f aca="false">IF($A13="","",SUMPRODUCT((KTN_TO=$A13)*(KT_NGUOI!$AC$6:$AC$100="x"))+SUMPRODUCT((KT_NGUOI!$AC$6:$AC$100=$A13)*1))</f>
        <v>0</v>
      </c>
      <c r="Z13" s="17" t="n">
        <f aca="false">IF($A13="","",SUMPRODUCT((KTN_TO=$A13)*(KT_NGUOI!$AD$6:$AD$100="x"))+SUMPRODUCT((KT_NGUOI!$AD$6:$AD$100=$A13)*1))</f>
        <v>0</v>
      </c>
      <c r="AA13" s="17" t="n">
        <f aca="false">IF($A13="","",SUMPRODUCT((KTN_TO=$A13)*(KT_NGUOI!$AE$6:$AE$100="x"))+SUMPRODUCT((KT_NGUOI!$AE$6:$AE$100=$A13)*1))</f>
        <v>0</v>
      </c>
      <c r="AB13" s="17" t="n">
        <f aca="false">IF($A13="","",SUMPRODUCT((KTN_TO=$A13)*(KT_NGUOI!$AF$6:$AF$100="x"))+SUMPRODUCT((KT_NGUOI!$AF$6:$AF$100=$A13)*1))</f>
        <v>0</v>
      </c>
      <c r="AC13" s="17" t="n">
        <f aca="false">IF($A13="","",SUMPRODUCT((KTN_TO=$A13)*(KT_NGUOI!$AG$6:$AG$100="x"))+SUMPRODUCT((KT_NGUOI!$AG$6:$AG$100=$A13)*1))</f>
        <v>0</v>
      </c>
      <c r="AD13" s="17" t="n">
        <f aca="false">IF($A13="","",SUMPRODUCT((KTN_TO=$A13)*(KT_NGUOI!$AH$6:$AH$100="x"))+SUMPRODUCT((KT_NGUOI!$AH$6:$AH$100=$A13)*1))</f>
        <v>0</v>
      </c>
      <c r="AE13" s="17" t="n">
        <f aca="false">IF($A13="","",SUMPRODUCT((KTN_TO=$A13)*(KT_NGUOI!$AI$6:$AI$100="x"))+SUMPRODUCT((KT_NGUOI!$AI$6:$AI$100=$A13)*1))</f>
        <v>0</v>
      </c>
      <c r="AF13" s="17" t="n">
        <f aca="false">IF($A13="","",SUMPRODUCT((KTN_TO=$A13)*(KT_NGUOI!$AJ$6:$AJ$100="x"))+SUMPRODUCT((KT_NGUOI!$AJ$6:$AJ$100=$A13)*1))</f>
        <v>0</v>
      </c>
    </row>
    <row r="14" customFormat="false" ht="15" hidden="false" customHeight="false" outlineLevel="0" collapsed="false">
      <c r="A14" s="10" t="s">
        <v>318</v>
      </c>
      <c r="B14" s="17" t="n">
        <f aca="false">IF($A14="","",SUMPRODUCT((KTN_TO=$A14)*(KT_NGUOI!$F$6:$F$100="x"))+SUMPRODUCT((KT_NGUOI!$F$6:$F$100=$A14)*1))</f>
        <v>0</v>
      </c>
      <c r="C14" s="17" t="n">
        <f aca="false">IF($A14="","",SUMPRODUCT((KTN_TO=$A14)*(KT_NGUOI!$G$6:$G$100="x"))+SUMPRODUCT((KT_NGUOI!$G$6:$G$100=$A14)*1))</f>
        <v>0</v>
      </c>
      <c r="D14" s="17" t="n">
        <f aca="false">IF($A14="","",SUMPRODUCT((KTN_TO=$A14)*(KT_NGUOI!$H$6:$H$100="x"))+SUMPRODUCT((KT_NGUOI!$H$6:$H$100=$A14)*1))</f>
        <v>0</v>
      </c>
      <c r="E14" s="17" t="n">
        <f aca="false">IF($A14="","",SUMPRODUCT((KTN_TO=$A14)*(KT_NGUOI!$I$6:$I$100="x"))+SUMPRODUCT((KT_NGUOI!$I$6:$I$100=$A14)*1))</f>
        <v>0</v>
      </c>
      <c r="F14" s="17" t="n">
        <f aca="false">IF($A14="","",SUMPRODUCT((KTN_TO=$A14)*(KT_NGUOI!$J$6:$J$100="x"))+SUMPRODUCT((KT_NGUOI!$J$6:$J$100=$A14)*1))</f>
        <v>0</v>
      </c>
      <c r="G14" s="17" t="n">
        <f aca="false">IF($A14="","",SUMPRODUCT((KTN_TO=$A14)*(KT_NGUOI!$K$6:$K$100="x"))+SUMPRODUCT((KT_NGUOI!$K$6:$K$100=$A14)*1))</f>
        <v>0</v>
      </c>
      <c r="H14" s="17" t="n">
        <f aca="false">IF($A14="","",SUMPRODUCT((KTN_TO=$A14)*(KT_NGUOI!$L$6:$L$100="x"))+SUMPRODUCT((KT_NGUOI!$L$6:$L$100=$A14)*1))</f>
        <v>0</v>
      </c>
      <c r="I14" s="17" t="n">
        <f aca="false">IF($A14="","",SUMPRODUCT((KTN_TO=$A14)*(KT_NGUOI!$M$6:$M$100="x"))+SUMPRODUCT((KT_NGUOI!$M$6:$M$100=$A14)*1))</f>
        <v>0</v>
      </c>
      <c r="J14" s="17" t="n">
        <f aca="false">IF($A14="","",SUMPRODUCT((KTN_TO=$A14)*(KT_NGUOI!$N$6:$N$100="x"))+SUMPRODUCT((KT_NGUOI!$N$6:$N$100=$A14)*1))</f>
        <v>0</v>
      </c>
      <c r="K14" s="17" t="n">
        <f aca="false">IF($A14="","",SUMPRODUCT((KTN_TO=$A14)*(KT_NGUOI!$O$6:$O$100="x"))+SUMPRODUCT((KT_NGUOI!$O$6:$O$100=$A14)*1))</f>
        <v>0</v>
      </c>
      <c r="L14" s="17" t="n">
        <f aca="false">IF($A14="","",SUMPRODUCT((KTN_TO=$A14)*(KT_NGUOI!$P$6:$P$100="x"))+SUMPRODUCT((KT_NGUOI!$P$6:$P$100=$A14)*1))</f>
        <v>0</v>
      </c>
      <c r="M14" s="17" t="n">
        <f aca="false">IF($A14="","",SUMPRODUCT((KTN_TO=$A14)*(KT_NGUOI!$Q$6:$Q$100="x"))+SUMPRODUCT((KT_NGUOI!$Q$6:$Q$100=$A14)*1))</f>
        <v>0</v>
      </c>
      <c r="N14" s="17" t="n">
        <f aca="false">IF($A14="","",SUMPRODUCT((KTN_TO=$A14)*(KT_NGUOI!$R$6:$R$100="x"))+SUMPRODUCT((KT_NGUOI!$R$6:$R$100=$A14)*1))</f>
        <v>0</v>
      </c>
      <c r="O14" s="17" t="n">
        <f aca="false">IF($A14="","",SUMPRODUCT((KTN_TO=$A14)*(KT_NGUOI!$S$6:$S$100="x"))+SUMPRODUCT((KT_NGUOI!$S$6:$S$100=$A14)*1))</f>
        <v>0</v>
      </c>
      <c r="P14" s="17" t="n">
        <f aca="false">IF($A14="","",SUMPRODUCT((KTN_TO=$A14)*(KT_NGUOI!$T$6:$T$100="x"))+SUMPRODUCT((KT_NGUOI!$T$6:$T$100=$A14)*1))</f>
        <v>0</v>
      </c>
      <c r="Q14" s="17" t="n">
        <f aca="false">IF($A14="","",SUMPRODUCT((KTN_TO=$A14)*(KT_NGUOI!$U$6:$U$100="x"))+SUMPRODUCT((KT_NGUOI!$U$6:$U$100=$A14)*1))</f>
        <v>0</v>
      </c>
      <c r="R14" s="17" t="n">
        <f aca="false">IF($A14="","",SUMPRODUCT((KTN_TO=$A14)*(KT_NGUOI!$V$6:$V$100="x"))+SUMPRODUCT((KT_NGUOI!$V$6:$V$100=$A14)*1))</f>
        <v>0</v>
      </c>
      <c r="S14" s="17" t="n">
        <f aca="false">IF($A14="","",SUMPRODUCT((KTN_TO=$A14)*(KT_NGUOI!$W$6:$W$100="x"))+SUMPRODUCT((KT_NGUOI!$W$6:$W$100=$A14)*1))</f>
        <v>0</v>
      </c>
      <c r="T14" s="17" t="n">
        <f aca="false">IF($A14="","",SUMPRODUCT((KTN_TO=$A14)*(KT_NGUOI!$X$6:$X$100="x"))+SUMPRODUCT((KT_NGUOI!$X$6:$X$100=$A14)*1))</f>
        <v>0</v>
      </c>
      <c r="U14" s="17" t="n">
        <f aca="false">IF($A14="","",SUMPRODUCT((KTN_TO=$A14)*(KT_NGUOI!$Y$6:$Y$100="x"))+SUMPRODUCT((KT_NGUOI!$Y$6:$Y$100=$A14)*1))</f>
        <v>0</v>
      </c>
      <c r="V14" s="17" t="n">
        <f aca="false">IF($A14="","",SUMPRODUCT((KTN_TO=$A14)*(KT_NGUOI!$Z$6:$Z$100="x"))+SUMPRODUCT((KT_NGUOI!$Z$6:$Z$100=$A14)*1))</f>
        <v>0</v>
      </c>
      <c r="W14" s="17" t="n">
        <f aca="false">IF($A14="","",SUMPRODUCT((KTN_TO=$A14)*(KT_NGUOI!$AA$6:$AA$100="x"))+SUMPRODUCT((KT_NGUOI!$AA$6:$AA$100=$A14)*1))</f>
        <v>0</v>
      </c>
      <c r="X14" s="17" t="n">
        <f aca="false">IF($A14="","",SUMPRODUCT((KTN_TO=$A14)*(KT_NGUOI!$AB$6:$AB$100="x"))+SUMPRODUCT((KT_NGUOI!$AB$6:$AB$100=$A14)*1))</f>
        <v>0</v>
      </c>
      <c r="Y14" s="17" t="n">
        <f aca="false">IF($A14="","",SUMPRODUCT((KTN_TO=$A14)*(KT_NGUOI!$AC$6:$AC$100="x"))+SUMPRODUCT((KT_NGUOI!$AC$6:$AC$100=$A14)*1))</f>
        <v>0</v>
      </c>
      <c r="Z14" s="17" t="n">
        <f aca="false">IF($A14="","",SUMPRODUCT((KTN_TO=$A14)*(KT_NGUOI!$AD$6:$AD$100="x"))+SUMPRODUCT((KT_NGUOI!$AD$6:$AD$100=$A14)*1))</f>
        <v>0</v>
      </c>
      <c r="AA14" s="17" t="n">
        <f aca="false">IF($A14="","",SUMPRODUCT((KTN_TO=$A14)*(KT_NGUOI!$AE$6:$AE$100="x"))+SUMPRODUCT((KT_NGUOI!$AE$6:$AE$100=$A14)*1))</f>
        <v>0</v>
      </c>
      <c r="AB14" s="17" t="n">
        <f aca="false">IF($A14="","",SUMPRODUCT((KTN_TO=$A14)*(KT_NGUOI!$AF$6:$AF$100="x"))+SUMPRODUCT((KT_NGUOI!$AF$6:$AF$100=$A14)*1))</f>
        <v>0</v>
      </c>
      <c r="AC14" s="17" t="n">
        <f aca="false">IF($A14="","",SUMPRODUCT((KTN_TO=$A14)*(KT_NGUOI!$AG$6:$AG$100="x"))+SUMPRODUCT((KT_NGUOI!$AG$6:$AG$100=$A14)*1))</f>
        <v>0</v>
      </c>
      <c r="AD14" s="17" t="n">
        <f aca="false">IF($A14="","",SUMPRODUCT((KTN_TO=$A14)*(KT_NGUOI!$AH$6:$AH$100="x"))+SUMPRODUCT((KT_NGUOI!$AH$6:$AH$100=$A14)*1))</f>
        <v>0</v>
      </c>
      <c r="AE14" s="17" t="n">
        <f aca="false">IF($A14="","",SUMPRODUCT((KTN_TO=$A14)*(KT_NGUOI!$AI$6:$AI$100="x"))+SUMPRODUCT((KT_NGUOI!$AI$6:$AI$100=$A14)*1))</f>
        <v>0</v>
      </c>
      <c r="AF14" s="17" t="n">
        <f aca="false">IF($A14="","",SUMPRODUCT((KTN_TO=$A14)*(KT_NGUOI!$AJ$6:$AJ$100="x"))+SUMPRODUCT((KT_NGUOI!$AJ$6:$AJ$100=$A14)*1))</f>
        <v>0</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2"/>
    <col collapsed="false" customWidth="true" hidden="false" outlineLevel="0" max="4" min="4" style="0" width="10"/>
    <col collapsed="false" customWidth="true" hidden="false" outlineLevel="0" max="5" min="5" style="0" width="8"/>
    <col collapsed="false" customWidth="true" hidden="false" outlineLevel="0" max="7" min="6" style="0" width="13"/>
    <col collapsed="false" customWidth="true" hidden="false" outlineLevel="0" max="8" min="8" style="0" width="60"/>
    <col collapsed="false" customWidth="true" hidden="false" outlineLevel="0" max="9" min="9" style="0" width="11"/>
    <col collapsed="false" customWidth="true" hidden="false" outlineLevel="0" max="10" min="10" style="0" width="20"/>
  </cols>
  <sheetData>
    <row r="1" customFormat="false" ht="17.35" hidden="false" customHeight="false" outlineLevel="0" collapsed="false">
      <c r="A1" s="1" t="s">
        <v>319</v>
      </c>
    </row>
    <row r="2" customFormat="false" ht="15" hidden="false" customHeight="false" outlineLevel="0" collapsed="false">
      <c r="A2" s="2" t="s">
        <v>320</v>
      </c>
    </row>
    <row r="4" customFormat="false" ht="39.75" hidden="false" customHeight="true" outlineLevel="0" collapsed="false">
      <c r="A4" s="14" t="s">
        <v>85</v>
      </c>
      <c r="B4" s="14" t="s">
        <v>86</v>
      </c>
      <c r="C4" s="14" t="s">
        <v>87</v>
      </c>
      <c r="D4" s="14" t="s">
        <v>278</v>
      </c>
      <c r="E4" s="14" t="s">
        <v>321</v>
      </c>
      <c r="F4" s="14" t="s">
        <v>322</v>
      </c>
      <c r="G4" s="14" t="s">
        <v>323</v>
      </c>
      <c r="H4" s="14" t="s">
        <v>324</v>
      </c>
      <c r="I4" s="14" t="s">
        <v>270</v>
      </c>
      <c r="J4" s="14" t="s">
        <v>97</v>
      </c>
    </row>
    <row r="5" customFormat="false" ht="15" hidden="false" customHeight="false" outlineLevel="0" collapsed="false">
      <c r="A5" s="17" t="n">
        <v>1</v>
      </c>
      <c r="B5" s="10" t="s">
        <v>104</v>
      </c>
      <c r="C5" s="17" t="str">
        <f aca="false">IF(B5="","",IFERROR(INDEX(NV_TEN,MATCH(B5,NV_MA,0)),"MÃ KHÔNG CÓ"))</f>
        <v>Lê Văn Nghị</v>
      </c>
      <c r="D5" s="10" t="s">
        <v>325</v>
      </c>
      <c r="E5" s="10" t="s">
        <v>326</v>
      </c>
      <c r="F5" s="18" t="n">
        <v>1000000</v>
      </c>
      <c r="G5" s="27" t="n">
        <f aca="false">IF(F5="","",IF(E5="LAK",F5*TYGIA_LAK,F5))</f>
        <v>1000000</v>
      </c>
      <c r="H5" s="10" t="s">
        <v>327</v>
      </c>
      <c r="I5" s="10" t="s">
        <v>328</v>
      </c>
      <c r="J5" s="10"/>
    </row>
    <row r="6" customFormat="false" ht="15" hidden="false" customHeight="false" outlineLevel="0" collapsed="false">
      <c r="A6" s="17" t="n">
        <v>2</v>
      </c>
      <c r="B6" s="10" t="s">
        <v>137</v>
      </c>
      <c r="C6" s="17" t="str">
        <f aca="false">IF(B6="","",IFERROR(INDEX(NV_TEN,MATCH(B6,NV_MA,0)),"MÃ KHÔNG CÓ"))</f>
        <v>Lê Minh Chai</v>
      </c>
      <c r="D6" s="10" t="s">
        <v>325</v>
      </c>
      <c r="E6" s="10" t="s">
        <v>326</v>
      </c>
      <c r="F6" s="18" t="n">
        <v>500000</v>
      </c>
      <c r="G6" s="27" t="n">
        <f aca="false">IF(F6="","",IF(E6="LAK",F6*TYGIA_LAK,F6))</f>
        <v>500000</v>
      </c>
      <c r="H6" s="10" t="s">
        <v>329</v>
      </c>
      <c r="I6" s="10" t="s">
        <v>328</v>
      </c>
      <c r="J6" s="10"/>
    </row>
    <row r="7" customFormat="false" ht="15" hidden="false" customHeight="false" outlineLevel="0" collapsed="false">
      <c r="A7" s="17" t="n">
        <v>3</v>
      </c>
      <c r="B7" s="10" t="s">
        <v>212</v>
      </c>
      <c r="C7" s="17" t="str">
        <f aca="false">IF(B7="","",IFERROR(INDEX(NV_TEN,MATCH(B7,NV_MA,0)),"MÃ KHÔNG CÓ"))</f>
        <v>Nghen</v>
      </c>
      <c r="D7" s="10" t="s">
        <v>325</v>
      </c>
      <c r="E7" s="10" t="s">
        <v>330</v>
      </c>
      <c r="F7" s="18" t="n">
        <v>80000</v>
      </c>
      <c r="G7" s="27" t="n">
        <f aca="false">IF(F7="","",IF(E7="LAK",F7*TYGIA_LAK,F7))</f>
        <v>92000</v>
      </c>
      <c r="H7" s="10" t="s">
        <v>331</v>
      </c>
      <c r="I7" s="10"/>
      <c r="J7" s="10"/>
    </row>
    <row r="8" customFormat="false" ht="15" hidden="false" customHeight="false" outlineLevel="0" collapsed="false">
      <c r="A8" s="17" t="str">
        <f aca="false">IF(B8="","",ROW()-4)</f>
        <v/>
      </c>
      <c r="B8" s="10"/>
      <c r="C8" s="17" t="str">
        <f aca="false">IF(B8="","",IFERROR(INDEX(NV_TEN,MATCH(B8,NV_MA,0)),"MÃ KHÔNG CÓ"))</f>
        <v/>
      </c>
      <c r="D8" s="10"/>
      <c r="E8" s="10"/>
      <c r="F8" s="18"/>
      <c r="G8" s="27" t="str">
        <f aca="false">IF(F8="","",IF(E8="LAK",F8*TYGIA_LAK,F8))</f>
        <v/>
      </c>
      <c r="H8" s="10"/>
      <c r="I8" s="10"/>
      <c r="J8" s="10"/>
    </row>
    <row r="9" customFormat="false" ht="15" hidden="false" customHeight="false" outlineLevel="0" collapsed="false">
      <c r="A9" s="17" t="str">
        <f aca="false">IF(B9="","",ROW()-4)</f>
        <v/>
      </c>
      <c r="B9" s="10"/>
      <c r="C9" s="17" t="str">
        <f aca="false">IF(B9="","",IFERROR(INDEX(NV_TEN,MATCH(B9,NV_MA,0)),"MÃ KHÔNG CÓ"))</f>
        <v/>
      </c>
      <c r="D9" s="10"/>
      <c r="E9" s="10"/>
      <c r="F9" s="18"/>
      <c r="G9" s="27" t="str">
        <f aca="false">IF(F9="","",IF(E9="LAK",F9*TYGIA_LAK,F9))</f>
        <v/>
      </c>
      <c r="H9" s="10"/>
      <c r="I9" s="10"/>
      <c r="J9" s="10"/>
    </row>
    <row r="10" customFormat="false" ht="15" hidden="false" customHeight="false" outlineLevel="0" collapsed="false">
      <c r="A10" s="17" t="str">
        <f aca="false">IF(B10="","",ROW()-4)</f>
        <v/>
      </c>
      <c r="B10" s="10"/>
      <c r="C10" s="17" t="str">
        <f aca="false">IF(B10="","",IFERROR(INDEX(NV_TEN,MATCH(B10,NV_MA,0)),"MÃ KHÔNG CÓ"))</f>
        <v/>
      </c>
      <c r="D10" s="10"/>
      <c r="E10" s="10"/>
      <c r="F10" s="18"/>
      <c r="G10" s="27" t="str">
        <f aca="false">IF(F10="","",IF(E10="LAK",F10*TYGIA_LAK,F10))</f>
        <v/>
      </c>
      <c r="H10" s="10"/>
      <c r="I10" s="10"/>
      <c r="J10" s="10"/>
    </row>
    <row r="11" customFormat="false" ht="15" hidden="false" customHeight="false" outlineLevel="0" collapsed="false">
      <c r="A11" s="17" t="str">
        <f aca="false">IF(B11="","",ROW()-4)</f>
        <v/>
      </c>
      <c r="B11" s="10"/>
      <c r="C11" s="17" t="str">
        <f aca="false">IF(B11="","",IFERROR(INDEX(NV_TEN,MATCH(B11,NV_MA,0)),"MÃ KHÔNG CÓ"))</f>
        <v/>
      </c>
      <c r="D11" s="10"/>
      <c r="E11" s="10"/>
      <c r="F11" s="18"/>
      <c r="G11" s="27" t="str">
        <f aca="false">IF(F11="","",IF(E11="LAK",F11*TYGIA_LAK,F11))</f>
        <v/>
      </c>
      <c r="H11" s="10"/>
      <c r="I11" s="10"/>
      <c r="J11" s="10"/>
    </row>
    <row r="12" customFormat="false" ht="15" hidden="false" customHeight="false" outlineLevel="0" collapsed="false">
      <c r="A12" s="17" t="str">
        <f aca="false">IF(B12="","",ROW()-4)</f>
        <v/>
      </c>
      <c r="B12" s="10"/>
      <c r="C12" s="17" t="str">
        <f aca="false">IF(B12="","",IFERROR(INDEX(NV_TEN,MATCH(B12,NV_MA,0)),"MÃ KHÔNG CÓ"))</f>
        <v/>
      </c>
      <c r="D12" s="10"/>
      <c r="E12" s="10"/>
      <c r="F12" s="18"/>
      <c r="G12" s="27" t="str">
        <f aca="false">IF(F12="","",IF(E12="LAK",F12*TYGIA_LAK,F12))</f>
        <v/>
      </c>
      <c r="H12" s="10"/>
      <c r="I12" s="10"/>
      <c r="J12" s="10"/>
    </row>
    <row r="13" customFormat="false" ht="15" hidden="false" customHeight="false" outlineLevel="0" collapsed="false">
      <c r="A13" s="17" t="str">
        <f aca="false">IF(B13="","",ROW()-4)</f>
        <v/>
      </c>
      <c r="B13" s="10"/>
      <c r="C13" s="17" t="str">
        <f aca="false">IF(B13="","",IFERROR(INDEX(NV_TEN,MATCH(B13,NV_MA,0)),"MÃ KHÔNG CÓ"))</f>
        <v/>
      </c>
      <c r="D13" s="10"/>
      <c r="E13" s="10"/>
      <c r="F13" s="18"/>
      <c r="G13" s="27" t="str">
        <f aca="false">IF(F13="","",IF(E13="LAK",F13*TYGIA_LAK,F13))</f>
        <v/>
      </c>
      <c r="H13" s="10"/>
      <c r="I13" s="10"/>
      <c r="J13" s="10"/>
    </row>
    <row r="14" customFormat="false" ht="15" hidden="false" customHeight="false" outlineLevel="0" collapsed="false">
      <c r="A14" s="17" t="str">
        <f aca="false">IF(B14="","",ROW()-4)</f>
        <v/>
      </c>
      <c r="B14" s="10"/>
      <c r="C14" s="17" t="str">
        <f aca="false">IF(B14="","",IFERROR(INDEX(NV_TEN,MATCH(B14,NV_MA,0)),"MÃ KHÔNG CÓ"))</f>
        <v/>
      </c>
      <c r="D14" s="10"/>
      <c r="E14" s="10"/>
      <c r="F14" s="18"/>
      <c r="G14" s="27" t="str">
        <f aca="false">IF(F14="","",IF(E14="LAK",F14*TYGIA_LAK,F14))</f>
        <v/>
      </c>
      <c r="H14" s="10"/>
      <c r="I14" s="10"/>
      <c r="J14" s="10"/>
    </row>
    <row r="15" customFormat="false" ht="15" hidden="false" customHeight="false" outlineLevel="0" collapsed="false">
      <c r="A15" s="17" t="str">
        <f aca="false">IF(B15="","",ROW()-4)</f>
        <v/>
      </c>
      <c r="B15" s="10"/>
      <c r="C15" s="17" t="str">
        <f aca="false">IF(B15="","",IFERROR(INDEX(NV_TEN,MATCH(B15,NV_MA,0)),"MÃ KHÔNG CÓ"))</f>
        <v/>
      </c>
      <c r="D15" s="10"/>
      <c r="E15" s="10"/>
      <c r="F15" s="18"/>
      <c r="G15" s="27" t="str">
        <f aca="false">IF(F15="","",IF(E15="LAK",F15*TYGIA_LAK,F15))</f>
        <v/>
      </c>
      <c r="H15" s="10"/>
      <c r="I15" s="10"/>
      <c r="J15" s="10"/>
    </row>
    <row r="16" customFormat="false" ht="15" hidden="false" customHeight="false" outlineLevel="0" collapsed="false">
      <c r="A16" s="17" t="str">
        <f aca="false">IF(B16="","",ROW()-4)</f>
        <v/>
      </c>
      <c r="B16" s="10"/>
      <c r="C16" s="17" t="str">
        <f aca="false">IF(B16="","",IFERROR(INDEX(NV_TEN,MATCH(B16,NV_MA,0)),"MÃ KHÔNG CÓ"))</f>
        <v/>
      </c>
      <c r="D16" s="10"/>
      <c r="E16" s="10"/>
      <c r="F16" s="18"/>
      <c r="G16" s="27" t="str">
        <f aca="false">IF(F16="","",IF(E16="LAK",F16*TYGIA_LAK,F16))</f>
        <v/>
      </c>
      <c r="H16" s="10"/>
      <c r="I16" s="10"/>
      <c r="J16" s="10"/>
    </row>
    <row r="17" customFormat="false" ht="15" hidden="false" customHeight="false" outlineLevel="0" collapsed="false">
      <c r="A17" s="17" t="str">
        <f aca="false">IF(B17="","",ROW()-4)</f>
        <v/>
      </c>
      <c r="B17" s="10"/>
      <c r="C17" s="17" t="str">
        <f aca="false">IF(B17="","",IFERROR(INDEX(NV_TEN,MATCH(B17,NV_MA,0)),"MÃ KHÔNG CÓ"))</f>
        <v/>
      </c>
      <c r="D17" s="10"/>
      <c r="E17" s="10"/>
      <c r="F17" s="18"/>
      <c r="G17" s="27" t="str">
        <f aca="false">IF(F17="","",IF(E17="LAK",F17*TYGIA_LAK,F17))</f>
        <v/>
      </c>
      <c r="H17" s="10"/>
      <c r="I17" s="10"/>
      <c r="J17" s="10"/>
    </row>
    <row r="18" customFormat="false" ht="15" hidden="false" customHeight="false" outlineLevel="0" collapsed="false">
      <c r="A18" s="17" t="str">
        <f aca="false">IF(B18="","",ROW()-4)</f>
        <v/>
      </c>
      <c r="B18" s="10"/>
      <c r="C18" s="17" t="str">
        <f aca="false">IF(B18="","",IFERROR(INDEX(NV_TEN,MATCH(B18,NV_MA,0)),"MÃ KHÔNG CÓ"))</f>
        <v/>
      </c>
      <c r="D18" s="10"/>
      <c r="E18" s="10"/>
      <c r="F18" s="18"/>
      <c r="G18" s="27" t="str">
        <f aca="false">IF(F18="","",IF(E18="LAK",F18*TYGIA_LAK,F18))</f>
        <v/>
      </c>
      <c r="H18" s="10"/>
      <c r="I18" s="10"/>
      <c r="J18" s="10"/>
    </row>
    <row r="19" customFormat="false" ht="15" hidden="false" customHeight="false" outlineLevel="0" collapsed="false">
      <c r="A19" s="17" t="str">
        <f aca="false">IF(B19="","",ROW()-4)</f>
        <v/>
      </c>
      <c r="B19" s="10"/>
      <c r="C19" s="17" t="str">
        <f aca="false">IF(B19="","",IFERROR(INDEX(NV_TEN,MATCH(B19,NV_MA,0)),"MÃ KHÔNG CÓ"))</f>
        <v/>
      </c>
      <c r="D19" s="10"/>
      <c r="E19" s="10"/>
      <c r="F19" s="18"/>
      <c r="G19" s="27" t="str">
        <f aca="false">IF(F19="","",IF(E19="LAK",F19*TYGIA_LAK,F19))</f>
        <v/>
      </c>
      <c r="H19" s="10"/>
      <c r="I19" s="10"/>
      <c r="J19" s="10"/>
    </row>
    <row r="20" customFormat="false" ht="15" hidden="false" customHeight="false" outlineLevel="0" collapsed="false">
      <c r="A20" s="17" t="str">
        <f aca="false">IF(B20="","",ROW()-4)</f>
        <v/>
      </c>
      <c r="B20" s="10"/>
      <c r="C20" s="17" t="str">
        <f aca="false">IF(B20="","",IFERROR(INDEX(NV_TEN,MATCH(B20,NV_MA,0)),"MÃ KHÔNG CÓ"))</f>
        <v/>
      </c>
      <c r="D20" s="10"/>
      <c r="E20" s="10"/>
      <c r="F20" s="18"/>
      <c r="G20" s="27" t="str">
        <f aca="false">IF(F20="","",IF(E20="LAK",F20*TYGIA_LAK,F20))</f>
        <v/>
      </c>
      <c r="H20" s="10"/>
      <c r="I20" s="10"/>
      <c r="J20" s="10"/>
    </row>
    <row r="21" customFormat="false" ht="15" hidden="false" customHeight="false" outlineLevel="0" collapsed="false">
      <c r="A21" s="17" t="str">
        <f aca="false">IF(B21="","",ROW()-4)</f>
        <v/>
      </c>
      <c r="B21" s="10"/>
      <c r="C21" s="17" t="str">
        <f aca="false">IF(B21="","",IFERROR(INDEX(NV_TEN,MATCH(B21,NV_MA,0)),"MÃ KHÔNG CÓ"))</f>
        <v/>
      </c>
      <c r="D21" s="10"/>
      <c r="E21" s="10"/>
      <c r="F21" s="18"/>
      <c r="G21" s="27" t="str">
        <f aca="false">IF(F21="","",IF(E21="LAK",F21*TYGIA_LAK,F21))</f>
        <v/>
      </c>
      <c r="H21" s="10"/>
      <c r="I21" s="10"/>
      <c r="J21" s="10"/>
    </row>
    <row r="22" customFormat="false" ht="15" hidden="false" customHeight="false" outlineLevel="0" collapsed="false">
      <c r="A22" s="17" t="str">
        <f aca="false">IF(B22="","",ROW()-4)</f>
        <v/>
      </c>
      <c r="B22" s="10"/>
      <c r="C22" s="17" t="str">
        <f aca="false">IF(B22="","",IFERROR(INDEX(NV_TEN,MATCH(B22,NV_MA,0)),"MÃ KHÔNG CÓ"))</f>
        <v/>
      </c>
      <c r="D22" s="10"/>
      <c r="E22" s="10"/>
      <c r="F22" s="18"/>
      <c r="G22" s="27" t="str">
        <f aca="false">IF(F22="","",IF(E22="LAK",F22*TYGIA_LAK,F22))</f>
        <v/>
      </c>
      <c r="H22" s="10"/>
      <c r="I22" s="10"/>
      <c r="J22" s="10"/>
    </row>
    <row r="23" customFormat="false" ht="15" hidden="false" customHeight="false" outlineLevel="0" collapsed="false">
      <c r="A23" s="17" t="str">
        <f aca="false">IF(B23="","",ROW()-4)</f>
        <v/>
      </c>
      <c r="B23" s="10"/>
      <c r="C23" s="17" t="str">
        <f aca="false">IF(B23="","",IFERROR(INDEX(NV_TEN,MATCH(B23,NV_MA,0)),"MÃ KHÔNG CÓ"))</f>
        <v/>
      </c>
      <c r="D23" s="10"/>
      <c r="E23" s="10"/>
      <c r="F23" s="18"/>
      <c r="G23" s="27" t="str">
        <f aca="false">IF(F23="","",IF(E23="LAK",F23*TYGIA_LAK,F23))</f>
        <v/>
      </c>
      <c r="H23" s="10"/>
      <c r="I23" s="10"/>
      <c r="J23" s="10"/>
    </row>
    <row r="24" customFormat="false" ht="15" hidden="false" customHeight="false" outlineLevel="0" collapsed="false">
      <c r="A24" s="17" t="str">
        <f aca="false">IF(B24="","",ROW()-4)</f>
        <v/>
      </c>
      <c r="B24" s="10"/>
      <c r="C24" s="17" t="str">
        <f aca="false">IF(B24="","",IFERROR(INDEX(NV_TEN,MATCH(B24,NV_MA,0)),"MÃ KHÔNG CÓ"))</f>
        <v/>
      </c>
      <c r="D24" s="10"/>
      <c r="E24" s="10"/>
      <c r="F24" s="18"/>
      <c r="G24" s="27" t="str">
        <f aca="false">IF(F24="","",IF(E24="LAK",F24*TYGIA_LAK,F24))</f>
        <v/>
      </c>
      <c r="H24" s="10"/>
      <c r="I24" s="10"/>
      <c r="J24" s="10"/>
    </row>
    <row r="25" customFormat="false" ht="15" hidden="false" customHeight="false" outlineLevel="0" collapsed="false">
      <c r="A25" s="17" t="str">
        <f aca="false">IF(B25="","",ROW()-4)</f>
        <v/>
      </c>
      <c r="B25" s="10"/>
      <c r="C25" s="17" t="str">
        <f aca="false">IF(B25="","",IFERROR(INDEX(NV_TEN,MATCH(B25,NV_MA,0)),"MÃ KHÔNG CÓ"))</f>
        <v/>
      </c>
      <c r="D25" s="10"/>
      <c r="E25" s="10"/>
      <c r="F25" s="18"/>
      <c r="G25" s="27" t="str">
        <f aca="false">IF(F25="","",IF(E25="LAK",F25*TYGIA_LAK,F25))</f>
        <v/>
      </c>
      <c r="H25" s="10"/>
      <c r="I25" s="10"/>
      <c r="J25" s="10"/>
    </row>
    <row r="26" customFormat="false" ht="15" hidden="false" customHeight="false" outlineLevel="0" collapsed="false">
      <c r="A26" s="17" t="str">
        <f aca="false">IF(B26="","",ROW()-4)</f>
        <v/>
      </c>
      <c r="B26" s="10"/>
      <c r="C26" s="17" t="str">
        <f aca="false">IF(B26="","",IFERROR(INDEX(NV_TEN,MATCH(B26,NV_MA,0)),"MÃ KHÔNG CÓ"))</f>
        <v/>
      </c>
      <c r="D26" s="10"/>
      <c r="E26" s="10"/>
      <c r="F26" s="18"/>
      <c r="G26" s="27" t="str">
        <f aca="false">IF(F26="","",IF(E26="LAK",F26*TYGIA_LAK,F26))</f>
        <v/>
      </c>
      <c r="H26" s="10"/>
      <c r="I26" s="10"/>
      <c r="J26" s="10"/>
    </row>
    <row r="27" customFormat="false" ht="15" hidden="false" customHeight="false" outlineLevel="0" collapsed="false">
      <c r="A27" s="17" t="str">
        <f aca="false">IF(B27="","",ROW()-4)</f>
        <v/>
      </c>
      <c r="B27" s="10"/>
      <c r="C27" s="17" t="str">
        <f aca="false">IF(B27="","",IFERROR(INDEX(NV_TEN,MATCH(B27,NV_MA,0)),"MÃ KHÔNG CÓ"))</f>
        <v/>
      </c>
      <c r="D27" s="10"/>
      <c r="E27" s="10"/>
      <c r="F27" s="18"/>
      <c r="G27" s="27" t="str">
        <f aca="false">IF(F27="","",IF(E27="LAK",F27*TYGIA_LAK,F27))</f>
        <v/>
      </c>
      <c r="H27" s="10"/>
      <c r="I27" s="10"/>
      <c r="J27" s="10"/>
    </row>
    <row r="28" customFormat="false" ht="15" hidden="false" customHeight="false" outlineLevel="0" collapsed="false">
      <c r="A28" s="17" t="str">
        <f aca="false">IF(B28="","",ROW()-4)</f>
        <v/>
      </c>
      <c r="B28" s="10"/>
      <c r="C28" s="17" t="str">
        <f aca="false">IF(B28="","",IFERROR(INDEX(NV_TEN,MATCH(B28,NV_MA,0)),"MÃ KHÔNG CÓ"))</f>
        <v/>
      </c>
      <c r="D28" s="10"/>
      <c r="E28" s="10"/>
      <c r="F28" s="18"/>
      <c r="G28" s="27" t="str">
        <f aca="false">IF(F28="","",IF(E28="LAK",F28*TYGIA_LAK,F28))</f>
        <v/>
      </c>
      <c r="H28" s="10"/>
      <c r="I28" s="10"/>
      <c r="J28" s="10"/>
    </row>
    <row r="29" customFormat="false" ht="15" hidden="false" customHeight="false" outlineLevel="0" collapsed="false">
      <c r="A29" s="17" t="str">
        <f aca="false">IF(B29="","",ROW()-4)</f>
        <v/>
      </c>
      <c r="B29" s="10"/>
      <c r="C29" s="17" t="str">
        <f aca="false">IF(B29="","",IFERROR(INDEX(NV_TEN,MATCH(B29,NV_MA,0)),"MÃ KHÔNG CÓ"))</f>
        <v/>
      </c>
      <c r="D29" s="10"/>
      <c r="E29" s="10"/>
      <c r="F29" s="18"/>
      <c r="G29" s="27" t="str">
        <f aca="false">IF(F29="","",IF(E29="LAK",F29*TYGIA_LAK,F29))</f>
        <v/>
      </c>
      <c r="H29" s="10"/>
      <c r="I29" s="10"/>
      <c r="J29" s="10"/>
    </row>
    <row r="30" customFormat="false" ht="15" hidden="false" customHeight="false" outlineLevel="0" collapsed="false">
      <c r="A30" s="17" t="str">
        <f aca="false">IF(B30="","",ROW()-4)</f>
        <v/>
      </c>
      <c r="B30" s="10"/>
      <c r="C30" s="17" t="str">
        <f aca="false">IF(B30="","",IFERROR(INDEX(NV_TEN,MATCH(B30,NV_MA,0)),"MÃ KHÔNG CÓ"))</f>
        <v/>
      </c>
      <c r="D30" s="10"/>
      <c r="E30" s="10"/>
      <c r="F30" s="18"/>
      <c r="G30" s="27" t="str">
        <f aca="false">IF(F30="","",IF(E30="LAK",F30*TYGIA_LAK,F30))</f>
        <v/>
      </c>
      <c r="H30" s="10"/>
      <c r="I30" s="10"/>
      <c r="J30" s="10"/>
    </row>
    <row r="31" customFormat="false" ht="15" hidden="false" customHeight="false" outlineLevel="0" collapsed="false">
      <c r="A31" s="17" t="str">
        <f aca="false">IF(B31="","",ROW()-4)</f>
        <v/>
      </c>
      <c r="B31" s="10"/>
      <c r="C31" s="17" t="str">
        <f aca="false">IF(B31="","",IFERROR(INDEX(NV_TEN,MATCH(B31,NV_MA,0)),"MÃ KHÔNG CÓ"))</f>
        <v/>
      </c>
      <c r="D31" s="10"/>
      <c r="E31" s="10"/>
      <c r="F31" s="18"/>
      <c r="G31" s="27" t="str">
        <f aca="false">IF(F31="","",IF(E31="LAK",F31*TYGIA_LAK,F31))</f>
        <v/>
      </c>
      <c r="H31" s="10"/>
      <c r="I31" s="10"/>
      <c r="J31" s="10"/>
    </row>
    <row r="32" customFormat="false" ht="15" hidden="false" customHeight="false" outlineLevel="0" collapsed="false">
      <c r="A32" s="17" t="str">
        <f aca="false">IF(B32="","",ROW()-4)</f>
        <v/>
      </c>
      <c r="B32" s="10"/>
      <c r="C32" s="17" t="str">
        <f aca="false">IF(B32="","",IFERROR(INDEX(NV_TEN,MATCH(B32,NV_MA,0)),"MÃ KHÔNG CÓ"))</f>
        <v/>
      </c>
      <c r="D32" s="10"/>
      <c r="E32" s="10"/>
      <c r="F32" s="18"/>
      <c r="G32" s="27" t="str">
        <f aca="false">IF(F32="","",IF(E32="LAK",F32*TYGIA_LAK,F32))</f>
        <v/>
      </c>
      <c r="H32" s="10"/>
      <c r="I32" s="10"/>
      <c r="J32" s="10"/>
    </row>
    <row r="33" customFormat="false" ht="15" hidden="false" customHeight="false" outlineLevel="0" collapsed="false">
      <c r="A33" s="17" t="str">
        <f aca="false">IF(B33="","",ROW()-4)</f>
        <v/>
      </c>
      <c r="B33" s="10"/>
      <c r="C33" s="17" t="str">
        <f aca="false">IF(B33="","",IFERROR(INDEX(NV_TEN,MATCH(B33,NV_MA,0)),"MÃ KHÔNG CÓ"))</f>
        <v/>
      </c>
      <c r="D33" s="10"/>
      <c r="E33" s="10"/>
      <c r="F33" s="18"/>
      <c r="G33" s="27" t="str">
        <f aca="false">IF(F33="","",IF(E33="LAK",F33*TYGIA_LAK,F33))</f>
        <v/>
      </c>
      <c r="H33" s="10"/>
      <c r="I33" s="10"/>
      <c r="J33" s="10"/>
    </row>
    <row r="34" customFormat="false" ht="15" hidden="false" customHeight="false" outlineLevel="0" collapsed="false">
      <c r="A34" s="17" t="str">
        <f aca="false">IF(B34="","",ROW()-4)</f>
        <v/>
      </c>
      <c r="B34" s="10"/>
      <c r="C34" s="17" t="str">
        <f aca="false">IF(B34="","",IFERROR(INDEX(NV_TEN,MATCH(B34,NV_MA,0)),"MÃ KHÔNG CÓ"))</f>
        <v/>
      </c>
      <c r="D34" s="10"/>
      <c r="E34" s="10"/>
      <c r="F34" s="18"/>
      <c r="G34" s="27" t="str">
        <f aca="false">IF(F34="","",IF(E34="LAK",F34*TYGIA_LAK,F34))</f>
        <v/>
      </c>
      <c r="H34" s="10"/>
      <c r="I34" s="10"/>
      <c r="J34" s="10"/>
    </row>
    <row r="35" customFormat="false" ht="15" hidden="false" customHeight="false" outlineLevel="0" collapsed="false">
      <c r="A35" s="17" t="str">
        <f aca="false">IF(B35="","",ROW()-4)</f>
        <v/>
      </c>
      <c r="B35" s="10"/>
      <c r="C35" s="17" t="str">
        <f aca="false">IF(B35="","",IFERROR(INDEX(NV_TEN,MATCH(B35,NV_MA,0)),"MÃ KHÔNG CÓ"))</f>
        <v/>
      </c>
      <c r="D35" s="10"/>
      <c r="E35" s="10"/>
      <c r="F35" s="18"/>
      <c r="G35" s="27" t="str">
        <f aca="false">IF(F35="","",IF(E35="LAK",F35*TYGIA_LAK,F35))</f>
        <v/>
      </c>
      <c r="H35" s="10"/>
      <c r="I35" s="10"/>
      <c r="J35" s="10"/>
    </row>
    <row r="36" customFormat="false" ht="15" hidden="false" customHeight="false" outlineLevel="0" collapsed="false">
      <c r="A36" s="17" t="str">
        <f aca="false">IF(B36="","",ROW()-4)</f>
        <v/>
      </c>
      <c r="B36" s="10"/>
      <c r="C36" s="17" t="str">
        <f aca="false">IF(B36="","",IFERROR(INDEX(NV_TEN,MATCH(B36,NV_MA,0)),"MÃ KHÔNG CÓ"))</f>
        <v/>
      </c>
      <c r="D36" s="10"/>
      <c r="E36" s="10"/>
      <c r="F36" s="18"/>
      <c r="G36" s="27" t="str">
        <f aca="false">IF(F36="","",IF(E36="LAK",F36*TYGIA_LAK,F36))</f>
        <v/>
      </c>
      <c r="H36" s="10"/>
      <c r="I36" s="10"/>
      <c r="J36" s="10"/>
    </row>
    <row r="37" customFormat="false" ht="15" hidden="false" customHeight="false" outlineLevel="0" collapsed="false">
      <c r="A37" s="17" t="str">
        <f aca="false">IF(B37="","",ROW()-4)</f>
        <v/>
      </c>
      <c r="B37" s="10"/>
      <c r="C37" s="17" t="str">
        <f aca="false">IF(B37="","",IFERROR(INDEX(NV_TEN,MATCH(B37,NV_MA,0)),"MÃ KHÔNG CÓ"))</f>
        <v/>
      </c>
      <c r="D37" s="10"/>
      <c r="E37" s="10"/>
      <c r="F37" s="18"/>
      <c r="G37" s="27" t="str">
        <f aca="false">IF(F37="","",IF(E37="LAK",F37*TYGIA_LAK,F37))</f>
        <v/>
      </c>
      <c r="H37" s="10"/>
      <c r="I37" s="10"/>
      <c r="J37" s="10"/>
    </row>
    <row r="38" customFormat="false" ht="15" hidden="false" customHeight="false" outlineLevel="0" collapsed="false">
      <c r="A38" s="17" t="str">
        <f aca="false">IF(B38="","",ROW()-4)</f>
        <v/>
      </c>
      <c r="B38" s="10"/>
      <c r="C38" s="17" t="str">
        <f aca="false">IF(B38="","",IFERROR(INDEX(NV_TEN,MATCH(B38,NV_MA,0)),"MÃ KHÔNG CÓ"))</f>
        <v/>
      </c>
      <c r="D38" s="10"/>
      <c r="E38" s="10"/>
      <c r="F38" s="18"/>
      <c r="G38" s="27" t="str">
        <f aca="false">IF(F38="","",IF(E38="LAK",F38*TYGIA_LAK,F38))</f>
        <v/>
      </c>
      <c r="H38" s="10"/>
      <c r="I38" s="10"/>
      <c r="J38" s="10"/>
    </row>
    <row r="39" customFormat="false" ht="15" hidden="false" customHeight="false" outlineLevel="0" collapsed="false">
      <c r="A39" s="17" t="str">
        <f aca="false">IF(B39="","",ROW()-4)</f>
        <v/>
      </c>
      <c r="B39" s="10"/>
      <c r="C39" s="17" t="str">
        <f aca="false">IF(B39="","",IFERROR(INDEX(NV_TEN,MATCH(B39,NV_MA,0)),"MÃ KHÔNG CÓ"))</f>
        <v/>
      </c>
      <c r="D39" s="10"/>
      <c r="E39" s="10"/>
      <c r="F39" s="18"/>
      <c r="G39" s="27" t="str">
        <f aca="false">IF(F39="","",IF(E39="LAK",F39*TYGIA_LAK,F39))</f>
        <v/>
      </c>
      <c r="H39" s="10"/>
      <c r="I39" s="10"/>
      <c r="J39" s="10"/>
    </row>
    <row r="40" customFormat="false" ht="15" hidden="false" customHeight="false" outlineLevel="0" collapsed="false">
      <c r="A40" s="17" t="str">
        <f aca="false">IF(B40="","",ROW()-4)</f>
        <v/>
      </c>
      <c r="B40" s="10"/>
      <c r="C40" s="17" t="str">
        <f aca="false">IF(B40="","",IFERROR(INDEX(NV_TEN,MATCH(B40,NV_MA,0)),"MÃ KHÔNG CÓ"))</f>
        <v/>
      </c>
      <c r="D40" s="10"/>
      <c r="E40" s="10"/>
      <c r="F40" s="18"/>
      <c r="G40" s="27" t="str">
        <f aca="false">IF(F40="","",IF(E40="LAK",F40*TYGIA_LAK,F40))</f>
        <v/>
      </c>
      <c r="H40" s="10"/>
      <c r="I40" s="10"/>
      <c r="J40" s="10"/>
    </row>
    <row r="41" customFormat="false" ht="15" hidden="false" customHeight="false" outlineLevel="0" collapsed="false">
      <c r="A41" s="17" t="str">
        <f aca="false">IF(B41="","",ROW()-4)</f>
        <v/>
      </c>
      <c r="B41" s="10"/>
      <c r="C41" s="17" t="str">
        <f aca="false">IF(B41="","",IFERROR(INDEX(NV_TEN,MATCH(B41,NV_MA,0)),"MÃ KHÔNG CÓ"))</f>
        <v/>
      </c>
      <c r="D41" s="10"/>
      <c r="E41" s="10"/>
      <c r="F41" s="18"/>
      <c r="G41" s="27" t="str">
        <f aca="false">IF(F41="","",IF(E41="LAK",F41*TYGIA_LAK,F41))</f>
        <v/>
      </c>
      <c r="H41" s="10"/>
      <c r="I41" s="10"/>
      <c r="J41" s="10"/>
    </row>
    <row r="42" customFormat="false" ht="15" hidden="false" customHeight="false" outlineLevel="0" collapsed="false">
      <c r="A42" s="17" t="str">
        <f aca="false">IF(B42="","",ROW()-4)</f>
        <v/>
      </c>
      <c r="B42" s="10"/>
      <c r="C42" s="17" t="str">
        <f aca="false">IF(B42="","",IFERROR(INDEX(NV_TEN,MATCH(B42,NV_MA,0)),"MÃ KHÔNG CÓ"))</f>
        <v/>
      </c>
      <c r="D42" s="10"/>
      <c r="E42" s="10"/>
      <c r="F42" s="18"/>
      <c r="G42" s="27" t="str">
        <f aca="false">IF(F42="","",IF(E42="LAK",F42*TYGIA_LAK,F42))</f>
        <v/>
      </c>
      <c r="H42" s="10"/>
      <c r="I42" s="10"/>
      <c r="J42" s="10"/>
    </row>
    <row r="43" customFormat="false" ht="15" hidden="false" customHeight="false" outlineLevel="0" collapsed="false">
      <c r="A43" s="17" t="str">
        <f aca="false">IF(B43="","",ROW()-4)</f>
        <v/>
      </c>
      <c r="B43" s="10"/>
      <c r="C43" s="17" t="str">
        <f aca="false">IF(B43="","",IFERROR(INDEX(NV_TEN,MATCH(B43,NV_MA,0)),"MÃ KHÔNG CÓ"))</f>
        <v/>
      </c>
      <c r="D43" s="10"/>
      <c r="E43" s="10"/>
      <c r="F43" s="18"/>
      <c r="G43" s="27" t="str">
        <f aca="false">IF(F43="","",IF(E43="LAK",F43*TYGIA_LAK,F43))</f>
        <v/>
      </c>
      <c r="H43" s="10"/>
      <c r="I43" s="10"/>
      <c r="J43" s="10"/>
    </row>
    <row r="44" customFormat="false" ht="15" hidden="false" customHeight="false" outlineLevel="0" collapsed="false">
      <c r="A44" s="17" t="str">
        <f aca="false">IF(B44="","",ROW()-4)</f>
        <v/>
      </c>
      <c r="B44" s="10"/>
      <c r="C44" s="17" t="str">
        <f aca="false">IF(B44="","",IFERROR(INDEX(NV_TEN,MATCH(B44,NV_MA,0)),"MÃ KHÔNG CÓ"))</f>
        <v/>
      </c>
      <c r="D44" s="10"/>
      <c r="E44" s="10"/>
      <c r="F44" s="18"/>
      <c r="G44" s="27" t="str">
        <f aca="false">IF(F44="","",IF(E44="LAK",F44*TYGIA_LAK,F44))</f>
        <v/>
      </c>
      <c r="H44" s="10"/>
      <c r="I44" s="10"/>
      <c r="J44" s="10"/>
    </row>
    <row r="45" customFormat="false" ht="15" hidden="false" customHeight="false" outlineLevel="0" collapsed="false">
      <c r="A45" s="17" t="str">
        <f aca="false">IF(B45="","",ROW()-4)</f>
        <v/>
      </c>
      <c r="B45" s="10"/>
      <c r="C45" s="17" t="str">
        <f aca="false">IF(B45="","",IFERROR(INDEX(NV_TEN,MATCH(B45,NV_MA,0)),"MÃ KHÔNG CÓ"))</f>
        <v/>
      </c>
      <c r="D45" s="10"/>
      <c r="E45" s="10"/>
      <c r="F45" s="18"/>
      <c r="G45" s="27" t="str">
        <f aca="false">IF(F45="","",IF(E45="LAK",F45*TYGIA_LAK,F45))</f>
        <v/>
      </c>
      <c r="H45" s="10"/>
      <c r="I45" s="10"/>
      <c r="J45" s="10"/>
    </row>
    <row r="46" customFormat="false" ht="15" hidden="false" customHeight="false" outlineLevel="0" collapsed="false">
      <c r="A46" s="17" t="str">
        <f aca="false">IF(B46="","",ROW()-4)</f>
        <v/>
      </c>
      <c r="B46" s="10"/>
      <c r="C46" s="17" t="str">
        <f aca="false">IF(B46="","",IFERROR(INDEX(NV_TEN,MATCH(B46,NV_MA,0)),"MÃ KHÔNG CÓ"))</f>
        <v/>
      </c>
      <c r="D46" s="10"/>
      <c r="E46" s="10"/>
      <c r="F46" s="18"/>
      <c r="G46" s="27" t="str">
        <f aca="false">IF(F46="","",IF(E46="LAK",F46*TYGIA_LAK,F46))</f>
        <v/>
      </c>
      <c r="H46" s="10"/>
      <c r="I46" s="10"/>
      <c r="J46" s="10"/>
    </row>
    <row r="47" customFormat="false" ht="15" hidden="false" customHeight="false" outlineLevel="0" collapsed="false">
      <c r="A47" s="17" t="str">
        <f aca="false">IF(B47="","",ROW()-4)</f>
        <v/>
      </c>
      <c r="B47" s="10"/>
      <c r="C47" s="17" t="str">
        <f aca="false">IF(B47="","",IFERROR(INDEX(NV_TEN,MATCH(B47,NV_MA,0)),"MÃ KHÔNG CÓ"))</f>
        <v/>
      </c>
      <c r="D47" s="10"/>
      <c r="E47" s="10"/>
      <c r="F47" s="18"/>
      <c r="G47" s="27" t="str">
        <f aca="false">IF(F47="","",IF(E47="LAK",F47*TYGIA_LAK,F47))</f>
        <v/>
      </c>
      <c r="H47" s="10"/>
      <c r="I47" s="10"/>
      <c r="J47" s="10"/>
    </row>
    <row r="48" customFormat="false" ht="15" hidden="false" customHeight="false" outlineLevel="0" collapsed="false">
      <c r="A48" s="17" t="str">
        <f aca="false">IF(B48="","",ROW()-4)</f>
        <v/>
      </c>
      <c r="B48" s="10"/>
      <c r="C48" s="17" t="str">
        <f aca="false">IF(B48="","",IFERROR(INDEX(NV_TEN,MATCH(B48,NV_MA,0)),"MÃ KHÔNG CÓ"))</f>
        <v/>
      </c>
      <c r="D48" s="10"/>
      <c r="E48" s="10"/>
      <c r="F48" s="18"/>
      <c r="G48" s="27" t="str">
        <f aca="false">IF(F48="","",IF(E48="LAK",F48*TYGIA_LAK,F48))</f>
        <v/>
      </c>
      <c r="H48" s="10"/>
      <c r="I48" s="10"/>
      <c r="J48" s="10"/>
    </row>
    <row r="49" customFormat="false" ht="15" hidden="false" customHeight="false" outlineLevel="0" collapsed="false">
      <c r="A49" s="17" t="str">
        <f aca="false">IF(B49="","",ROW()-4)</f>
        <v/>
      </c>
      <c r="B49" s="10"/>
      <c r="C49" s="17" t="str">
        <f aca="false">IF(B49="","",IFERROR(INDEX(NV_TEN,MATCH(B49,NV_MA,0)),"MÃ KHÔNG CÓ"))</f>
        <v/>
      </c>
      <c r="D49" s="10"/>
      <c r="E49" s="10"/>
      <c r="F49" s="18"/>
      <c r="G49" s="27" t="str">
        <f aca="false">IF(F49="","",IF(E49="LAK",F49*TYGIA_LAK,F49))</f>
        <v/>
      </c>
      <c r="H49" s="10"/>
      <c r="I49" s="10"/>
      <c r="J49" s="10"/>
    </row>
    <row r="50" customFormat="false" ht="15" hidden="false" customHeight="false" outlineLevel="0" collapsed="false">
      <c r="A50" s="17" t="str">
        <f aca="false">IF(B50="","",ROW()-4)</f>
        <v/>
      </c>
      <c r="B50" s="10"/>
      <c r="C50" s="17" t="str">
        <f aca="false">IF(B50="","",IFERROR(INDEX(NV_TEN,MATCH(B50,NV_MA,0)),"MÃ KHÔNG CÓ"))</f>
        <v/>
      </c>
      <c r="D50" s="10"/>
      <c r="E50" s="10"/>
      <c r="F50" s="18"/>
      <c r="G50" s="27" t="str">
        <f aca="false">IF(F50="","",IF(E50="LAK",F50*TYGIA_LAK,F50))</f>
        <v/>
      </c>
      <c r="H50" s="10"/>
      <c r="I50" s="10"/>
      <c r="J50" s="10"/>
    </row>
    <row r="51" customFormat="false" ht="15" hidden="false" customHeight="false" outlineLevel="0" collapsed="false">
      <c r="A51" s="17" t="str">
        <f aca="false">IF(B51="","",ROW()-4)</f>
        <v/>
      </c>
      <c r="B51" s="10"/>
      <c r="C51" s="17" t="str">
        <f aca="false">IF(B51="","",IFERROR(INDEX(NV_TEN,MATCH(B51,NV_MA,0)),"MÃ KHÔNG CÓ"))</f>
        <v/>
      </c>
      <c r="D51" s="10"/>
      <c r="E51" s="10"/>
      <c r="F51" s="18"/>
      <c r="G51" s="27" t="str">
        <f aca="false">IF(F51="","",IF(E51="LAK",F51*TYGIA_LAK,F51))</f>
        <v/>
      </c>
      <c r="H51" s="10"/>
      <c r="I51" s="10"/>
      <c r="J51" s="10"/>
    </row>
    <row r="52" customFormat="false" ht="15" hidden="false" customHeight="false" outlineLevel="0" collapsed="false">
      <c r="A52" s="17" t="str">
        <f aca="false">IF(B52="","",ROW()-4)</f>
        <v/>
      </c>
      <c r="B52" s="10"/>
      <c r="C52" s="17" t="str">
        <f aca="false">IF(B52="","",IFERROR(INDEX(NV_TEN,MATCH(B52,NV_MA,0)),"MÃ KHÔNG CÓ"))</f>
        <v/>
      </c>
      <c r="D52" s="10"/>
      <c r="E52" s="10"/>
      <c r="F52" s="18"/>
      <c r="G52" s="27" t="str">
        <f aca="false">IF(F52="","",IF(E52="LAK",F52*TYGIA_LAK,F52))</f>
        <v/>
      </c>
      <c r="H52" s="10"/>
      <c r="I52" s="10"/>
      <c r="J52" s="10"/>
    </row>
    <row r="53" customFormat="false" ht="15" hidden="false" customHeight="false" outlineLevel="0" collapsed="false">
      <c r="A53" s="17" t="str">
        <f aca="false">IF(B53="","",ROW()-4)</f>
        <v/>
      </c>
      <c r="B53" s="10"/>
      <c r="C53" s="17" t="str">
        <f aca="false">IF(B53="","",IFERROR(INDEX(NV_TEN,MATCH(B53,NV_MA,0)),"MÃ KHÔNG CÓ"))</f>
        <v/>
      </c>
      <c r="D53" s="10"/>
      <c r="E53" s="10"/>
      <c r="F53" s="18"/>
      <c r="G53" s="27" t="str">
        <f aca="false">IF(F53="","",IF(E53="LAK",F53*TYGIA_LAK,F53))</f>
        <v/>
      </c>
      <c r="H53" s="10"/>
      <c r="I53" s="10"/>
      <c r="J53" s="10"/>
    </row>
    <row r="54" customFormat="false" ht="15" hidden="false" customHeight="false" outlineLevel="0" collapsed="false">
      <c r="A54" s="17" t="str">
        <f aca="false">IF(B54="","",ROW()-4)</f>
        <v/>
      </c>
      <c r="B54" s="10"/>
      <c r="C54" s="17" t="str">
        <f aca="false">IF(B54="","",IFERROR(INDEX(NV_TEN,MATCH(B54,NV_MA,0)),"MÃ KHÔNG CÓ"))</f>
        <v/>
      </c>
      <c r="D54" s="10"/>
      <c r="E54" s="10"/>
      <c r="F54" s="18"/>
      <c r="G54" s="27" t="str">
        <f aca="false">IF(F54="","",IF(E54="LAK",F54*TYGIA_LAK,F54))</f>
        <v/>
      </c>
      <c r="H54" s="10"/>
      <c r="I54" s="10"/>
      <c r="J54" s="10"/>
    </row>
    <row r="55" customFormat="false" ht="15" hidden="false" customHeight="false" outlineLevel="0" collapsed="false">
      <c r="A55" s="17" t="str">
        <f aca="false">IF(B55="","",ROW()-4)</f>
        <v/>
      </c>
      <c r="B55" s="10"/>
      <c r="C55" s="17" t="str">
        <f aca="false">IF(B55="","",IFERROR(INDEX(NV_TEN,MATCH(B55,NV_MA,0)),"MÃ KHÔNG CÓ"))</f>
        <v/>
      </c>
      <c r="D55" s="10"/>
      <c r="E55" s="10"/>
      <c r="F55" s="18"/>
      <c r="G55" s="27" t="str">
        <f aca="false">IF(F55="","",IF(E55="LAK",F55*TYGIA_LAK,F55))</f>
        <v/>
      </c>
      <c r="H55" s="10"/>
      <c r="I55" s="10"/>
      <c r="J55" s="10"/>
    </row>
    <row r="56" customFormat="false" ht="15" hidden="false" customHeight="false" outlineLevel="0" collapsed="false">
      <c r="A56" s="17" t="str">
        <f aca="false">IF(B56="","",ROW()-4)</f>
        <v/>
      </c>
      <c r="B56" s="10"/>
      <c r="C56" s="17" t="str">
        <f aca="false">IF(B56="","",IFERROR(INDEX(NV_TEN,MATCH(B56,NV_MA,0)),"MÃ KHÔNG CÓ"))</f>
        <v/>
      </c>
      <c r="D56" s="10"/>
      <c r="E56" s="10"/>
      <c r="F56" s="18"/>
      <c r="G56" s="27" t="str">
        <f aca="false">IF(F56="","",IF(E56="LAK",F56*TYGIA_LAK,F56))</f>
        <v/>
      </c>
      <c r="H56" s="10"/>
      <c r="I56" s="10"/>
      <c r="J56" s="10"/>
    </row>
    <row r="57" customFormat="false" ht="15" hidden="false" customHeight="false" outlineLevel="0" collapsed="false">
      <c r="A57" s="17" t="str">
        <f aca="false">IF(B57="","",ROW()-4)</f>
        <v/>
      </c>
      <c r="B57" s="10"/>
      <c r="C57" s="17" t="str">
        <f aca="false">IF(B57="","",IFERROR(INDEX(NV_TEN,MATCH(B57,NV_MA,0)),"MÃ KHÔNG CÓ"))</f>
        <v/>
      </c>
      <c r="D57" s="10"/>
      <c r="E57" s="10"/>
      <c r="F57" s="18"/>
      <c r="G57" s="27" t="str">
        <f aca="false">IF(F57="","",IF(E57="LAK",F57*TYGIA_LAK,F57))</f>
        <v/>
      </c>
      <c r="H57" s="10"/>
      <c r="I57" s="10"/>
      <c r="J57" s="10"/>
    </row>
    <row r="58" customFormat="false" ht="15" hidden="false" customHeight="false" outlineLevel="0" collapsed="false">
      <c r="A58" s="17" t="str">
        <f aca="false">IF(B58="","",ROW()-4)</f>
        <v/>
      </c>
      <c r="B58" s="10"/>
      <c r="C58" s="17" t="str">
        <f aca="false">IF(B58="","",IFERROR(INDEX(NV_TEN,MATCH(B58,NV_MA,0)),"MÃ KHÔNG CÓ"))</f>
        <v/>
      </c>
      <c r="D58" s="10"/>
      <c r="E58" s="10"/>
      <c r="F58" s="18"/>
      <c r="G58" s="27" t="str">
        <f aca="false">IF(F58="","",IF(E58="LAK",F58*TYGIA_LAK,F58))</f>
        <v/>
      </c>
      <c r="H58" s="10"/>
      <c r="I58" s="10"/>
      <c r="J58" s="10"/>
    </row>
    <row r="59" customFormat="false" ht="15" hidden="false" customHeight="false" outlineLevel="0" collapsed="false">
      <c r="A59" s="17" t="str">
        <f aca="false">IF(B59="","",ROW()-4)</f>
        <v/>
      </c>
      <c r="B59" s="10"/>
      <c r="C59" s="17" t="str">
        <f aca="false">IF(B59="","",IFERROR(INDEX(NV_TEN,MATCH(B59,NV_MA,0)),"MÃ KHÔNG CÓ"))</f>
        <v/>
      </c>
      <c r="D59" s="10"/>
      <c r="E59" s="10"/>
      <c r="F59" s="18"/>
      <c r="G59" s="27" t="str">
        <f aca="false">IF(F59="","",IF(E59="LAK",F59*TYGIA_LAK,F59))</f>
        <v/>
      </c>
      <c r="H59" s="10"/>
      <c r="I59" s="10"/>
      <c r="J59" s="10"/>
    </row>
    <row r="60" customFormat="false" ht="15" hidden="false" customHeight="false" outlineLevel="0" collapsed="false">
      <c r="A60" s="17" t="str">
        <f aca="false">IF(B60="","",ROW()-4)</f>
        <v/>
      </c>
      <c r="B60" s="10"/>
      <c r="C60" s="17" t="str">
        <f aca="false">IF(B60="","",IFERROR(INDEX(NV_TEN,MATCH(B60,NV_MA,0)),"MÃ KHÔNG CÓ"))</f>
        <v/>
      </c>
      <c r="D60" s="10"/>
      <c r="E60" s="10"/>
      <c r="F60" s="18"/>
      <c r="G60" s="27" t="str">
        <f aca="false">IF(F60="","",IF(E60="LAK",F60*TYGIA_LAK,F60))</f>
        <v/>
      </c>
      <c r="H60" s="10"/>
      <c r="I60" s="10"/>
      <c r="J60" s="10"/>
    </row>
    <row r="61" customFormat="false" ht="15" hidden="false" customHeight="false" outlineLevel="0" collapsed="false">
      <c r="A61" s="17" t="str">
        <f aca="false">IF(B61="","",ROW()-4)</f>
        <v/>
      </c>
      <c r="B61" s="10"/>
      <c r="C61" s="17" t="str">
        <f aca="false">IF(B61="","",IFERROR(INDEX(NV_TEN,MATCH(B61,NV_MA,0)),"MÃ KHÔNG CÓ"))</f>
        <v/>
      </c>
      <c r="D61" s="10"/>
      <c r="E61" s="10"/>
      <c r="F61" s="18"/>
      <c r="G61" s="27" t="str">
        <f aca="false">IF(F61="","",IF(E61="LAK",F61*TYGIA_LAK,F61))</f>
        <v/>
      </c>
      <c r="H61" s="10"/>
      <c r="I61" s="10"/>
      <c r="J61" s="10"/>
    </row>
    <row r="62" customFormat="false" ht="15" hidden="false" customHeight="false" outlineLevel="0" collapsed="false">
      <c r="A62" s="17" t="str">
        <f aca="false">IF(B62="","",ROW()-4)</f>
        <v/>
      </c>
      <c r="B62" s="10"/>
      <c r="C62" s="17" t="str">
        <f aca="false">IF(B62="","",IFERROR(INDEX(NV_TEN,MATCH(B62,NV_MA,0)),"MÃ KHÔNG CÓ"))</f>
        <v/>
      </c>
      <c r="D62" s="10"/>
      <c r="E62" s="10"/>
      <c r="F62" s="18"/>
      <c r="G62" s="27" t="str">
        <f aca="false">IF(F62="","",IF(E62="LAK",F62*TYGIA_LAK,F62))</f>
        <v/>
      </c>
      <c r="H62" s="10"/>
      <c r="I62" s="10"/>
      <c r="J62" s="10"/>
    </row>
    <row r="63" customFormat="false" ht="15" hidden="false" customHeight="false" outlineLevel="0" collapsed="false">
      <c r="A63" s="17" t="str">
        <f aca="false">IF(B63="","",ROW()-4)</f>
        <v/>
      </c>
      <c r="B63" s="10"/>
      <c r="C63" s="17" t="str">
        <f aca="false">IF(B63="","",IFERROR(INDEX(NV_TEN,MATCH(B63,NV_MA,0)),"MÃ KHÔNG CÓ"))</f>
        <v/>
      </c>
      <c r="D63" s="10"/>
      <c r="E63" s="10"/>
      <c r="F63" s="18"/>
      <c r="G63" s="27" t="str">
        <f aca="false">IF(F63="","",IF(E63="LAK",F63*TYGIA_LAK,F63))</f>
        <v/>
      </c>
      <c r="H63" s="10"/>
      <c r="I63" s="10"/>
      <c r="J63" s="10"/>
    </row>
    <row r="64" customFormat="false" ht="15" hidden="false" customHeight="false" outlineLevel="0" collapsed="false">
      <c r="A64" s="17" t="str">
        <f aca="false">IF(B64="","",ROW()-4)</f>
        <v/>
      </c>
      <c r="B64" s="10"/>
      <c r="C64" s="17" t="str">
        <f aca="false">IF(B64="","",IFERROR(INDEX(NV_TEN,MATCH(B64,NV_MA,0)),"MÃ KHÔNG CÓ"))</f>
        <v/>
      </c>
      <c r="D64" s="10"/>
      <c r="E64" s="10"/>
      <c r="F64" s="18"/>
      <c r="G64" s="27" t="str">
        <f aca="false">IF(F64="","",IF(E64="LAK",F64*TYGIA_LAK,F64))</f>
        <v/>
      </c>
      <c r="H64" s="10"/>
      <c r="I64" s="10"/>
      <c r="J64" s="10"/>
    </row>
    <row r="65" customFormat="false" ht="15" hidden="false" customHeight="false" outlineLevel="0" collapsed="false">
      <c r="A65" s="17" t="str">
        <f aca="false">IF(B65="","",ROW()-4)</f>
        <v/>
      </c>
      <c r="B65" s="10"/>
      <c r="C65" s="17" t="str">
        <f aca="false">IF(B65="","",IFERROR(INDEX(NV_TEN,MATCH(B65,NV_MA,0)),"MÃ KHÔNG CÓ"))</f>
        <v/>
      </c>
      <c r="D65" s="10"/>
      <c r="E65" s="10"/>
      <c r="F65" s="18"/>
      <c r="G65" s="27" t="str">
        <f aca="false">IF(F65="","",IF(E65="LAK",F65*TYGIA_LAK,F65))</f>
        <v/>
      </c>
      <c r="H65" s="10"/>
      <c r="I65" s="10"/>
      <c r="J65" s="10"/>
    </row>
    <row r="66" customFormat="false" ht="15" hidden="false" customHeight="false" outlineLevel="0" collapsed="false">
      <c r="A66" s="17" t="str">
        <f aca="false">IF(B66="","",ROW()-4)</f>
        <v/>
      </c>
      <c r="B66" s="10"/>
      <c r="C66" s="17" t="str">
        <f aca="false">IF(B66="","",IFERROR(INDEX(NV_TEN,MATCH(B66,NV_MA,0)),"MÃ KHÔNG CÓ"))</f>
        <v/>
      </c>
      <c r="D66" s="10"/>
      <c r="E66" s="10"/>
      <c r="F66" s="18"/>
      <c r="G66" s="27" t="str">
        <f aca="false">IF(F66="","",IF(E66="LAK",F66*TYGIA_LAK,F66))</f>
        <v/>
      </c>
      <c r="H66" s="10"/>
      <c r="I66" s="10"/>
      <c r="J66" s="10"/>
    </row>
    <row r="67" customFormat="false" ht="15" hidden="false" customHeight="false" outlineLevel="0" collapsed="false">
      <c r="A67" s="17" t="str">
        <f aca="false">IF(B67="","",ROW()-4)</f>
        <v/>
      </c>
      <c r="B67" s="10"/>
      <c r="C67" s="17" t="str">
        <f aca="false">IF(B67="","",IFERROR(INDEX(NV_TEN,MATCH(B67,NV_MA,0)),"MÃ KHÔNG CÓ"))</f>
        <v/>
      </c>
      <c r="D67" s="10"/>
      <c r="E67" s="10"/>
      <c r="F67" s="18"/>
      <c r="G67" s="27" t="str">
        <f aca="false">IF(F67="","",IF(E67="LAK",F67*TYGIA_LAK,F67))</f>
        <v/>
      </c>
      <c r="H67" s="10"/>
      <c r="I67" s="10"/>
      <c r="J67" s="10"/>
    </row>
    <row r="68" customFormat="false" ht="15" hidden="false" customHeight="false" outlineLevel="0" collapsed="false">
      <c r="A68" s="17" t="str">
        <f aca="false">IF(B68="","",ROW()-4)</f>
        <v/>
      </c>
      <c r="B68" s="10"/>
      <c r="C68" s="17" t="str">
        <f aca="false">IF(B68="","",IFERROR(INDEX(NV_TEN,MATCH(B68,NV_MA,0)),"MÃ KHÔNG CÓ"))</f>
        <v/>
      </c>
      <c r="D68" s="10"/>
      <c r="E68" s="10"/>
      <c r="F68" s="18"/>
      <c r="G68" s="27" t="str">
        <f aca="false">IF(F68="","",IF(E68="LAK",F68*TYGIA_LAK,F68))</f>
        <v/>
      </c>
      <c r="H68" s="10"/>
      <c r="I68" s="10"/>
      <c r="J68" s="10"/>
    </row>
    <row r="69" customFormat="false" ht="15" hidden="false" customHeight="false" outlineLevel="0" collapsed="false">
      <c r="A69" s="17" t="str">
        <f aca="false">IF(B69="","",ROW()-4)</f>
        <v/>
      </c>
      <c r="B69" s="10"/>
      <c r="C69" s="17" t="str">
        <f aca="false">IF(B69="","",IFERROR(INDEX(NV_TEN,MATCH(B69,NV_MA,0)),"MÃ KHÔNG CÓ"))</f>
        <v/>
      </c>
      <c r="D69" s="10"/>
      <c r="E69" s="10"/>
      <c r="F69" s="18"/>
      <c r="G69" s="27" t="str">
        <f aca="false">IF(F69="","",IF(E69="LAK",F69*TYGIA_LAK,F69))</f>
        <v/>
      </c>
      <c r="H69" s="10"/>
      <c r="I69" s="10"/>
      <c r="J69" s="10"/>
    </row>
    <row r="70" customFormat="false" ht="15" hidden="false" customHeight="false" outlineLevel="0" collapsed="false">
      <c r="A70" s="17" t="str">
        <f aca="false">IF(B70="","",ROW()-4)</f>
        <v/>
      </c>
      <c r="B70" s="10"/>
      <c r="C70" s="17" t="str">
        <f aca="false">IF(B70="","",IFERROR(INDEX(NV_TEN,MATCH(B70,NV_MA,0)),"MÃ KHÔNG CÓ"))</f>
        <v/>
      </c>
      <c r="D70" s="10"/>
      <c r="E70" s="10"/>
      <c r="F70" s="18"/>
      <c r="G70" s="27" t="str">
        <f aca="false">IF(F70="","",IF(E70="LAK",F70*TYGIA_LAK,F70))</f>
        <v/>
      </c>
      <c r="H70" s="10"/>
      <c r="I70" s="10"/>
      <c r="J70" s="10"/>
    </row>
    <row r="71" customFormat="false" ht="15" hidden="false" customHeight="false" outlineLevel="0" collapsed="false">
      <c r="A71" s="17" t="str">
        <f aca="false">IF(B71="","",ROW()-4)</f>
        <v/>
      </c>
      <c r="B71" s="10"/>
      <c r="C71" s="17" t="str">
        <f aca="false">IF(B71="","",IFERROR(INDEX(NV_TEN,MATCH(B71,NV_MA,0)),"MÃ KHÔNG CÓ"))</f>
        <v/>
      </c>
      <c r="D71" s="10"/>
      <c r="E71" s="10"/>
      <c r="F71" s="18"/>
      <c r="G71" s="27" t="str">
        <f aca="false">IF(F71="","",IF(E71="LAK",F71*TYGIA_LAK,F71))</f>
        <v/>
      </c>
      <c r="H71" s="10"/>
      <c r="I71" s="10"/>
      <c r="J71" s="10"/>
    </row>
    <row r="72" customFormat="false" ht="15" hidden="false" customHeight="false" outlineLevel="0" collapsed="false">
      <c r="A72" s="17" t="str">
        <f aca="false">IF(B72="","",ROW()-4)</f>
        <v/>
      </c>
      <c r="B72" s="10"/>
      <c r="C72" s="17" t="str">
        <f aca="false">IF(B72="","",IFERROR(INDEX(NV_TEN,MATCH(B72,NV_MA,0)),"MÃ KHÔNG CÓ"))</f>
        <v/>
      </c>
      <c r="D72" s="10"/>
      <c r="E72" s="10"/>
      <c r="F72" s="18"/>
      <c r="G72" s="27" t="str">
        <f aca="false">IF(F72="","",IF(E72="LAK",F72*TYGIA_LAK,F72))</f>
        <v/>
      </c>
      <c r="H72" s="10"/>
      <c r="I72" s="10"/>
      <c r="J72" s="10"/>
    </row>
    <row r="73" customFormat="false" ht="15" hidden="false" customHeight="false" outlineLevel="0" collapsed="false">
      <c r="A73" s="17" t="str">
        <f aca="false">IF(B73="","",ROW()-4)</f>
        <v/>
      </c>
      <c r="B73" s="10"/>
      <c r="C73" s="17" t="str">
        <f aca="false">IF(B73="","",IFERROR(INDEX(NV_TEN,MATCH(B73,NV_MA,0)),"MÃ KHÔNG CÓ"))</f>
        <v/>
      </c>
      <c r="D73" s="10"/>
      <c r="E73" s="10"/>
      <c r="F73" s="18"/>
      <c r="G73" s="27" t="str">
        <f aca="false">IF(F73="","",IF(E73="LAK",F73*TYGIA_LAK,F73))</f>
        <v/>
      </c>
      <c r="H73" s="10"/>
      <c r="I73" s="10"/>
      <c r="J73" s="10"/>
    </row>
    <row r="74" customFormat="false" ht="15" hidden="false" customHeight="false" outlineLevel="0" collapsed="false">
      <c r="A74" s="17" t="str">
        <f aca="false">IF(B74="","",ROW()-4)</f>
        <v/>
      </c>
      <c r="B74" s="10"/>
      <c r="C74" s="17" t="str">
        <f aca="false">IF(B74="","",IFERROR(INDEX(NV_TEN,MATCH(B74,NV_MA,0)),"MÃ KHÔNG CÓ"))</f>
        <v/>
      </c>
      <c r="D74" s="10"/>
      <c r="E74" s="10"/>
      <c r="F74" s="18"/>
      <c r="G74" s="27" t="str">
        <f aca="false">IF(F74="","",IF(E74="LAK",F74*TYGIA_LAK,F74))</f>
        <v/>
      </c>
      <c r="H74" s="10"/>
      <c r="I74" s="10"/>
      <c r="J74" s="10"/>
    </row>
    <row r="75" customFormat="false" ht="15" hidden="false" customHeight="false" outlineLevel="0" collapsed="false">
      <c r="A75" s="17" t="str">
        <f aca="false">IF(B75="","",ROW()-4)</f>
        <v/>
      </c>
      <c r="B75" s="10"/>
      <c r="C75" s="17" t="str">
        <f aca="false">IF(B75="","",IFERROR(INDEX(NV_TEN,MATCH(B75,NV_MA,0)),"MÃ KHÔNG CÓ"))</f>
        <v/>
      </c>
      <c r="D75" s="10"/>
      <c r="E75" s="10"/>
      <c r="F75" s="18"/>
      <c r="G75" s="27" t="str">
        <f aca="false">IF(F75="","",IF(E75="LAK",F75*TYGIA_LAK,F75))</f>
        <v/>
      </c>
      <c r="H75" s="10"/>
      <c r="I75" s="10"/>
      <c r="J75" s="10"/>
    </row>
    <row r="76" customFormat="false" ht="15" hidden="false" customHeight="false" outlineLevel="0" collapsed="false">
      <c r="A76" s="17" t="str">
        <f aca="false">IF(B76="","",ROW()-4)</f>
        <v/>
      </c>
      <c r="B76" s="10"/>
      <c r="C76" s="17" t="str">
        <f aca="false">IF(B76="","",IFERROR(INDEX(NV_TEN,MATCH(B76,NV_MA,0)),"MÃ KHÔNG CÓ"))</f>
        <v/>
      </c>
      <c r="D76" s="10"/>
      <c r="E76" s="10"/>
      <c r="F76" s="18"/>
      <c r="G76" s="27" t="str">
        <f aca="false">IF(F76="","",IF(E76="LAK",F76*TYGIA_LAK,F76))</f>
        <v/>
      </c>
      <c r="H76" s="10"/>
      <c r="I76" s="10"/>
      <c r="J76" s="10"/>
    </row>
    <row r="77" customFormat="false" ht="15" hidden="false" customHeight="false" outlineLevel="0" collapsed="false">
      <c r="A77" s="17" t="str">
        <f aca="false">IF(B77="","",ROW()-4)</f>
        <v/>
      </c>
      <c r="B77" s="10"/>
      <c r="C77" s="17" t="str">
        <f aca="false">IF(B77="","",IFERROR(INDEX(NV_TEN,MATCH(B77,NV_MA,0)),"MÃ KHÔNG CÓ"))</f>
        <v/>
      </c>
      <c r="D77" s="10"/>
      <c r="E77" s="10"/>
      <c r="F77" s="18"/>
      <c r="G77" s="27" t="str">
        <f aca="false">IF(F77="","",IF(E77="LAK",F77*TYGIA_LAK,F77))</f>
        <v/>
      </c>
      <c r="H77" s="10"/>
      <c r="I77" s="10"/>
      <c r="J77" s="10"/>
    </row>
    <row r="78" customFormat="false" ht="15" hidden="false" customHeight="false" outlineLevel="0" collapsed="false">
      <c r="A78" s="17" t="str">
        <f aca="false">IF(B78="","",ROW()-4)</f>
        <v/>
      </c>
      <c r="B78" s="10"/>
      <c r="C78" s="17" t="str">
        <f aca="false">IF(B78="","",IFERROR(INDEX(NV_TEN,MATCH(B78,NV_MA,0)),"MÃ KHÔNG CÓ"))</f>
        <v/>
      </c>
      <c r="D78" s="10"/>
      <c r="E78" s="10"/>
      <c r="F78" s="18"/>
      <c r="G78" s="27" t="str">
        <f aca="false">IF(F78="","",IF(E78="LAK",F78*TYGIA_LAK,F78))</f>
        <v/>
      </c>
      <c r="H78" s="10"/>
      <c r="I78" s="10"/>
      <c r="J78" s="10"/>
    </row>
    <row r="79" customFormat="false" ht="15" hidden="false" customHeight="false" outlineLevel="0" collapsed="false">
      <c r="A79" s="17" t="str">
        <f aca="false">IF(B79="","",ROW()-4)</f>
        <v/>
      </c>
      <c r="B79" s="10"/>
      <c r="C79" s="17" t="str">
        <f aca="false">IF(B79="","",IFERROR(INDEX(NV_TEN,MATCH(B79,NV_MA,0)),"MÃ KHÔNG CÓ"))</f>
        <v/>
      </c>
      <c r="D79" s="10"/>
      <c r="E79" s="10"/>
      <c r="F79" s="18"/>
      <c r="G79" s="27" t="str">
        <f aca="false">IF(F79="","",IF(E79="LAK",F79*TYGIA_LAK,F79))</f>
        <v/>
      </c>
      <c r="H79" s="10"/>
      <c r="I79" s="10"/>
      <c r="J79" s="10"/>
    </row>
    <row r="80" customFormat="false" ht="15" hidden="false" customHeight="false" outlineLevel="0" collapsed="false">
      <c r="A80" s="17" t="str">
        <f aca="false">IF(B80="","",ROW()-4)</f>
        <v/>
      </c>
      <c r="B80" s="10"/>
      <c r="C80" s="17" t="str">
        <f aca="false">IF(B80="","",IFERROR(INDEX(NV_TEN,MATCH(B80,NV_MA,0)),"MÃ KHÔNG CÓ"))</f>
        <v/>
      </c>
      <c r="D80" s="10"/>
      <c r="E80" s="10"/>
      <c r="F80" s="18"/>
      <c r="G80" s="27" t="str">
        <f aca="false">IF(F80="","",IF(E80="LAK",F80*TYGIA_LAK,F80))</f>
        <v/>
      </c>
      <c r="H80" s="10"/>
      <c r="I80" s="10"/>
      <c r="J80" s="10"/>
    </row>
    <row r="81" customFormat="false" ht="15" hidden="false" customHeight="false" outlineLevel="0" collapsed="false">
      <c r="A81" s="17" t="str">
        <f aca="false">IF(B81="","",ROW()-4)</f>
        <v/>
      </c>
      <c r="B81" s="10"/>
      <c r="C81" s="17" t="str">
        <f aca="false">IF(B81="","",IFERROR(INDEX(NV_TEN,MATCH(B81,NV_MA,0)),"MÃ KHÔNG CÓ"))</f>
        <v/>
      </c>
      <c r="D81" s="10"/>
      <c r="E81" s="10"/>
      <c r="F81" s="18"/>
      <c r="G81" s="27" t="str">
        <f aca="false">IF(F81="","",IF(E81="LAK",F81*TYGIA_LAK,F81))</f>
        <v/>
      </c>
      <c r="H81" s="10"/>
      <c r="I81" s="10"/>
      <c r="J81" s="10"/>
    </row>
    <row r="82" customFormat="false" ht="15" hidden="false" customHeight="false" outlineLevel="0" collapsed="false">
      <c r="A82" s="17" t="str">
        <f aca="false">IF(B82="","",ROW()-4)</f>
        <v/>
      </c>
      <c r="B82" s="10"/>
      <c r="C82" s="17" t="str">
        <f aca="false">IF(B82="","",IFERROR(INDEX(NV_TEN,MATCH(B82,NV_MA,0)),"MÃ KHÔNG CÓ"))</f>
        <v/>
      </c>
      <c r="D82" s="10"/>
      <c r="E82" s="10"/>
      <c r="F82" s="18"/>
      <c r="G82" s="27" t="str">
        <f aca="false">IF(F82="","",IF(E82="LAK",F82*TYGIA_LAK,F82))</f>
        <v/>
      </c>
      <c r="H82" s="10"/>
      <c r="I82" s="10"/>
      <c r="J82" s="10"/>
    </row>
    <row r="83" customFormat="false" ht="15" hidden="false" customHeight="false" outlineLevel="0" collapsed="false">
      <c r="A83" s="17" t="str">
        <f aca="false">IF(B83="","",ROW()-4)</f>
        <v/>
      </c>
      <c r="B83" s="10"/>
      <c r="C83" s="17" t="str">
        <f aca="false">IF(B83="","",IFERROR(INDEX(NV_TEN,MATCH(B83,NV_MA,0)),"MÃ KHÔNG CÓ"))</f>
        <v/>
      </c>
      <c r="D83" s="10"/>
      <c r="E83" s="10"/>
      <c r="F83" s="18"/>
      <c r="G83" s="27" t="str">
        <f aca="false">IF(F83="","",IF(E83="LAK",F83*TYGIA_LAK,F83))</f>
        <v/>
      </c>
      <c r="H83" s="10"/>
      <c r="I83" s="10"/>
      <c r="J83" s="10"/>
    </row>
    <row r="84" customFormat="false" ht="15" hidden="false" customHeight="false" outlineLevel="0" collapsed="false">
      <c r="A84" s="17" t="str">
        <f aca="false">IF(B84="","",ROW()-4)</f>
        <v/>
      </c>
      <c r="B84" s="10"/>
      <c r="C84" s="17" t="str">
        <f aca="false">IF(B84="","",IFERROR(INDEX(NV_TEN,MATCH(B84,NV_MA,0)),"MÃ KHÔNG CÓ"))</f>
        <v/>
      </c>
      <c r="D84" s="10"/>
      <c r="E84" s="10"/>
      <c r="F84" s="18"/>
      <c r="G84" s="27" t="str">
        <f aca="false">IF(F84="","",IF(E84="LAK",F84*TYGIA_LAK,F84))</f>
        <v/>
      </c>
      <c r="H84" s="10"/>
      <c r="I84" s="10"/>
      <c r="J84" s="10"/>
    </row>
    <row r="85" customFormat="false" ht="15" hidden="false" customHeight="false" outlineLevel="0" collapsed="false">
      <c r="A85" s="17" t="str">
        <f aca="false">IF(B85="","",ROW()-4)</f>
        <v/>
      </c>
      <c r="B85" s="10"/>
      <c r="C85" s="17" t="str">
        <f aca="false">IF(B85="","",IFERROR(INDEX(NV_TEN,MATCH(B85,NV_MA,0)),"MÃ KHÔNG CÓ"))</f>
        <v/>
      </c>
      <c r="D85" s="10"/>
      <c r="E85" s="10"/>
      <c r="F85" s="18"/>
      <c r="G85" s="27" t="str">
        <f aca="false">IF(F85="","",IF(E85="LAK",F85*TYGIA_LAK,F85))</f>
        <v/>
      </c>
      <c r="H85" s="10"/>
      <c r="I85" s="10"/>
      <c r="J85" s="10"/>
    </row>
    <row r="86" customFormat="false" ht="15" hidden="false" customHeight="false" outlineLevel="0" collapsed="false">
      <c r="A86" s="17" t="str">
        <f aca="false">IF(B86="","",ROW()-4)</f>
        <v/>
      </c>
      <c r="B86" s="10"/>
      <c r="C86" s="17" t="str">
        <f aca="false">IF(B86="","",IFERROR(INDEX(NV_TEN,MATCH(B86,NV_MA,0)),"MÃ KHÔNG CÓ"))</f>
        <v/>
      </c>
      <c r="D86" s="10"/>
      <c r="E86" s="10"/>
      <c r="F86" s="18"/>
      <c r="G86" s="27" t="str">
        <f aca="false">IF(F86="","",IF(E86="LAK",F86*TYGIA_LAK,F86))</f>
        <v/>
      </c>
      <c r="H86" s="10"/>
      <c r="I86" s="10"/>
      <c r="J86" s="10"/>
    </row>
    <row r="87" customFormat="false" ht="15" hidden="false" customHeight="false" outlineLevel="0" collapsed="false">
      <c r="A87" s="17" t="str">
        <f aca="false">IF(B87="","",ROW()-4)</f>
        <v/>
      </c>
      <c r="B87" s="10"/>
      <c r="C87" s="17" t="str">
        <f aca="false">IF(B87="","",IFERROR(INDEX(NV_TEN,MATCH(B87,NV_MA,0)),"MÃ KHÔNG CÓ"))</f>
        <v/>
      </c>
      <c r="D87" s="10"/>
      <c r="E87" s="10"/>
      <c r="F87" s="18"/>
      <c r="G87" s="27" t="str">
        <f aca="false">IF(F87="","",IF(E87="LAK",F87*TYGIA_LAK,F87))</f>
        <v/>
      </c>
      <c r="H87" s="10"/>
      <c r="I87" s="10"/>
      <c r="J87" s="10"/>
    </row>
    <row r="88" customFormat="false" ht="15" hidden="false" customHeight="false" outlineLevel="0" collapsed="false">
      <c r="A88" s="17" t="str">
        <f aca="false">IF(B88="","",ROW()-4)</f>
        <v/>
      </c>
      <c r="B88" s="10"/>
      <c r="C88" s="17" t="str">
        <f aca="false">IF(B88="","",IFERROR(INDEX(NV_TEN,MATCH(B88,NV_MA,0)),"MÃ KHÔNG CÓ"))</f>
        <v/>
      </c>
      <c r="D88" s="10"/>
      <c r="E88" s="10"/>
      <c r="F88" s="18"/>
      <c r="G88" s="27" t="str">
        <f aca="false">IF(F88="","",IF(E88="LAK",F88*TYGIA_LAK,F88))</f>
        <v/>
      </c>
      <c r="H88" s="10"/>
      <c r="I88" s="10"/>
      <c r="J88" s="10"/>
    </row>
    <row r="89" customFormat="false" ht="15" hidden="false" customHeight="false" outlineLevel="0" collapsed="false">
      <c r="A89" s="17" t="str">
        <f aca="false">IF(B89="","",ROW()-4)</f>
        <v/>
      </c>
      <c r="B89" s="10"/>
      <c r="C89" s="17" t="str">
        <f aca="false">IF(B89="","",IFERROR(INDEX(NV_TEN,MATCH(B89,NV_MA,0)),"MÃ KHÔNG CÓ"))</f>
        <v/>
      </c>
      <c r="D89" s="10"/>
      <c r="E89" s="10"/>
      <c r="F89" s="18"/>
      <c r="G89" s="27" t="str">
        <f aca="false">IF(F89="","",IF(E89="LAK",F89*TYGIA_LAK,F89))</f>
        <v/>
      </c>
      <c r="H89" s="10"/>
      <c r="I89" s="10"/>
      <c r="J89" s="10"/>
    </row>
    <row r="90" customFormat="false" ht="15" hidden="false" customHeight="false" outlineLevel="0" collapsed="false">
      <c r="A90" s="17" t="str">
        <f aca="false">IF(B90="","",ROW()-4)</f>
        <v/>
      </c>
      <c r="B90" s="10"/>
      <c r="C90" s="17" t="str">
        <f aca="false">IF(B90="","",IFERROR(INDEX(NV_TEN,MATCH(B90,NV_MA,0)),"MÃ KHÔNG CÓ"))</f>
        <v/>
      </c>
      <c r="D90" s="10"/>
      <c r="E90" s="10"/>
      <c r="F90" s="18"/>
      <c r="G90" s="27" t="str">
        <f aca="false">IF(F90="","",IF(E90="LAK",F90*TYGIA_LAK,F90))</f>
        <v/>
      </c>
      <c r="H90" s="10"/>
      <c r="I90" s="10"/>
      <c r="J90" s="10"/>
    </row>
    <row r="91" customFormat="false" ht="15" hidden="false" customHeight="false" outlineLevel="0" collapsed="false">
      <c r="A91" s="17" t="str">
        <f aca="false">IF(B91="","",ROW()-4)</f>
        <v/>
      </c>
      <c r="B91" s="10"/>
      <c r="C91" s="17" t="str">
        <f aca="false">IF(B91="","",IFERROR(INDEX(NV_TEN,MATCH(B91,NV_MA,0)),"MÃ KHÔNG CÓ"))</f>
        <v/>
      </c>
      <c r="D91" s="10"/>
      <c r="E91" s="10"/>
      <c r="F91" s="18"/>
      <c r="G91" s="27" t="str">
        <f aca="false">IF(F91="","",IF(E91="LAK",F91*TYGIA_LAK,F91))</f>
        <v/>
      </c>
      <c r="H91" s="10"/>
      <c r="I91" s="10"/>
      <c r="J91" s="10"/>
    </row>
    <row r="92" customFormat="false" ht="15" hidden="false" customHeight="false" outlineLevel="0" collapsed="false">
      <c r="A92" s="17" t="str">
        <f aca="false">IF(B92="","",ROW()-4)</f>
        <v/>
      </c>
      <c r="B92" s="10"/>
      <c r="C92" s="17" t="str">
        <f aca="false">IF(B92="","",IFERROR(INDEX(NV_TEN,MATCH(B92,NV_MA,0)),"MÃ KHÔNG CÓ"))</f>
        <v/>
      </c>
      <c r="D92" s="10"/>
      <c r="E92" s="10"/>
      <c r="F92" s="18"/>
      <c r="G92" s="27" t="str">
        <f aca="false">IF(F92="","",IF(E92="LAK",F92*TYGIA_LAK,F92))</f>
        <v/>
      </c>
      <c r="H92" s="10"/>
      <c r="I92" s="10"/>
      <c r="J92" s="10"/>
    </row>
    <row r="93" customFormat="false" ht="15" hidden="false" customHeight="false" outlineLevel="0" collapsed="false">
      <c r="A93" s="17" t="str">
        <f aca="false">IF(B93="","",ROW()-4)</f>
        <v/>
      </c>
      <c r="B93" s="10"/>
      <c r="C93" s="17" t="str">
        <f aca="false">IF(B93="","",IFERROR(INDEX(NV_TEN,MATCH(B93,NV_MA,0)),"MÃ KHÔNG CÓ"))</f>
        <v/>
      </c>
      <c r="D93" s="10"/>
      <c r="E93" s="10"/>
      <c r="F93" s="18"/>
      <c r="G93" s="27" t="str">
        <f aca="false">IF(F93="","",IF(E93="LAK",F93*TYGIA_LAK,F93))</f>
        <v/>
      </c>
      <c r="H93" s="10"/>
      <c r="I93" s="10"/>
      <c r="J93" s="10"/>
    </row>
    <row r="94" customFormat="false" ht="15" hidden="false" customHeight="false" outlineLevel="0" collapsed="false">
      <c r="A94" s="17" t="str">
        <f aca="false">IF(B94="","",ROW()-4)</f>
        <v/>
      </c>
      <c r="B94" s="10"/>
      <c r="C94" s="17" t="str">
        <f aca="false">IF(B94="","",IFERROR(INDEX(NV_TEN,MATCH(B94,NV_MA,0)),"MÃ KHÔNG CÓ"))</f>
        <v/>
      </c>
      <c r="D94" s="10"/>
      <c r="E94" s="10"/>
      <c r="F94" s="18"/>
      <c r="G94" s="27" t="str">
        <f aca="false">IF(F94="","",IF(E94="LAK",F94*TYGIA_LAK,F94))</f>
        <v/>
      </c>
      <c r="H94" s="10"/>
      <c r="I94" s="10"/>
      <c r="J94" s="10"/>
    </row>
    <row r="95" customFormat="false" ht="15" hidden="false" customHeight="false" outlineLevel="0" collapsed="false">
      <c r="A95" s="17" t="str">
        <f aca="false">IF(B95="","",ROW()-4)</f>
        <v/>
      </c>
      <c r="B95" s="10"/>
      <c r="C95" s="17" t="str">
        <f aca="false">IF(B95="","",IFERROR(INDEX(NV_TEN,MATCH(B95,NV_MA,0)),"MÃ KHÔNG CÓ"))</f>
        <v/>
      </c>
      <c r="D95" s="10"/>
      <c r="E95" s="10"/>
      <c r="F95" s="18"/>
      <c r="G95" s="27" t="str">
        <f aca="false">IF(F95="","",IF(E95="LAK",F95*TYGIA_LAK,F95))</f>
        <v/>
      </c>
      <c r="H95" s="10"/>
      <c r="I95" s="10"/>
      <c r="J95" s="10"/>
    </row>
    <row r="96" customFormat="false" ht="15" hidden="false" customHeight="false" outlineLevel="0" collapsed="false">
      <c r="A96" s="17" t="str">
        <f aca="false">IF(B96="","",ROW()-4)</f>
        <v/>
      </c>
      <c r="B96" s="10"/>
      <c r="C96" s="17" t="str">
        <f aca="false">IF(B96="","",IFERROR(INDEX(NV_TEN,MATCH(B96,NV_MA,0)),"MÃ KHÔNG CÓ"))</f>
        <v/>
      </c>
      <c r="D96" s="10"/>
      <c r="E96" s="10"/>
      <c r="F96" s="18"/>
      <c r="G96" s="27" t="str">
        <f aca="false">IF(F96="","",IF(E96="LAK",F96*TYGIA_LAK,F96))</f>
        <v/>
      </c>
      <c r="H96" s="10"/>
      <c r="I96" s="10"/>
      <c r="J96" s="10"/>
    </row>
    <row r="97" customFormat="false" ht="15" hidden="false" customHeight="false" outlineLevel="0" collapsed="false">
      <c r="A97" s="17" t="str">
        <f aca="false">IF(B97="","",ROW()-4)</f>
        <v/>
      </c>
      <c r="B97" s="10"/>
      <c r="C97" s="17" t="str">
        <f aca="false">IF(B97="","",IFERROR(INDEX(NV_TEN,MATCH(B97,NV_MA,0)),"MÃ KHÔNG CÓ"))</f>
        <v/>
      </c>
      <c r="D97" s="10"/>
      <c r="E97" s="10"/>
      <c r="F97" s="18"/>
      <c r="G97" s="27" t="str">
        <f aca="false">IF(F97="","",IF(E97="LAK",F97*TYGIA_LAK,F97))</f>
        <v/>
      </c>
      <c r="H97" s="10"/>
      <c r="I97" s="10"/>
      <c r="J97" s="10"/>
    </row>
    <row r="98" customFormat="false" ht="15" hidden="false" customHeight="false" outlineLevel="0" collapsed="false">
      <c r="A98" s="17" t="str">
        <f aca="false">IF(B98="","",ROW()-4)</f>
        <v/>
      </c>
      <c r="B98" s="10"/>
      <c r="C98" s="17" t="str">
        <f aca="false">IF(B98="","",IFERROR(INDEX(NV_TEN,MATCH(B98,NV_MA,0)),"MÃ KHÔNG CÓ"))</f>
        <v/>
      </c>
      <c r="D98" s="10"/>
      <c r="E98" s="10"/>
      <c r="F98" s="18"/>
      <c r="G98" s="27" t="str">
        <f aca="false">IF(F98="","",IF(E98="LAK",F98*TYGIA_LAK,F98))</f>
        <v/>
      </c>
      <c r="H98" s="10"/>
      <c r="I98" s="10"/>
      <c r="J98" s="10"/>
    </row>
    <row r="99" customFormat="false" ht="15" hidden="false" customHeight="false" outlineLevel="0" collapsed="false">
      <c r="A99" s="17" t="str">
        <f aca="false">IF(B99="","",ROW()-4)</f>
        <v/>
      </c>
      <c r="B99" s="10"/>
      <c r="C99" s="17" t="str">
        <f aca="false">IF(B99="","",IFERROR(INDEX(NV_TEN,MATCH(B99,NV_MA,0)),"MÃ KHÔNG CÓ"))</f>
        <v/>
      </c>
      <c r="D99" s="10"/>
      <c r="E99" s="10"/>
      <c r="F99" s="18"/>
      <c r="G99" s="27" t="str">
        <f aca="false">IF(F99="","",IF(E99="LAK",F99*TYGIA_LAK,F99))</f>
        <v/>
      </c>
      <c r="H99" s="10"/>
      <c r="I99" s="10"/>
      <c r="J99" s="10"/>
    </row>
    <row r="100" customFormat="false" ht="15" hidden="false" customHeight="false" outlineLevel="0" collapsed="false">
      <c r="A100" s="17" t="str">
        <f aca="false">IF(B100="","",ROW()-4)</f>
        <v/>
      </c>
      <c r="B100" s="10"/>
      <c r="C100" s="17" t="str">
        <f aca="false">IF(B100="","",IFERROR(INDEX(NV_TEN,MATCH(B100,NV_MA,0)),"MÃ KHÔNG CÓ"))</f>
        <v/>
      </c>
      <c r="D100" s="10"/>
      <c r="E100" s="10"/>
      <c r="F100" s="18"/>
      <c r="G100" s="27" t="str">
        <f aca="false">IF(F100="","",IF(E100="LAK",F100*TYGIA_LAK,F100))</f>
        <v/>
      </c>
      <c r="H100" s="10"/>
      <c r="I100" s="10"/>
      <c r="J100" s="10"/>
    </row>
    <row r="101" customFormat="false" ht="15" hidden="false" customHeight="false" outlineLevel="0" collapsed="false">
      <c r="A101" s="17" t="str">
        <f aca="false">IF(B101="","",ROW()-4)</f>
        <v/>
      </c>
      <c r="B101" s="10"/>
      <c r="C101" s="17" t="str">
        <f aca="false">IF(B101="","",IFERROR(INDEX(NV_TEN,MATCH(B101,NV_MA,0)),"MÃ KHÔNG CÓ"))</f>
        <v/>
      </c>
      <c r="D101" s="10"/>
      <c r="E101" s="10"/>
      <c r="F101" s="18"/>
      <c r="G101" s="27" t="str">
        <f aca="false">IF(F101="","",IF(E101="LAK",F101*TYGIA_LAK,F101))</f>
        <v/>
      </c>
      <c r="H101" s="10"/>
      <c r="I101" s="10"/>
      <c r="J101" s="10"/>
    </row>
    <row r="102" customFormat="false" ht="15" hidden="false" customHeight="false" outlineLevel="0" collapsed="false">
      <c r="A102" s="17" t="str">
        <f aca="false">IF(B102="","",ROW()-4)</f>
        <v/>
      </c>
      <c r="B102" s="10"/>
      <c r="C102" s="17" t="str">
        <f aca="false">IF(B102="","",IFERROR(INDEX(NV_TEN,MATCH(B102,NV_MA,0)),"MÃ KHÔNG CÓ"))</f>
        <v/>
      </c>
      <c r="D102" s="10"/>
      <c r="E102" s="10"/>
      <c r="F102" s="18"/>
      <c r="G102" s="27" t="str">
        <f aca="false">IF(F102="","",IF(E102="LAK",F102*TYGIA_LAK,F102))</f>
        <v/>
      </c>
      <c r="H102" s="10"/>
      <c r="I102" s="10"/>
      <c r="J102" s="10"/>
    </row>
    <row r="103" customFormat="false" ht="15" hidden="false" customHeight="false" outlineLevel="0" collapsed="false">
      <c r="A103" s="17" t="str">
        <f aca="false">IF(B103="","",ROW()-4)</f>
        <v/>
      </c>
      <c r="B103" s="10"/>
      <c r="C103" s="17" t="str">
        <f aca="false">IF(B103="","",IFERROR(INDEX(NV_TEN,MATCH(B103,NV_MA,0)),"MÃ KHÔNG CÓ"))</f>
        <v/>
      </c>
      <c r="D103" s="10"/>
      <c r="E103" s="10"/>
      <c r="F103" s="18"/>
      <c r="G103" s="27" t="str">
        <f aca="false">IF(F103="","",IF(E103="LAK",F103*TYGIA_LAK,F103))</f>
        <v/>
      </c>
      <c r="H103" s="10"/>
      <c r="I103" s="10"/>
      <c r="J103" s="10"/>
    </row>
    <row r="104" customFormat="false" ht="15" hidden="false" customHeight="false" outlineLevel="0" collapsed="false">
      <c r="A104" s="17" t="str">
        <f aca="false">IF(B104="","",ROW()-4)</f>
        <v/>
      </c>
      <c r="B104" s="10"/>
      <c r="C104" s="17" t="str">
        <f aca="false">IF(B104="","",IFERROR(INDEX(NV_TEN,MATCH(B104,NV_MA,0)),"MÃ KHÔNG CÓ"))</f>
        <v/>
      </c>
      <c r="D104" s="10"/>
      <c r="E104" s="10"/>
      <c r="F104" s="18"/>
      <c r="G104" s="27" t="str">
        <f aca="false">IF(F104="","",IF(E104="LAK",F104*TYGIA_LAK,F104))</f>
        <v/>
      </c>
      <c r="H104" s="10"/>
      <c r="I104" s="10"/>
      <c r="J104" s="10"/>
    </row>
    <row r="105" customFormat="false" ht="15" hidden="false" customHeight="false" outlineLevel="0" collapsed="false">
      <c r="A105" s="17" t="str">
        <f aca="false">IF(B105="","",ROW()-4)</f>
        <v/>
      </c>
      <c r="B105" s="10"/>
      <c r="C105" s="17" t="str">
        <f aca="false">IF(B105="","",IFERROR(INDEX(NV_TEN,MATCH(B105,NV_MA,0)),"MÃ KHÔNG CÓ"))</f>
        <v/>
      </c>
      <c r="D105" s="10"/>
      <c r="E105" s="10"/>
      <c r="F105" s="18"/>
      <c r="G105" s="27" t="str">
        <f aca="false">IF(F105="","",IF(E105="LAK",F105*TYGIA_LAK,F105))</f>
        <v/>
      </c>
      <c r="H105" s="10"/>
      <c r="I105" s="10"/>
      <c r="J105" s="10"/>
    </row>
    <row r="106" customFormat="false" ht="15" hidden="false" customHeight="false" outlineLevel="0" collapsed="false">
      <c r="A106" s="17" t="str">
        <f aca="false">IF(B106="","",ROW()-4)</f>
        <v/>
      </c>
      <c r="B106" s="10"/>
      <c r="C106" s="17" t="str">
        <f aca="false">IF(B106="","",IFERROR(INDEX(NV_TEN,MATCH(B106,NV_MA,0)),"MÃ KHÔNG CÓ"))</f>
        <v/>
      </c>
      <c r="D106" s="10"/>
      <c r="E106" s="10"/>
      <c r="F106" s="18"/>
      <c r="G106" s="27" t="str">
        <f aca="false">IF(F106="","",IF(E106="LAK",F106*TYGIA_LAK,F106))</f>
        <v/>
      </c>
      <c r="H106" s="10"/>
      <c r="I106" s="10"/>
      <c r="J106" s="10"/>
    </row>
    <row r="107" customFormat="false" ht="15" hidden="false" customHeight="false" outlineLevel="0" collapsed="false">
      <c r="A107" s="17" t="str">
        <f aca="false">IF(B107="","",ROW()-4)</f>
        <v/>
      </c>
      <c r="B107" s="10"/>
      <c r="C107" s="17" t="str">
        <f aca="false">IF(B107="","",IFERROR(INDEX(NV_TEN,MATCH(B107,NV_MA,0)),"MÃ KHÔNG CÓ"))</f>
        <v/>
      </c>
      <c r="D107" s="10"/>
      <c r="E107" s="10"/>
      <c r="F107" s="18"/>
      <c r="G107" s="27" t="str">
        <f aca="false">IF(F107="","",IF(E107="LAK",F107*TYGIA_LAK,F107))</f>
        <v/>
      </c>
      <c r="H107" s="10"/>
      <c r="I107" s="10"/>
      <c r="J107" s="10"/>
    </row>
    <row r="108" customFormat="false" ht="15" hidden="false" customHeight="false" outlineLevel="0" collapsed="false">
      <c r="A108" s="17" t="str">
        <f aca="false">IF(B108="","",ROW()-4)</f>
        <v/>
      </c>
      <c r="B108" s="10"/>
      <c r="C108" s="17" t="str">
        <f aca="false">IF(B108="","",IFERROR(INDEX(NV_TEN,MATCH(B108,NV_MA,0)),"MÃ KHÔNG CÓ"))</f>
        <v/>
      </c>
      <c r="D108" s="10"/>
      <c r="E108" s="10"/>
      <c r="F108" s="18"/>
      <c r="G108" s="27" t="str">
        <f aca="false">IF(F108="","",IF(E108="LAK",F108*TYGIA_LAK,F108))</f>
        <v/>
      </c>
      <c r="H108" s="10"/>
      <c r="I108" s="10"/>
      <c r="J108" s="10"/>
    </row>
    <row r="109" customFormat="false" ht="15" hidden="false" customHeight="false" outlineLevel="0" collapsed="false">
      <c r="A109" s="17" t="str">
        <f aca="false">IF(B109="","",ROW()-4)</f>
        <v/>
      </c>
      <c r="B109" s="10"/>
      <c r="C109" s="17" t="str">
        <f aca="false">IF(B109="","",IFERROR(INDEX(NV_TEN,MATCH(B109,NV_MA,0)),"MÃ KHÔNG CÓ"))</f>
        <v/>
      </c>
      <c r="D109" s="10"/>
      <c r="E109" s="10"/>
      <c r="F109" s="18"/>
      <c r="G109" s="27" t="str">
        <f aca="false">IF(F109="","",IF(E109="LAK",F109*TYGIA_LAK,F109))</f>
        <v/>
      </c>
      <c r="H109" s="10"/>
      <c r="I109" s="10"/>
      <c r="J109" s="10"/>
    </row>
    <row r="110" customFormat="false" ht="15" hidden="false" customHeight="false" outlineLevel="0" collapsed="false">
      <c r="A110" s="17" t="str">
        <f aca="false">IF(B110="","",ROW()-4)</f>
        <v/>
      </c>
      <c r="B110" s="10"/>
      <c r="C110" s="17" t="str">
        <f aca="false">IF(B110="","",IFERROR(INDEX(NV_TEN,MATCH(B110,NV_MA,0)),"MÃ KHÔNG CÓ"))</f>
        <v/>
      </c>
      <c r="D110" s="10"/>
      <c r="E110" s="10"/>
      <c r="F110" s="18"/>
      <c r="G110" s="27" t="str">
        <f aca="false">IF(F110="","",IF(E110="LAK",F110*TYGIA_LAK,F110))</f>
        <v/>
      </c>
      <c r="H110" s="10"/>
      <c r="I110" s="10"/>
      <c r="J110" s="10"/>
    </row>
    <row r="111" customFormat="false" ht="15" hidden="false" customHeight="false" outlineLevel="0" collapsed="false">
      <c r="A111" s="17" t="str">
        <f aca="false">IF(B111="","",ROW()-4)</f>
        <v/>
      </c>
      <c r="B111" s="10"/>
      <c r="C111" s="17" t="str">
        <f aca="false">IF(B111="","",IFERROR(INDEX(NV_TEN,MATCH(B111,NV_MA,0)),"MÃ KHÔNG CÓ"))</f>
        <v/>
      </c>
      <c r="D111" s="10"/>
      <c r="E111" s="10"/>
      <c r="F111" s="18"/>
      <c r="G111" s="27" t="str">
        <f aca="false">IF(F111="","",IF(E111="LAK",F111*TYGIA_LAK,F111))</f>
        <v/>
      </c>
      <c r="H111" s="10"/>
      <c r="I111" s="10"/>
      <c r="J111" s="10"/>
    </row>
    <row r="112" customFormat="false" ht="15" hidden="false" customHeight="false" outlineLevel="0" collapsed="false">
      <c r="A112" s="17" t="str">
        <f aca="false">IF(B112="","",ROW()-4)</f>
        <v/>
      </c>
      <c r="B112" s="10"/>
      <c r="C112" s="17" t="str">
        <f aca="false">IF(B112="","",IFERROR(INDEX(NV_TEN,MATCH(B112,NV_MA,0)),"MÃ KHÔNG CÓ"))</f>
        <v/>
      </c>
      <c r="D112" s="10"/>
      <c r="E112" s="10"/>
      <c r="F112" s="18"/>
      <c r="G112" s="27" t="str">
        <f aca="false">IF(F112="","",IF(E112="LAK",F112*TYGIA_LAK,F112))</f>
        <v/>
      </c>
      <c r="H112" s="10"/>
      <c r="I112" s="10"/>
      <c r="J112" s="10"/>
    </row>
    <row r="113" customFormat="false" ht="15" hidden="false" customHeight="false" outlineLevel="0" collapsed="false">
      <c r="A113" s="17" t="str">
        <f aca="false">IF(B113="","",ROW()-4)</f>
        <v/>
      </c>
      <c r="B113" s="10"/>
      <c r="C113" s="17" t="str">
        <f aca="false">IF(B113="","",IFERROR(INDEX(NV_TEN,MATCH(B113,NV_MA,0)),"MÃ KHÔNG CÓ"))</f>
        <v/>
      </c>
      <c r="D113" s="10"/>
      <c r="E113" s="10"/>
      <c r="F113" s="18"/>
      <c r="G113" s="27" t="str">
        <f aca="false">IF(F113="","",IF(E113="LAK",F113*TYGIA_LAK,F113))</f>
        <v/>
      </c>
      <c r="H113" s="10"/>
      <c r="I113" s="10"/>
      <c r="J113" s="10"/>
    </row>
    <row r="114" customFormat="false" ht="15" hidden="false" customHeight="false" outlineLevel="0" collapsed="false">
      <c r="A114" s="17" t="str">
        <f aca="false">IF(B114="","",ROW()-4)</f>
        <v/>
      </c>
      <c r="B114" s="10"/>
      <c r="C114" s="17" t="str">
        <f aca="false">IF(B114="","",IFERROR(INDEX(NV_TEN,MATCH(B114,NV_MA,0)),"MÃ KHÔNG CÓ"))</f>
        <v/>
      </c>
      <c r="D114" s="10"/>
      <c r="E114" s="10"/>
      <c r="F114" s="18"/>
      <c r="G114" s="27" t="str">
        <f aca="false">IF(F114="","",IF(E114="LAK",F114*TYGIA_LAK,F114))</f>
        <v/>
      </c>
      <c r="H114" s="10"/>
      <c r="I114" s="10"/>
      <c r="J114" s="10"/>
    </row>
    <row r="115" customFormat="false" ht="15" hidden="false" customHeight="false" outlineLevel="0" collapsed="false">
      <c r="A115" s="17" t="str">
        <f aca="false">IF(B115="","",ROW()-4)</f>
        <v/>
      </c>
      <c r="B115" s="10"/>
      <c r="C115" s="17" t="str">
        <f aca="false">IF(B115="","",IFERROR(INDEX(NV_TEN,MATCH(B115,NV_MA,0)),"MÃ KHÔNG CÓ"))</f>
        <v/>
      </c>
      <c r="D115" s="10"/>
      <c r="E115" s="10"/>
      <c r="F115" s="18"/>
      <c r="G115" s="27" t="str">
        <f aca="false">IF(F115="","",IF(E115="LAK",F115*TYGIA_LAK,F115))</f>
        <v/>
      </c>
      <c r="H115" s="10"/>
      <c r="I115" s="10"/>
      <c r="J115" s="10"/>
    </row>
    <row r="116" customFormat="false" ht="15" hidden="false" customHeight="false" outlineLevel="0" collapsed="false">
      <c r="A116" s="17" t="str">
        <f aca="false">IF(B116="","",ROW()-4)</f>
        <v/>
      </c>
      <c r="B116" s="10"/>
      <c r="C116" s="17" t="str">
        <f aca="false">IF(B116="","",IFERROR(INDEX(NV_TEN,MATCH(B116,NV_MA,0)),"MÃ KHÔNG CÓ"))</f>
        <v/>
      </c>
      <c r="D116" s="10"/>
      <c r="E116" s="10"/>
      <c r="F116" s="18"/>
      <c r="G116" s="27" t="str">
        <f aca="false">IF(F116="","",IF(E116="LAK",F116*TYGIA_LAK,F116))</f>
        <v/>
      </c>
      <c r="H116" s="10"/>
      <c r="I116" s="10"/>
      <c r="J116" s="10"/>
    </row>
    <row r="117" customFormat="false" ht="15" hidden="false" customHeight="false" outlineLevel="0" collapsed="false">
      <c r="A117" s="17" t="str">
        <f aca="false">IF(B117="","",ROW()-4)</f>
        <v/>
      </c>
      <c r="B117" s="10"/>
      <c r="C117" s="17" t="str">
        <f aca="false">IF(B117="","",IFERROR(INDEX(NV_TEN,MATCH(B117,NV_MA,0)),"MÃ KHÔNG CÓ"))</f>
        <v/>
      </c>
      <c r="D117" s="10"/>
      <c r="E117" s="10"/>
      <c r="F117" s="18"/>
      <c r="G117" s="27" t="str">
        <f aca="false">IF(F117="","",IF(E117="LAK",F117*TYGIA_LAK,F117))</f>
        <v/>
      </c>
      <c r="H117" s="10"/>
      <c r="I117" s="10"/>
      <c r="J117" s="10"/>
    </row>
    <row r="118" customFormat="false" ht="15" hidden="false" customHeight="false" outlineLevel="0" collapsed="false">
      <c r="A118" s="17" t="str">
        <f aca="false">IF(B118="","",ROW()-4)</f>
        <v/>
      </c>
      <c r="B118" s="10"/>
      <c r="C118" s="17" t="str">
        <f aca="false">IF(B118="","",IFERROR(INDEX(NV_TEN,MATCH(B118,NV_MA,0)),"MÃ KHÔNG CÓ"))</f>
        <v/>
      </c>
      <c r="D118" s="10"/>
      <c r="E118" s="10"/>
      <c r="F118" s="18"/>
      <c r="G118" s="27" t="str">
        <f aca="false">IF(F118="","",IF(E118="LAK",F118*TYGIA_LAK,F118))</f>
        <v/>
      </c>
      <c r="H118" s="10"/>
      <c r="I118" s="10"/>
      <c r="J118" s="10"/>
    </row>
    <row r="119" customFormat="false" ht="15" hidden="false" customHeight="false" outlineLevel="0" collapsed="false">
      <c r="A119" s="17" t="str">
        <f aca="false">IF(B119="","",ROW()-4)</f>
        <v/>
      </c>
      <c r="B119" s="10"/>
      <c r="C119" s="17" t="str">
        <f aca="false">IF(B119="","",IFERROR(INDEX(NV_TEN,MATCH(B119,NV_MA,0)),"MÃ KHÔNG CÓ"))</f>
        <v/>
      </c>
      <c r="D119" s="10"/>
      <c r="E119" s="10"/>
      <c r="F119" s="18"/>
      <c r="G119" s="27" t="str">
        <f aca="false">IF(F119="","",IF(E119="LAK",F119*TYGIA_LAK,F119))</f>
        <v/>
      </c>
      <c r="H119" s="10"/>
      <c r="I119" s="10"/>
      <c r="J119" s="10"/>
    </row>
    <row r="120" customFormat="false" ht="15" hidden="false" customHeight="false" outlineLevel="0" collapsed="false">
      <c r="A120" s="17" t="str">
        <f aca="false">IF(B120="","",ROW()-4)</f>
        <v/>
      </c>
      <c r="B120" s="10"/>
      <c r="C120" s="17" t="str">
        <f aca="false">IF(B120="","",IFERROR(INDEX(NV_TEN,MATCH(B120,NV_MA,0)),"MÃ KHÔNG CÓ"))</f>
        <v/>
      </c>
      <c r="D120" s="10"/>
      <c r="E120" s="10"/>
      <c r="F120" s="18"/>
      <c r="G120" s="27" t="str">
        <f aca="false">IF(F120="","",IF(E120="LAK",F120*TYGIA_LAK,F120))</f>
        <v/>
      </c>
      <c r="H120" s="10"/>
      <c r="I120" s="10"/>
      <c r="J120" s="10"/>
    </row>
    <row r="121" customFormat="false" ht="15" hidden="false" customHeight="false" outlineLevel="0" collapsed="false">
      <c r="A121" s="17" t="str">
        <f aca="false">IF(B121="","",ROW()-4)</f>
        <v/>
      </c>
      <c r="B121" s="10"/>
      <c r="C121" s="17" t="str">
        <f aca="false">IF(B121="","",IFERROR(INDEX(NV_TEN,MATCH(B121,NV_MA,0)),"MÃ KHÔNG CÓ"))</f>
        <v/>
      </c>
      <c r="D121" s="10"/>
      <c r="E121" s="10"/>
      <c r="F121" s="18"/>
      <c r="G121" s="27" t="str">
        <f aca="false">IF(F121="","",IF(E121="LAK",F121*TYGIA_LAK,F121))</f>
        <v/>
      </c>
      <c r="H121" s="10"/>
      <c r="I121" s="10"/>
      <c r="J121" s="10"/>
    </row>
    <row r="122" customFormat="false" ht="15" hidden="false" customHeight="false" outlineLevel="0" collapsed="false">
      <c r="A122" s="17" t="str">
        <f aca="false">IF(B122="","",ROW()-4)</f>
        <v/>
      </c>
      <c r="B122" s="10"/>
      <c r="C122" s="17" t="str">
        <f aca="false">IF(B122="","",IFERROR(INDEX(NV_TEN,MATCH(B122,NV_MA,0)),"MÃ KHÔNG CÓ"))</f>
        <v/>
      </c>
      <c r="D122" s="10"/>
      <c r="E122" s="10"/>
      <c r="F122" s="18"/>
      <c r="G122" s="27" t="str">
        <f aca="false">IF(F122="","",IF(E122="LAK",F122*TYGIA_LAK,F122))</f>
        <v/>
      </c>
      <c r="H122" s="10"/>
      <c r="I122" s="10"/>
      <c r="J122" s="10"/>
    </row>
    <row r="123" customFormat="false" ht="15" hidden="false" customHeight="false" outlineLevel="0" collapsed="false">
      <c r="A123" s="17" t="str">
        <f aca="false">IF(B123="","",ROW()-4)</f>
        <v/>
      </c>
      <c r="B123" s="10"/>
      <c r="C123" s="17" t="str">
        <f aca="false">IF(B123="","",IFERROR(INDEX(NV_TEN,MATCH(B123,NV_MA,0)),"MÃ KHÔNG CÓ"))</f>
        <v/>
      </c>
      <c r="D123" s="10"/>
      <c r="E123" s="10"/>
      <c r="F123" s="18"/>
      <c r="G123" s="27" t="str">
        <f aca="false">IF(F123="","",IF(E123="LAK",F123*TYGIA_LAK,F123))</f>
        <v/>
      </c>
      <c r="H123" s="10"/>
      <c r="I123" s="10"/>
      <c r="J123" s="10"/>
    </row>
    <row r="124" customFormat="false" ht="15" hidden="false" customHeight="false" outlineLevel="0" collapsed="false">
      <c r="A124" s="17" t="str">
        <f aca="false">IF(B124="","",ROW()-4)</f>
        <v/>
      </c>
      <c r="B124" s="10"/>
      <c r="C124" s="17" t="str">
        <f aca="false">IF(B124="","",IFERROR(INDEX(NV_TEN,MATCH(B124,NV_MA,0)),"MÃ KHÔNG CÓ"))</f>
        <v/>
      </c>
      <c r="D124" s="10"/>
      <c r="E124" s="10"/>
      <c r="F124" s="18"/>
      <c r="G124" s="27" t="str">
        <f aca="false">IF(F124="","",IF(E124="LAK",F124*TYGIA_LAK,F124))</f>
        <v/>
      </c>
      <c r="H124" s="10"/>
      <c r="I124" s="10"/>
      <c r="J124" s="10"/>
    </row>
    <row r="125" customFormat="false" ht="15" hidden="false" customHeight="false" outlineLevel="0" collapsed="false">
      <c r="A125" s="17" t="str">
        <f aca="false">IF(B125="","",ROW()-4)</f>
        <v/>
      </c>
      <c r="B125" s="10"/>
      <c r="C125" s="17" t="str">
        <f aca="false">IF(B125="","",IFERROR(INDEX(NV_TEN,MATCH(B125,NV_MA,0)),"MÃ KHÔNG CÓ"))</f>
        <v/>
      </c>
      <c r="D125" s="10"/>
      <c r="E125" s="10"/>
      <c r="F125" s="18"/>
      <c r="G125" s="27" t="str">
        <f aca="false">IF(F125="","",IF(E125="LAK",F125*TYGIA_LAK,F125))</f>
        <v/>
      </c>
      <c r="H125" s="10"/>
      <c r="I125" s="10"/>
      <c r="J125" s="10"/>
    </row>
    <row r="126" customFormat="false" ht="15" hidden="false" customHeight="false" outlineLevel="0" collapsed="false">
      <c r="A126" s="17" t="str">
        <f aca="false">IF(B126="","",ROW()-4)</f>
        <v/>
      </c>
      <c r="B126" s="10"/>
      <c r="C126" s="17" t="str">
        <f aca="false">IF(B126="","",IFERROR(INDEX(NV_TEN,MATCH(B126,NV_MA,0)),"MÃ KHÔNG CÓ"))</f>
        <v/>
      </c>
      <c r="D126" s="10"/>
      <c r="E126" s="10"/>
      <c r="F126" s="18"/>
      <c r="G126" s="27" t="str">
        <f aca="false">IF(F126="","",IF(E126="LAK",F126*TYGIA_LAK,F126))</f>
        <v/>
      </c>
      <c r="H126" s="10"/>
      <c r="I126" s="10"/>
      <c r="J126" s="10"/>
    </row>
    <row r="127" customFormat="false" ht="15" hidden="false" customHeight="false" outlineLevel="0" collapsed="false">
      <c r="A127" s="17" t="str">
        <f aca="false">IF(B127="","",ROW()-4)</f>
        <v/>
      </c>
      <c r="B127" s="10"/>
      <c r="C127" s="17" t="str">
        <f aca="false">IF(B127="","",IFERROR(INDEX(NV_TEN,MATCH(B127,NV_MA,0)),"MÃ KHÔNG CÓ"))</f>
        <v/>
      </c>
      <c r="D127" s="10"/>
      <c r="E127" s="10"/>
      <c r="F127" s="18"/>
      <c r="G127" s="27" t="str">
        <f aca="false">IF(F127="","",IF(E127="LAK",F127*TYGIA_LAK,F127))</f>
        <v/>
      </c>
      <c r="H127" s="10"/>
      <c r="I127" s="10"/>
      <c r="J127" s="10"/>
    </row>
    <row r="128" customFormat="false" ht="15" hidden="false" customHeight="false" outlineLevel="0" collapsed="false">
      <c r="A128" s="17" t="str">
        <f aca="false">IF(B128="","",ROW()-4)</f>
        <v/>
      </c>
      <c r="B128" s="10"/>
      <c r="C128" s="17" t="str">
        <f aca="false">IF(B128="","",IFERROR(INDEX(NV_TEN,MATCH(B128,NV_MA,0)),"MÃ KHÔNG CÓ"))</f>
        <v/>
      </c>
      <c r="D128" s="10"/>
      <c r="E128" s="10"/>
      <c r="F128" s="18"/>
      <c r="G128" s="27" t="str">
        <f aca="false">IF(F128="","",IF(E128="LAK",F128*TYGIA_LAK,F128))</f>
        <v/>
      </c>
      <c r="H128" s="10"/>
      <c r="I128" s="10"/>
      <c r="J128" s="10"/>
    </row>
    <row r="129" customFormat="false" ht="15" hidden="false" customHeight="false" outlineLevel="0" collapsed="false">
      <c r="A129" s="17" t="str">
        <f aca="false">IF(B129="","",ROW()-4)</f>
        <v/>
      </c>
      <c r="B129" s="10"/>
      <c r="C129" s="17" t="str">
        <f aca="false">IF(B129="","",IFERROR(INDEX(NV_TEN,MATCH(B129,NV_MA,0)),"MÃ KHÔNG CÓ"))</f>
        <v/>
      </c>
      <c r="D129" s="10"/>
      <c r="E129" s="10"/>
      <c r="F129" s="18"/>
      <c r="G129" s="27" t="str">
        <f aca="false">IF(F129="","",IF(E129="LAK",F129*TYGIA_LAK,F129))</f>
        <v/>
      </c>
      <c r="H129" s="10"/>
      <c r="I129" s="10"/>
      <c r="J129" s="10"/>
    </row>
    <row r="130" customFormat="false" ht="15" hidden="false" customHeight="false" outlineLevel="0" collapsed="false">
      <c r="A130" s="17" t="str">
        <f aca="false">IF(B130="","",ROW()-4)</f>
        <v/>
      </c>
      <c r="B130" s="10"/>
      <c r="C130" s="17" t="str">
        <f aca="false">IF(B130="","",IFERROR(INDEX(NV_TEN,MATCH(B130,NV_MA,0)),"MÃ KHÔNG CÓ"))</f>
        <v/>
      </c>
      <c r="D130" s="10"/>
      <c r="E130" s="10"/>
      <c r="F130" s="18"/>
      <c r="G130" s="27" t="str">
        <f aca="false">IF(F130="","",IF(E130="LAK",F130*TYGIA_LAK,F130))</f>
        <v/>
      </c>
      <c r="H130" s="10"/>
      <c r="I130" s="10"/>
      <c r="J130" s="10"/>
    </row>
    <row r="131" customFormat="false" ht="15" hidden="false" customHeight="false" outlineLevel="0" collapsed="false">
      <c r="A131" s="17" t="str">
        <f aca="false">IF(B131="","",ROW()-4)</f>
        <v/>
      </c>
      <c r="B131" s="10"/>
      <c r="C131" s="17" t="str">
        <f aca="false">IF(B131="","",IFERROR(INDEX(NV_TEN,MATCH(B131,NV_MA,0)),"MÃ KHÔNG CÓ"))</f>
        <v/>
      </c>
      <c r="D131" s="10"/>
      <c r="E131" s="10"/>
      <c r="F131" s="18"/>
      <c r="G131" s="27" t="str">
        <f aca="false">IF(F131="","",IF(E131="LAK",F131*TYGIA_LAK,F131))</f>
        <v/>
      </c>
      <c r="H131" s="10"/>
      <c r="I131" s="10"/>
      <c r="J131" s="10"/>
    </row>
    <row r="132" customFormat="false" ht="15" hidden="false" customHeight="false" outlineLevel="0" collapsed="false">
      <c r="A132" s="17" t="str">
        <f aca="false">IF(B132="","",ROW()-4)</f>
        <v/>
      </c>
      <c r="B132" s="10"/>
      <c r="C132" s="17" t="str">
        <f aca="false">IF(B132="","",IFERROR(INDEX(NV_TEN,MATCH(B132,NV_MA,0)),"MÃ KHÔNG CÓ"))</f>
        <v/>
      </c>
      <c r="D132" s="10"/>
      <c r="E132" s="10"/>
      <c r="F132" s="18"/>
      <c r="G132" s="27" t="str">
        <f aca="false">IF(F132="","",IF(E132="LAK",F132*TYGIA_LAK,F132))</f>
        <v/>
      </c>
      <c r="H132" s="10"/>
      <c r="I132" s="10"/>
      <c r="J132" s="10"/>
    </row>
    <row r="133" customFormat="false" ht="15" hidden="false" customHeight="false" outlineLevel="0" collapsed="false">
      <c r="A133" s="17" t="str">
        <f aca="false">IF(B133="","",ROW()-4)</f>
        <v/>
      </c>
      <c r="B133" s="10"/>
      <c r="C133" s="17" t="str">
        <f aca="false">IF(B133="","",IFERROR(INDEX(NV_TEN,MATCH(B133,NV_MA,0)),"MÃ KHÔNG CÓ"))</f>
        <v/>
      </c>
      <c r="D133" s="10"/>
      <c r="E133" s="10"/>
      <c r="F133" s="18"/>
      <c r="G133" s="27" t="str">
        <f aca="false">IF(F133="","",IF(E133="LAK",F133*TYGIA_LAK,F133))</f>
        <v/>
      </c>
      <c r="H133" s="10"/>
      <c r="I133" s="10"/>
      <c r="J133" s="10"/>
    </row>
    <row r="134" customFormat="false" ht="15" hidden="false" customHeight="false" outlineLevel="0" collapsed="false">
      <c r="A134" s="17" t="str">
        <f aca="false">IF(B134="","",ROW()-4)</f>
        <v/>
      </c>
      <c r="B134" s="10"/>
      <c r="C134" s="17" t="str">
        <f aca="false">IF(B134="","",IFERROR(INDEX(NV_TEN,MATCH(B134,NV_MA,0)),"MÃ KHÔNG CÓ"))</f>
        <v/>
      </c>
      <c r="D134" s="10"/>
      <c r="E134" s="10"/>
      <c r="F134" s="18"/>
      <c r="G134" s="27" t="str">
        <f aca="false">IF(F134="","",IF(E134="LAK",F134*TYGIA_LAK,F134))</f>
        <v/>
      </c>
      <c r="H134" s="10"/>
      <c r="I134" s="10"/>
      <c r="J134" s="10"/>
    </row>
    <row r="135" customFormat="false" ht="15" hidden="false" customHeight="false" outlineLevel="0" collapsed="false">
      <c r="A135" s="17" t="str">
        <f aca="false">IF(B135="","",ROW()-4)</f>
        <v/>
      </c>
      <c r="B135" s="10"/>
      <c r="C135" s="17" t="str">
        <f aca="false">IF(B135="","",IFERROR(INDEX(NV_TEN,MATCH(B135,NV_MA,0)),"MÃ KHÔNG CÓ"))</f>
        <v/>
      </c>
      <c r="D135" s="10"/>
      <c r="E135" s="10"/>
      <c r="F135" s="18"/>
      <c r="G135" s="27" t="str">
        <f aca="false">IF(F135="","",IF(E135="LAK",F135*TYGIA_LAK,F135))</f>
        <v/>
      </c>
      <c r="H135" s="10"/>
      <c r="I135" s="10"/>
      <c r="J135" s="10"/>
    </row>
    <row r="136" customFormat="false" ht="15" hidden="false" customHeight="false" outlineLevel="0" collapsed="false">
      <c r="A136" s="17" t="str">
        <f aca="false">IF(B136="","",ROW()-4)</f>
        <v/>
      </c>
      <c r="B136" s="10"/>
      <c r="C136" s="17" t="str">
        <f aca="false">IF(B136="","",IFERROR(INDEX(NV_TEN,MATCH(B136,NV_MA,0)),"MÃ KHÔNG CÓ"))</f>
        <v/>
      </c>
      <c r="D136" s="10"/>
      <c r="E136" s="10"/>
      <c r="F136" s="18"/>
      <c r="G136" s="27" t="str">
        <f aca="false">IF(F136="","",IF(E136="LAK",F136*TYGIA_LAK,F136))</f>
        <v/>
      </c>
      <c r="H136" s="10"/>
      <c r="I136" s="10"/>
      <c r="J136" s="10"/>
    </row>
    <row r="137" customFormat="false" ht="15" hidden="false" customHeight="false" outlineLevel="0" collapsed="false">
      <c r="A137" s="17" t="str">
        <f aca="false">IF(B137="","",ROW()-4)</f>
        <v/>
      </c>
      <c r="B137" s="10"/>
      <c r="C137" s="17" t="str">
        <f aca="false">IF(B137="","",IFERROR(INDEX(NV_TEN,MATCH(B137,NV_MA,0)),"MÃ KHÔNG CÓ"))</f>
        <v/>
      </c>
      <c r="D137" s="10"/>
      <c r="E137" s="10"/>
      <c r="F137" s="18"/>
      <c r="G137" s="27" t="str">
        <f aca="false">IF(F137="","",IF(E137="LAK",F137*TYGIA_LAK,F137))</f>
        <v/>
      </c>
      <c r="H137" s="10"/>
      <c r="I137" s="10"/>
      <c r="J137" s="10"/>
    </row>
    <row r="138" customFormat="false" ht="15" hidden="false" customHeight="false" outlineLevel="0" collapsed="false">
      <c r="A138" s="17" t="str">
        <f aca="false">IF(B138="","",ROW()-4)</f>
        <v/>
      </c>
      <c r="B138" s="10"/>
      <c r="C138" s="17" t="str">
        <f aca="false">IF(B138="","",IFERROR(INDEX(NV_TEN,MATCH(B138,NV_MA,0)),"MÃ KHÔNG CÓ"))</f>
        <v/>
      </c>
      <c r="D138" s="10"/>
      <c r="E138" s="10"/>
      <c r="F138" s="18"/>
      <c r="G138" s="27" t="str">
        <f aca="false">IF(F138="","",IF(E138="LAK",F138*TYGIA_LAK,F138))</f>
        <v/>
      </c>
      <c r="H138" s="10"/>
      <c r="I138" s="10"/>
      <c r="J138" s="10"/>
    </row>
    <row r="139" customFormat="false" ht="15" hidden="false" customHeight="false" outlineLevel="0" collapsed="false">
      <c r="A139" s="17" t="str">
        <f aca="false">IF(B139="","",ROW()-4)</f>
        <v/>
      </c>
      <c r="B139" s="10"/>
      <c r="C139" s="17" t="str">
        <f aca="false">IF(B139="","",IFERROR(INDEX(NV_TEN,MATCH(B139,NV_MA,0)),"MÃ KHÔNG CÓ"))</f>
        <v/>
      </c>
      <c r="D139" s="10"/>
      <c r="E139" s="10"/>
      <c r="F139" s="18"/>
      <c r="G139" s="27" t="str">
        <f aca="false">IF(F139="","",IF(E139="LAK",F139*TYGIA_LAK,F139))</f>
        <v/>
      </c>
      <c r="H139" s="10"/>
      <c r="I139" s="10"/>
      <c r="J139" s="10"/>
    </row>
    <row r="140" customFormat="false" ht="15" hidden="false" customHeight="false" outlineLevel="0" collapsed="false">
      <c r="A140" s="17" t="str">
        <f aca="false">IF(B140="","",ROW()-4)</f>
        <v/>
      </c>
      <c r="B140" s="10"/>
      <c r="C140" s="17" t="str">
        <f aca="false">IF(B140="","",IFERROR(INDEX(NV_TEN,MATCH(B140,NV_MA,0)),"MÃ KHÔNG CÓ"))</f>
        <v/>
      </c>
      <c r="D140" s="10"/>
      <c r="E140" s="10"/>
      <c r="F140" s="18"/>
      <c r="G140" s="27" t="str">
        <f aca="false">IF(F140="","",IF(E140="LAK",F140*TYGIA_LAK,F140))</f>
        <v/>
      </c>
      <c r="H140" s="10"/>
      <c r="I140" s="10"/>
      <c r="J140" s="10"/>
    </row>
    <row r="141" customFormat="false" ht="15" hidden="false" customHeight="false" outlineLevel="0" collapsed="false">
      <c r="A141" s="17" t="str">
        <f aca="false">IF(B141="","",ROW()-4)</f>
        <v/>
      </c>
      <c r="B141" s="10"/>
      <c r="C141" s="17" t="str">
        <f aca="false">IF(B141="","",IFERROR(INDEX(NV_TEN,MATCH(B141,NV_MA,0)),"MÃ KHÔNG CÓ"))</f>
        <v/>
      </c>
      <c r="D141" s="10"/>
      <c r="E141" s="10"/>
      <c r="F141" s="18"/>
      <c r="G141" s="27" t="str">
        <f aca="false">IF(F141="","",IF(E141="LAK",F141*TYGIA_LAK,F141))</f>
        <v/>
      </c>
      <c r="H141" s="10"/>
      <c r="I141" s="10"/>
      <c r="J141" s="10"/>
    </row>
    <row r="142" customFormat="false" ht="15" hidden="false" customHeight="false" outlineLevel="0" collapsed="false">
      <c r="A142" s="17" t="str">
        <f aca="false">IF(B142="","",ROW()-4)</f>
        <v/>
      </c>
      <c r="B142" s="10"/>
      <c r="C142" s="17" t="str">
        <f aca="false">IF(B142="","",IFERROR(INDEX(NV_TEN,MATCH(B142,NV_MA,0)),"MÃ KHÔNG CÓ"))</f>
        <v/>
      </c>
      <c r="D142" s="10"/>
      <c r="E142" s="10"/>
      <c r="F142" s="18"/>
      <c r="G142" s="27" t="str">
        <f aca="false">IF(F142="","",IF(E142="LAK",F142*TYGIA_LAK,F142))</f>
        <v/>
      </c>
      <c r="H142" s="10"/>
      <c r="I142" s="10"/>
      <c r="J142" s="10"/>
    </row>
    <row r="143" customFormat="false" ht="15" hidden="false" customHeight="false" outlineLevel="0" collapsed="false">
      <c r="A143" s="17" t="str">
        <f aca="false">IF(B143="","",ROW()-4)</f>
        <v/>
      </c>
      <c r="B143" s="10"/>
      <c r="C143" s="17" t="str">
        <f aca="false">IF(B143="","",IFERROR(INDEX(NV_TEN,MATCH(B143,NV_MA,0)),"MÃ KHÔNG CÓ"))</f>
        <v/>
      </c>
      <c r="D143" s="10"/>
      <c r="E143" s="10"/>
      <c r="F143" s="18"/>
      <c r="G143" s="27" t="str">
        <f aca="false">IF(F143="","",IF(E143="LAK",F143*TYGIA_LAK,F143))</f>
        <v/>
      </c>
      <c r="H143" s="10"/>
      <c r="I143" s="10"/>
      <c r="J143" s="10"/>
    </row>
    <row r="144" customFormat="false" ht="15" hidden="false" customHeight="false" outlineLevel="0" collapsed="false">
      <c r="A144" s="17" t="str">
        <f aca="false">IF(B144="","",ROW()-4)</f>
        <v/>
      </c>
      <c r="B144" s="10"/>
      <c r="C144" s="17" t="str">
        <f aca="false">IF(B144="","",IFERROR(INDEX(NV_TEN,MATCH(B144,NV_MA,0)),"MÃ KHÔNG CÓ"))</f>
        <v/>
      </c>
      <c r="D144" s="10"/>
      <c r="E144" s="10"/>
      <c r="F144" s="18"/>
      <c r="G144" s="27" t="str">
        <f aca="false">IF(F144="","",IF(E144="LAK",F144*TYGIA_LAK,F144))</f>
        <v/>
      </c>
      <c r="H144" s="10"/>
      <c r="I144" s="10"/>
      <c r="J144" s="10"/>
    </row>
    <row r="145" customFormat="false" ht="15" hidden="false" customHeight="false" outlineLevel="0" collapsed="false">
      <c r="A145" s="17" t="str">
        <f aca="false">IF(B145="","",ROW()-4)</f>
        <v/>
      </c>
      <c r="B145" s="10"/>
      <c r="C145" s="17" t="str">
        <f aca="false">IF(B145="","",IFERROR(INDEX(NV_TEN,MATCH(B145,NV_MA,0)),"MÃ KHÔNG CÓ"))</f>
        <v/>
      </c>
      <c r="D145" s="10"/>
      <c r="E145" s="10"/>
      <c r="F145" s="18"/>
      <c r="G145" s="27" t="str">
        <f aca="false">IF(F145="","",IF(E145="LAK",F145*TYGIA_LAK,F145))</f>
        <v/>
      </c>
      <c r="H145" s="10"/>
      <c r="I145" s="10"/>
      <c r="J145" s="10"/>
    </row>
    <row r="146" customFormat="false" ht="15" hidden="false" customHeight="false" outlineLevel="0" collapsed="false">
      <c r="A146" s="17" t="str">
        <f aca="false">IF(B146="","",ROW()-4)</f>
        <v/>
      </c>
      <c r="B146" s="10"/>
      <c r="C146" s="17" t="str">
        <f aca="false">IF(B146="","",IFERROR(INDEX(NV_TEN,MATCH(B146,NV_MA,0)),"MÃ KHÔNG CÓ"))</f>
        <v/>
      </c>
      <c r="D146" s="10"/>
      <c r="E146" s="10"/>
      <c r="F146" s="18"/>
      <c r="G146" s="27" t="str">
        <f aca="false">IF(F146="","",IF(E146="LAK",F146*TYGIA_LAK,F146))</f>
        <v/>
      </c>
      <c r="H146" s="10"/>
      <c r="I146" s="10"/>
      <c r="J146" s="10"/>
    </row>
    <row r="147" customFormat="false" ht="15" hidden="false" customHeight="false" outlineLevel="0" collapsed="false">
      <c r="A147" s="17" t="str">
        <f aca="false">IF(B147="","",ROW()-4)</f>
        <v/>
      </c>
      <c r="B147" s="10"/>
      <c r="C147" s="17" t="str">
        <f aca="false">IF(B147="","",IFERROR(INDEX(NV_TEN,MATCH(B147,NV_MA,0)),"MÃ KHÔNG CÓ"))</f>
        <v/>
      </c>
      <c r="D147" s="10"/>
      <c r="E147" s="10"/>
      <c r="F147" s="18"/>
      <c r="G147" s="27" t="str">
        <f aca="false">IF(F147="","",IF(E147="LAK",F147*TYGIA_LAK,F147))</f>
        <v/>
      </c>
      <c r="H147" s="10"/>
      <c r="I147" s="10"/>
      <c r="J147" s="10"/>
    </row>
    <row r="148" customFormat="false" ht="15" hidden="false" customHeight="false" outlineLevel="0" collapsed="false">
      <c r="A148" s="17" t="str">
        <f aca="false">IF(B148="","",ROW()-4)</f>
        <v/>
      </c>
      <c r="B148" s="10"/>
      <c r="C148" s="17" t="str">
        <f aca="false">IF(B148="","",IFERROR(INDEX(NV_TEN,MATCH(B148,NV_MA,0)),"MÃ KHÔNG CÓ"))</f>
        <v/>
      </c>
      <c r="D148" s="10"/>
      <c r="E148" s="10"/>
      <c r="F148" s="18"/>
      <c r="G148" s="27" t="str">
        <f aca="false">IF(F148="","",IF(E148="LAK",F148*TYGIA_LAK,F148))</f>
        <v/>
      </c>
      <c r="H148" s="10"/>
      <c r="I148" s="10"/>
      <c r="J148" s="10"/>
    </row>
    <row r="149" customFormat="false" ht="15" hidden="false" customHeight="false" outlineLevel="0" collapsed="false">
      <c r="A149" s="17" t="str">
        <f aca="false">IF(B149="","",ROW()-4)</f>
        <v/>
      </c>
      <c r="B149" s="10"/>
      <c r="C149" s="17" t="str">
        <f aca="false">IF(B149="","",IFERROR(INDEX(NV_TEN,MATCH(B149,NV_MA,0)),"MÃ KHÔNG CÓ"))</f>
        <v/>
      </c>
      <c r="D149" s="10"/>
      <c r="E149" s="10"/>
      <c r="F149" s="18"/>
      <c r="G149" s="27" t="str">
        <f aca="false">IF(F149="","",IF(E149="LAK",F149*TYGIA_LAK,F149))</f>
        <v/>
      </c>
      <c r="H149" s="10"/>
      <c r="I149" s="10"/>
      <c r="J149" s="10"/>
    </row>
  </sheetData>
  <sheetProtection sheet="true" formatColumns="false" formatRows="false"/>
  <dataValidations count="2">
    <dataValidation allowBlank="true" errorStyle="stop" operator="between" showDropDown="false" showErrorMessage="false" showInputMessage="false" sqref="D5:D200" type="list">
      <formula1>"Cộng,Tạm ứng,Trừ"</formula1>
      <formula2>0</formula2>
    </dataValidation>
    <dataValidation allowBlank="true" errorStyle="stop" operator="between" showDropDown="false" showErrorMessage="false" showInputMessage="false" sqref="E5:E200" type="list">
      <formula1>"VND,LAK"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22"/>
    <col collapsed="false" customWidth="true" hidden="false" outlineLevel="0" max="4" min="4" style="0" width="13"/>
    <col collapsed="false" customWidth="true" hidden="false" outlineLevel="0" max="5" min="5" style="0" width="12"/>
    <col collapsed="false" customWidth="true" hidden="false" outlineLevel="0" max="7" min="6" style="0" width="11"/>
    <col collapsed="false" customWidth="true" hidden="false" outlineLevel="0" max="8" min="8" style="0" width="7"/>
    <col collapsed="false" customWidth="true" hidden="false" outlineLevel="0" max="10" min="9" style="0" width="8"/>
    <col collapsed="false" customWidth="true" hidden="false" outlineLevel="0" max="11" min="11" style="0" width="12"/>
    <col collapsed="false" customWidth="true" hidden="false" outlineLevel="0" max="14" min="12" style="0" width="10"/>
    <col collapsed="false" customWidth="true" hidden="false" outlineLevel="0" max="16" min="15" style="0" width="11"/>
    <col collapsed="false" customWidth="true" hidden="false" outlineLevel="0" max="17" min="17" style="0" width="10"/>
    <col collapsed="false" customWidth="true" hidden="false" outlineLevel="0" max="18" min="18" style="0" width="13"/>
    <col collapsed="false" customWidth="true" hidden="false" outlineLevel="0" max="20" min="19" style="0" width="10"/>
    <col collapsed="false" customWidth="true" hidden="false" outlineLevel="0" max="21" min="21" style="0" width="13"/>
    <col collapsed="false" customWidth="true" hidden="false" outlineLevel="0" max="22" min="22" style="0" width="14"/>
    <col collapsed="false" customWidth="true" hidden="false" outlineLevel="0" max="23" min="23" style="0" width="25"/>
  </cols>
  <sheetData>
    <row r="1" customFormat="false" ht="17.35" hidden="false" customHeight="false" outlineLevel="0" collapsed="false">
      <c r="A1" s="1" t="s">
        <v>332</v>
      </c>
    </row>
    <row r="2" customFormat="false" ht="15" hidden="false" customHeight="false" outlineLevel="0" collapsed="false">
      <c r="A2" s="2" t="s">
        <v>333</v>
      </c>
    </row>
    <row r="4" customFormat="false" ht="48" hidden="false" customHeight="true" outlineLevel="0" collapsed="false">
      <c r="A4" s="14" t="s">
        <v>85</v>
      </c>
      <c r="B4" s="14" t="s">
        <v>86</v>
      </c>
      <c r="C4" s="14" t="s">
        <v>87</v>
      </c>
      <c r="D4" s="14" t="s">
        <v>56</v>
      </c>
      <c r="E4" s="14" t="s">
        <v>89</v>
      </c>
      <c r="F4" s="14" t="s">
        <v>334</v>
      </c>
      <c r="G4" s="14" t="s">
        <v>214</v>
      </c>
      <c r="H4" s="14" t="s">
        <v>335</v>
      </c>
      <c r="I4" s="14" t="s">
        <v>267</v>
      </c>
      <c r="J4" s="14" t="s">
        <v>268</v>
      </c>
      <c r="K4" s="14" t="s">
        <v>336</v>
      </c>
      <c r="L4" s="14" t="s">
        <v>337</v>
      </c>
      <c r="M4" s="14" t="s">
        <v>338</v>
      </c>
      <c r="N4" s="14" t="s">
        <v>339</v>
      </c>
      <c r="O4" s="14" t="s">
        <v>340</v>
      </c>
      <c r="P4" s="14" t="s">
        <v>341</v>
      </c>
      <c r="Q4" s="14" t="s">
        <v>342</v>
      </c>
      <c r="R4" s="14" t="s">
        <v>343</v>
      </c>
      <c r="S4" s="14" t="s">
        <v>344</v>
      </c>
      <c r="T4" s="14" t="s">
        <v>345</v>
      </c>
      <c r="U4" s="14" t="s">
        <v>346</v>
      </c>
      <c r="V4" s="14" t="s">
        <v>347</v>
      </c>
      <c r="W4" s="14" t="s">
        <v>97</v>
      </c>
    </row>
    <row r="5" customFormat="false" ht="32.8" hidden="false" customHeight="false" outlineLevel="0" collapsed="false">
      <c r="F5" s="20" t="s">
        <v>348</v>
      </c>
      <c r="G5" s="20" t="s">
        <v>349</v>
      </c>
      <c r="I5" s="20" t="s">
        <v>350</v>
      </c>
      <c r="J5" s="20" t="s">
        <v>351</v>
      </c>
      <c r="K5" s="20" t="s">
        <v>352</v>
      </c>
      <c r="L5" s="20" t="s">
        <v>353</v>
      </c>
      <c r="N5" s="20" t="s">
        <v>354</v>
      </c>
      <c r="O5" s="20" t="s">
        <v>355</v>
      </c>
      <c r="P5" s="20" t="s">
        <v>356</v>
      </c>
      <c r="Q5" s="20" t="s">
        <v>357</v>
      </c>
      <c r="R5" s="20" t="s">
        <v>358</v>
      </c>
      <c r="S5" s="20" t="s">
        <v>359</v>
      </c>
    </row>
    <row r="6" customFormat="false" ht="15" hidden="false" customHeight="false" outlineLevel="0" collapsed="false">
      <c r="A6" s="17" t="n">
        <f aca="false">IF(B6="","",ROW()-5)</f>
        <v>1</v>
      </c>
      <c r="B6" s="29" t="str">
        <f aca="false">IF(BCC!B6="","",BCC!B6)</f>
        <v>RSS-01</v>
      </c>
      <c r="C6" s="17" t="str">
        <f aca="false">IF(B6="","",BCC!C6)</f>
        <v>Hồ Thị Lẽ</v>
      </c>
      <c r="D6" s="17" t="str">
        <f aca="false">IF(B6="","",BCC!D6)</f>
        <v>RSS HAPĐ</v>
      </c>
      <c r="E6" s="17" t="str">
        <f aca="false">IF(B6="","",IFERROR(INDEX(NV_HT,MATCH(B6,NV_MA,0)),""))</f>
        <v>Lương ngày</v>
      </c>
      <c r="F6" s="27" t="n">
        <f aca="false">IF(B6="","",IF(N(BCC!E6)&gt;0,BCC!E6,IF(AND(N(IFERROR(INDEX(NV_DG,MATCH(B6,NV_MA,0)),0))&gt;0,IFERROR(INDEX(NV_NHOM,MATCH(B6,NV_MA,0)),"")=D6),INDEX(NV_DG,MATCH(B6,NV_MA,0)),IFERROR(INDEX(NH_DG,MATCH(D6,NH_TEN,0)),0))))</f>
        <v>350000</v>
      </c>
      <c r="G6" s="27" t="n">
        <f aca="false">IF(B6="","",N(IFERROR(INDEX(NV_LT,MATCH(B6,NV_MA,0)),0)))</f>
        <v>0</v>
      </c>
      <c r="H6" s="22" t="n">
        <f aca="false">IF(B6="","",BCC!AL6)</f>
        <v>249</v>
      </c>
      <c r="I6" s="23" t="n">
        <f aca="false">IF(B6="","",BCC!AM6)</f>
        <v>31.125</v>
      </c>
      <c r="J6" s="23" t="n">
        <f aca="false">IF(B6="","",BCC!AN6)</f>
        <v>0</v>
      </c>
      <c r="K6" s="27" t="n">
        <f aca="false">IF(B6="","",IF(E6="Khoán tháng",G6,IF(E6="Lương tháng",G6/INDEX(NH_CHIA,MATCH(D6,NH_TEN,0))*MIN(I6,INDEX(NH_CHIA,MATCH(D6,NH_TEN,0))),I6*F6)))</f>
        <v>10893750</v>
      </c>
      <c r="L6" s="27" t="n">
        <f aca="false">IF(B6="","",(I6-J6)*INDEX(NH_HTN,MATCH(D6,NH_TEN,0)))</f>
        <v>0</v>
      </c>
      <c r="M6" s="27" t="n">
        <f aca="false">IF(B6="","",J6*INDEX(NH_HTD,MATCH(D6,NH_TEN,0)))</f>
        <v>0</v>
      </c>
      <c r="N6" s="27" t="n">
        <f aca="false">IF(B6="","",I6*IF(N(IFERROR(INDEX(NV_AN,MATCH(B6,NV_MA,0)),0))&gt;0,INDEX(NV_AN,MATCH(B6,NV_MA,0)),INDEX(NH_AN,MATCH(D6,NH_TEN,0))))</f>
        <v>0</v>
      </c>
      <c r="O6" s="27" t="n">
        <f aca="false">IF(B6="","",N(KT_NGUOI!AL6))</f>
        <v>0</v>
      </c>
      <c r="P6" s="27" t="n">
        <f aca="false">IF(OR(B6="",COUNTIF($B$6:B6,B6)&gt;1),0,SUMPRODUCT(((KT_M1=B6)+(KT_M2=B6)+(KT_M3=B6))*(KT_LOAI="Đích danh")*KT_PHAN))</f>
        <v>0</v>
      </c>
      <c r="Q6" s="27" t="n">
        <f aca="false">IF(OR(B6="",COUNTIF($B$6:B6,B6)&gt;1),0,SUMIFS(DC_VND,DC_MA,$B6,DC_LOAI,"Cộng"))</f>
        <v>0</v>
      </c>
      <c r="R6" s="30" t="n">
        <f aca="false">IF(B6="","",SUM(K6:Q6))</f>
        <v>10893750</v>
      </c>
      <c r="S6" s="27" t="n">
        <f aca="false">IF(OR(B6="",COUNTIF($B$6:B6,B6)&gt;1),0,SUMIFS(DC_VND,DC_MA,$B6,DC_LOAI,"Tạm ứng"))</f>
        <v>0</v>
      </c>
      <c r="T6" s="27" t="n">
        <f aca="false">IF(OR(B6="",COUNTIF($B$6:B6,B6)&gt;1),0,SUMIFS(DC_VND,DC_MA,$B6,DC_LOAI,"Trừ"))</f>
        <v>0</v>
      </c>
      <c r="U6" s="27" t="n">
        <f aca="false">IF(B6="","",ROUNDDOWN((R6-S6-T6)/INDEX(NH_LT,MATCH(D6,NH_TEN,0)),0)*INDEX(NH_LT,MATCH(D6,NH_TEN,0)))</f>
        <v>10893750</v>
      </c>
      <c r="V6" s="30" t="n">
        <f aca="false">IF(B6="","",IF(COUNTIF($B$6:B6,B6)&gt;1,"",SUMIFS($U$6:$U$100,$B$6:$B$100,B6)))</f>
        <v>10893750</v>
      </c>
      <c r="W6" s="16"/>
    </row>
    <row r="7" customFormat="false" ht="15" hidden="false" customHeight="false" outlineLevel="0" collapsed="false">
      <c r="A7" s="17" t="n">
        <f aca="false">IF(B7="","",ROW()-5)</f>
        <v>2</v>
      </c>
      <c r="B7" s="29" t="str">
        <f aca="false">IF(BCC!B7="","",BCC!B7)</f>
        <v>RSS-02</v>
      </c>
      <c r="C7" s="17" t="str">
        <f aca="false">IF(B7="","",BCC!C7)</f>
        <v>Thèn Thị Giang</v>
      </c>
      <c r="D7" s="17" t="str">
        <f aca="false">IF(B7="","",BCC!D7)</f>
        <v>RSS HAPĐ</v>
      </c>
      <c r="E7" s="17" t="str">
        <f aca="false">IF(B7="","",IFERROR(INDEX(NV_HT,MATCH(B7,NV_MA,0)),""))</f>
        <v>Lương ngày</v>
      </c>
      <c r="F7" s="27" t="n">
        <f aca="false">IF(B7="","",IF(N(BCC!E7)&gt;0,BCC!E7,IF(AND(N(IFERROR(INDEX(NV_DG,MATCH(B7,NV_MA,0)),0))&gt;0,IFERROR(INDEX(NV_NHOM,MATCH(B7,NV_MA,0)),"")=D7),INDEX(NV_DG,MATCH(B7,NV_MA,0)),IFERROR(INDEX(NH_DG,MATCH(D7,NH_TEN,0)),0))))</f>
        <v>350000</v>
      </c>
      <c r="G7" s="27" t="n">
        <f aca="false">IF(B7="","",N(IFERROR(INDEX(NV_LT,MATCH(B7,NV_MA,0)),0)))</f>
        <v>0</v>
      </c>
      <c r="H7" s="22" t="n">
        <f aca="false">IF(B7="","",BCC!AL7)</f>
        <v>211</v>
      </c>
      <c r="I7" s="23" t="n">
        <f aca="false">IF(B7="","",BCC!AM7)</f>
        <v>26.375</v>
      </c>
      <c r="J7" s="23" t="n">
        <f aca="false">IF(B7="","",BCC!AN7)</f>
        <v>0</v>
      </c>
      <c r="K7" s="27" t="n">
        <f aca="false">IF(B7="","",IF(E7="Khoán tháng",G7,IF(E7="Lương tháng",G7/INDEX(NH_CHIA,MATCH(D7,NH_TEN,0))*MIN(I7,INDEX(NH_CHIA,MATCH(D7,NH_TEN,0))),I7*F7)))</f>
        <v>9231250</v>
      </c>
      <c r="L7" s="27" t="n">
        <f aca="false">IF(B7="","",(I7-J7)*INDEX(NH_HTN,MATCH(D7,NH_TEN,0)))</f>
        <v>0</v>
      </c>
      <c r="M7" s="27" t="n">
        <f aca="false">IF(B7="","",J7*INDEX(NH_HTD,MATCH(D7,NH_TEN,0)))</f>
        <v>0</v>
      </c>
      <c r="N7" s="27" t="n">
        <f aca="false">IF(B7="","",I7*IF(N(IFERROR(INDEX(NV_AN,MATCH(B7,NV_MA,0)),0))&gt;0,INDEX(NV_AN,MATCH(B7,NV_MA,0)),INDEX(NH_AN,MATCH(D7,NH_TEN,0))))</f>
        <v>0</v>
      </c>
      <c r="O7" s="27" t="n">
        <f aca="false">IF(B7="","",N(KT_NGUOI!AL7))</f>
        <v>0</v>
      </c>
      <c r="P7" s="27" t="n">
        <f aca="false">IF(OR(B7="",COUNTIF($B$6:B7,B7)&gt;1),0,SUMPRODUCT(((KT_M1=B7)+(KT_M2=B7)+(KT_M3=B7))*(KT_LOAI="Đích danh")*KT_PHAN))</f>
        <v>0</v>
      </c>
      <c r="Q7" s="27" t="n">
        <f aca="false">IF(OR(B7="",COUNTIF($B$6:B7,B7)&gt;1),0,SUMIFS(DC_VND,DC_MA,$B7,DC_LOAI,"Cộng"))</f>
        <v>0</v>
      </c>
      <c r="R7" s="30" t="n">
        <f aca="false">IF(B7="","",SUM(K7:Q7))</f>
        <v>9231250</v>
      </c>
      <c r="S7" s="27" t="n">
        <f aca="false">IF(OR(B7="",COUNTIF($B$6:B7,B7)&gt;1),0,SUMIFS(DC_VND,DC_MA,$B7,DC_LOAI,"Tạm ứng"))</f>
        <v>0</v>
      </c>
      <c r="T7" s="27" t="n">
        <f aca="false">IF(OR(B7="",COUNTIF($B$6:B7,B7)&gt;1),0,SUMIFS(DC_VND,DC_MA,$B7,DC_LOAI,"Trừ"))</f>
        <v>0</v>
      </c>
      <c r="U7" s="27" t="n">
        <f aca="false">IF(B7="","",ROUNDDOWN((R7-S7-T7)/INDEX(NH_LT,MATCH(D7,NH_TEN,0)),0)*INDEX(NH_LT,MATCH(D7,NH_TEN,0)))</f>
        <v>9231250</v>
      </c>
      <c r="V7" s="30" t="n">
        <f aca="false">IF(B7="","",IF(COUNTIF($B$6:B7,B7)&gt;1,"",SUMIFS($U$6:$U$100,$B$6:$B$100,B7)))</f>
        <v>9231250</v>
      </c>
      <c r="W7" s="16"/>
    </row>
    <row r="8" customFormat="false" ht="15" hidden="false" customHeight="false" outlineLevel="0" collapsed="false">
      <c r="A8" s="17" t="n">
        <f aca="false">IF(B8="","",ROW()-5)</f>
        <v>3</v>
      </c>
      <c r="B8" s="29" t="str">
        <f aca="false">IF(BCC!B8="","",BCC!B8)</f>
        <v>RSS-03</v>
      </c>
      <c r="C8" s="17" t="str">
        <f aca="false">IF(B8="","",BCC!C8)</f>
        <v>Lê Văn Nghị</v>
      </c>
      <c r="D8" s="17" t="str">
        <f aca="false">IF(B8="","",BCC!D8)</f>
        <v>RSS HAPĐ</v>
      </c>
      <c r="E8" s="17" t="str">
        <f aca="false">IF(B8="","",IFERROR(INDEX(NV_HT,MATCH(B8,NV_MA,0)),""))</f>
        <v>Lương ngày</v>
      </c>
      <c r="F8" s="27" t="n">
        <f aca="false">IF(B8="","",IF(N(BCC!E8)&gt;0,BCC!E8,IF(AND(N(IFERROR(INDEX(NV_DG,MATCH(B8,NV_MA,0)),0))&gt;0,IFERROR(INDEX(NV_NHOM,MATCH(B8,NV_MA,0)),"")=D8),INDEX(NV_DG,MATCH(B8,NV_MA,0)),IFERROR(INDEX(NH_DG,MATCH(D8,NH_TEN,0)),0))))</f>
        <v>370000</v>
      </c>
      <c r="G8" s="27" t="n">
        <f aca="false">IF(B8="","",N(IFERROR(INDEX(NV_LT,MATCH(B8,NV_MA,0)),0)))</f>
        <v>0</v>
      </c>
      <c r="H8" s="22" t="n">
        <f aca="false">IF(B8="","",BCC!AL8)</f>
        <v>290</v>
      </c>
      <c r="I8" s="23" t="n">
        <f aca="false">IF(B8="","",BCC!AM8)</f>
        <v>36.25</v>
      </c>
      <c r="J8" s="23" t="n">
        <f aca="false">IF(B8="","",BCC!AN8)</f>
        <v>0</v>
      </c>
      <c r="K8" s="27" t="n">
        <f aca="false">IF(B8="","",IF(E8="Khoán tháng",G8,IF(E8="Lương tháng",G8/INDEX(NH_CHIA,MATCH(D8,NH_TEN,0))*MIN(I8,INDEX(NH_CHIA,MATCH(D8,NH_TEN,0))),I8*F8)))</f>
        <v>13412500</v>
      </c>
      <c r="L8" s="27" t="n">
        <f aca="false">IF(B8="","",(I8-J8)*INDEX(NH_HTN,MATCH(D8,NH_TEN,0)))</f>
        <v>0</v>
      </c>
      <c r="M8" s="27" t="n">
        <f aca="false">IF(B8="","",J8*INDEX(NH_HTD,MATCH(D8,NH_TEN,0)))</f>
        <v>0</v>
      </c>
      <c r="N8" s="27" t="n">
        <f aca="false">IF(B8="","",I8*IF(N(IFERROR(INDEX(NV_AN,MATCH(B8,NV_MA,0)),0))&gt;0,INDEX(NV_AN,MATCH(B8,NV_MA,0)),INDEX(NH_AN,MATCH(D8,NH_TEN,0))))</f>
        <v>0</v>
      </c>
      <c r="O8" s="27" t="n">
        <f aca="false">IF(B8="","",N(KT_NGUOI!AL8))</f>
        <v>0</v>
      </c>
      <c r="P8" s="27" t="n">
        <f aca="false">IF(OR(B8="",COUNTIF($B$6:B8,B8)&gt;1),0,SUMPRODUCT(((KT_M1=B8)+(KT_M2=B8)+(KT_M3=B8))*(KT_LOAI="Đích danh")*KT_PHAN))</f>
        <v>0</v>
      </c>
      <c r="Q8" s="27" t="n">
        <f aca="false">IF(OR(B8="",COUNTIF($B$6:B8,B8)&gt;1),0,SUMIFS(DC_VND,DC_MA,$B8,DC_LOAI,"Cộng"))</f>
        <v>1000000</v>
      </c>
      <c r="R8" s="30" t="n">
        <f aca="false">IF(B8="","",SUM(K8:Q8))</f>
        <v>14412500</v>
      </c>
      <c r="S8" s="27" t="n">
        <f aca="false">IF(OR(B8="",COUNTIF($B$6:B8,B8)&gt;1),0,SUMIFS(DC_VND,DC_MA,$B8,DC_LOAI,"Tạm ứng"))</f>
        <v>0</v>
      </c>
      <c r="T8" s="27" t="n">
        <f aca="false">IF(OR(B8="",COUNTIF($B$6:B8,B8)&gt;1),0,SUMIFS(DC_VND,DC_MA,$B8,DC_LOAI,"Trừ"))</f>
        <v>0</v>
      </c>
      <c r="U8" s="27" t="n">
        <f aca="false">IF(B8="","",ROUNDDOWN((R8-S8-T8)/INDEX(NH_LT,MATCH(D8,NH_TEN,0)),0)*INDEX(NH_LT,MATCH(D8,NH_TEN,0)))</f>
        <v>14412500</v>
      </c>
      <c r="V8" s="30" t="n">
        <f aca="false">IF(B8="","",IF(COUNTIF($B$6:B8,B8)&gt;1,"",SUMIFS($U$6:$U$100,$B$6:$B$100,B8)))</f>
        <v>18162500</v>
      </c>
      <c r="W8" s="16"/>
    </row>
    <row r="9" customFormat="false" ht="15" hidden="false" customHeight="false" outlineLevel="0" collapsed="false">
      <c r="A9" s="17" t="n">
        <f aca="false">IF(B9="","",ROW()-5)</f>
        <v>4</v>
      </c>
      <c r="B9" s="29" t="str">
        <f aca="false">IF(BCC!B9="","",BCC!B9)</f>
        <v>RSS-04</v>
      </c>
      <c r="C9" s="17" t="str">
        <f aca="false">IF(B9="","",BCC!C9)</f>
        <v>Trần Thắng</v>
      </c>
      <c r="D9" s="17" t="str">
        <f aca="false">IF(B9="","",BCC!D9)</f>
        <v>RSS HAPĐ</v>
      </c>
      <c r="E9" s="17" t="str">
        <f aca="false">IF(B9="","",IFERROR(INDEX(NV_HT,MATCH(B9,NV_MA,0)),""))</f>
        <v>Lương ngày</v>
      </c>
      <c r="F9" s="27" t="n">
        <f aca="false">IF(B9="","",IF(N(BCC!E9)&gt;0,BCC!E9,IF(AND(N(IFERROR(INDEX(NV_DG,MATCH(B9,NV_MA,0)),0))&gt;0,IFERROR(INDEX(NV_NHOM,MATCH(B9,NV_MA,0)),"")=D9),INDEX(NV_DG,MATCH(B9,NV_MA,0)),IFERROR(INDEX(NH_DG,MATCH(D9,NH_TEN,0)),0))))</f>
        <v>350000</v>
      </c>
      <c r="G9" s="27" t="n">
        <f aca="false">IF(B9="","",N(IFERROR(INDEX(NV_LT,MATCH(B9,NV_MA,0)),0)))</f>
        <v>0</v>
      </c>
      <c r="H9" s="22" t="n">
        <f aca="false">IF(B9="","",BCC!AL9)</f>
        <v>248</v>
      </c>
      <c r="I9" s="23" t="n">
        <f aca="false">IF(B9="","",BCC!AM9)</f>
        <v>31</v>
      </c>
      <c r="J9" s="23" t="n">
        <f aca="false">IF(B9="","",BCC!AN9)</f>
        <v>0</v>
      </c>
      <c r="K9" s="27" t="n">
        <f aca="false">IF(B9="","",IF(E9="Khoán tháng",G9,IF(E9="Lương tháng",G9/INDEX(NH_CHIA,MATCH(D9,NH_TEN,0))*MIN(I9,INDEX(NH_CHIA,MATCH(D9,NH_TEN,0))),I9*F9)))</f>
        <v>10850000</v>
      </c>
      <c r="L9" s="27" t="n">
        <f aca="false">IF(B9="","",(I9-J9)*INDEX(NH_HTN,MATCH(D9,NH_TEN,0)))</f>
        <v>0</v>
      </c>
      <c r="M9" s="27" t="n">
        <f aca="false">IF(B9="","",J9*INDEX(NH_HTD,MATCH(D9,NH_TEN,0)))</f>
        <v>0</v>
      </c>
      <c r="N9" s="27" t="n">
        <f aca="false">IF(B9="","",I9*IF(N(IFERROR(INDEX(NV_AN,MATCH(B9,NV_MA,0)),0))&gt;0,INDEX(NV_AN,MATCH(B9,NV_MA,0)),INDEX(NH_AN,MATCH(D9,NH_TEN,0))))</f>
        <v>0</v>
      </c>
      <c r="O9" s="27" t="n">
        <f aca="false">IF(B9="","",N(KT_NGUOI!AL9))</f>
        <v>0</v>
      </c>
      <c r="P9" s="27" t="n">
        <f aca="false">IF(OR(B9="",COUNTIF($B$6:B9,B9)&gt;1),0,SUMPRODUCT(((KT_M1=B9)+(KT_M2=B9)+(KT_M3=B9))*(KT_LOAI="Đích danh")*KT_PHAN))</f>
        <v>0</v>
      </c>
      <c r="Q9" s="27" t="n">
        <f aca="false">IF(OR(B9="",COUNTIF($B$6:B9,B9)&gt;1),0,SUMIFS(DC_VND,DC_MA,$B9,DC_LOAI,"Cộng"))</f>
        <v>0</v>
      </c>
      <c r="R9" s="30" t="n">
        <f aca="false">IF(B9="","",SUM(K9:Q9))</f>
        <v>10850000</v>
      </c>
      <c r="S9" s="27" t="n">
        <f aca="false">IF(OR(B9="",COUNTIF($B$6:B9,B9)&gt;1),0,SUMIFS(DC_VND,DC_MA,$B9,DC_LOAI,"Tạm ứng"))</f>
        <v>0</v>
      </c>
      <c r="T9" s="27" t="n">
        <f aca="false">IF(OR(B9="",COUNTIF($B$6:B9,B9)&gt;1),0,SUMIFS(DC_VND,DC_MA,$B9,DC_LOAI,"Trừ"))</f>
        <v>0</v>
      </c>
      <c r="U9" s="27" t="n">
        <f aca="false">IF(B9="","",ROUNDDOWN((R9-S9-T9)/INDEX(NH_LT,MATCH(D9,NH_TEN,0)),0)*INDEX(NH_LT,MATCH(D9,NH_TEN,0)))</f>
        <v>10850000</v>
      </c>
      <c r="V9" s="30" t="n">
        <f aca="false">IF(B9="","",IF(COUNTIF($B$6:B9,B9)&gt;1,"",SUMIFS($U$6:$U$100,$B$6:$B$100,B9)))</f>
        <v>14600000</v>
      </c>
      <c r="W9" s="16"/>
    </row>
    <row r="10" customFormat="false" ht="15" hidden="false" customHeight="false" outlineLevel="0" collapsed="false">
      <c r="A10" s="17" t="n">
        <f aca="false">IF(B10="","",ROW()-5)</f>
        <v>5</v>
      </c>
      <c r="B10" s="29" t="str">
        <f aca="false">IF(BCC!B10="","",BCC!B10)</f>
        <v>RSS-05</v>
      </c>
      <c r="C10" s="17" t="str">
        <f aca="false">IF(B10="","",BCC!C10)</f>
        <v>Trần Phước Hùng</v>
      </c>
      <c r="D10" s="17" t="str">
        <f aca="false">IF(B10="","",BCC!D10)</f>
        <v>RSS HAPĐ</v>
      </c>
      <c r="E10" s="17" t="str">
        <f aca="false">IF(B10="","",IFERROR(INDEX(NV_HT,MATCH(B10,NV_MA,0)),""))</f>
        <v>Lương ngày</v>
      </c>
      <c r="F10" s="27" t="n">
        <f aca="false">IF(B10="","",IF(N(BCC!E10)&gt;0,BCC!E10,IF(AND(N(IFERROR(INDEX(NV_DG,MATCH(B10,NV_MA,0)),0))&gt;0,IFERROR(INDEX(NV_NHOM,MATCH(B10,NV_MA,0)),"")=D10),INDEX(NV_DG,MATCH(B10,NV_MA,0)),IFERROR(INDEX(NH_DG,MATCH(D10,NH_TEN,0)),0))))</f>
        <v>350000</v>
      </c>
      <c r="G10" s="27" t="n">
        <f aca="false">IF(B10="","",N(IFERROR(INDEX(NV_LT,MATCH(B10,NV_MA,0)),0)))</f>
        <v>0</v>
      </c>
      <c r="H10" s="22" t="n">
        <f aca="false">IF(B10="","",BCC!AL10)</f>
        <v>206.5</v>
      </c>
      <c r="I10" s="23" t="n">
        <f aca="false">IF(B10="","",BCC!AM10)</f>
        <v>25.8125</v>
      </c>
      <c r="J10" s="23" t="n">
        <f aca="false">IF(B10="","",BCC!AN10)</f>
        <v>0</v>
      </c>
      <c r="K10" s="27" t="n">
        <f aca="false">IF(B10="","",IF(E10="Khoán tháng",G10,IF(E10="Lương tháng",G10/INDEX(NH_CHIA,MATCH(D10,NH_TEN,0))*MIN(I10,INDEX(NH_CHIA,MATCH(D10,NH_TEN,0))),I10*F10)))</f>
        <v>9034375</v>
      </c>
      <c r="L10" s="27" t="n">
        <f aca="false">IF(B10="","",(I10-J10)*INDEX(NH_HTN,MATCH(D10,NH_TEN,0)))</f>
        <v>0</v>
      </c>
      <c r="M10" s="27" t="n">
        <f aca="false">IF(B10="","",J10*INDEX(NH_HTD,MATCH(D10,NH_TEN,0)))</f>
        <v>0</v>
      </c>
      <c r="N10" s="27" t="n">
        <f aca="false">IF(B10="","",I10*IF(N(IFERROR(INDEX(NV_AN,MATCH(B10,NV_MA,0)),0))&gt;0,INDEX(NV_AN,MATCH(B10,NV_MA,0)),INDEX(NH_AN,MATCH(D10,NH_TEN,0))))</f>
        <v>0</v>
      </c>
      <c r="O10" s="27" t="n">
        <f aca="false">IF(B10="","",N(KT_NGUOI!AL10))</f>
        <v>0</v>
      </c>
      <c r="P10" s="27" t="n">
        <f aca="false">IF(OR(B10="",COUNTIF($B$6:B10,B10)&gt;1),0,SUMPRODUCT(((KT_M1=B10)+(KT_M2=B10)+(KT_M3=B10))*(KT_LOAI="Đích danh")*KT_PHAN))</f>
        <v>0</v>
      </c>
      <c r="Q10" s="27" t="n">
        <f aca="false">IF(OR(B10="",COUNTIF($B$6:B10,B10)&gt;1),0,SUMIFS(DC_VND,DC_MA,$B10,DC_LOAI,"Cộng"))</f>
        <v>0</v>
      </c>
      <c r="R10" s="30" t="n">
        <f aca="false">IF(B10="","",SUM(K10:Q10))</f>
        <v>9034375</v>
      </c>
      <c r="S10" s="27" t="n">
        <f aca="false">IF(OR(B10="",COUNTIF($B$6:B10,B10)&gt;1),0,SUMIFS(DC_VND,DC_MA,$B10,DC_LOAI,"Tạm ứng"))</f>
        <v>0</v>
      </c>
      <c r="T10" s="27" t="n">
        <f aca="false">IF(OR(B10="",COUNTIF($B$6:B10,B10)&gt;1),0,SUMIFS(DC_VND,DC_MA,$B10,DC_LOAI,"Trừ"))</f>
        <v>0</v>
      </c>
      <c r="U10" s="27" t="n">
        <f aca="false">IF(B10="","",ROUNDDOWN((R10-S10-T10)/INDEX(NH_LT,MATCH(D10,NH_TEN,0)),0)*INDEX(NH_LT,MATCH(D10,NH_TEN,0)))</f>
        <v>9034375</v>
      </c>
      <c r="V10" s="30" t="n">
        <f aca="false">IF(B10="","",IF(COUNTIF($B$6:B10,B10)&gt;1,"",SUMIFS($U$6:$U$100,$B$6:$B$100,B10)))</f>
        <v>9034375</v>
      </c>
      <c r="W10" s="16"/>
    </row>
    <row r="11" customFormat="false" ht="15" hidden="false" customHeight="false" outlineLevel="0" collapsed="false">
      <c r="A11" s="17" t="n">
        <f aca="false">IF(B11="","",ROW()-5)</f>
        <v>6</v>
      </c>
      <c r="B11" s="29" t="str">
        <f aca="false">IF(BCC!B11="","",BCC!B11)</f>
        <v>RSS-06</v>
      </c>
      <c r="C11" s="17" t="str">
        <f aca="false">IF(B11="","",BCC!C11)</f>
        <v>Lê Thị Hảo</v>
      </c>
      <c r="D11" s="17" t="str">
        <f aca="false">IF(B11="","",BCC!D11)</f>
        <v>RSS HAPĐ</v>
      </c>
      <c r="E11" s="17" t="str">
        <f aca="false">IF(B11="","",IFERROR(INDEX(NV_HT,MATCH(B11,NV_MA,0)),""))</f>
        <v>Lương ngày</v>
      </c>
      <c r="F11" s="27" t="n">
        <f aca="false">IF(B11="","",IF(N(BCC!E11)&gt;0,BCC!E11,IF(AND(N(IFERROR(INDEX(NV_DG,MATCH(B11,NV_MA,0)),0))&gt;0,IFERROR(INDEX(NV_NHOM,MATCH(B11,NV_MA,0)),"")=D11),INDEX(NV_DG,MATCH(B11,NV_MA,0)),IFERROR(INDEX(NH_DG,MATCH(D11,NH_TEN,0)),0))))</f>
        <v>350000</v>
      </c>
      <c r="G11" s="27" t="n">
        <f aca="false">IF(B11="","",N(IFERROR(INDEX(NV_LT,MATCH(B11,NV_MA,0)),0)))</f>
        <v>0</v>
      </c>
      <c r="H11" s="22" t="n">
        <f aca="false">IF(B11="","",BCC!AL11)</f>
        <v>60</v>
      </c>
      <c r="I11" s="23" t="n">
        <f aca="false">IF(B11="","",BCC!AM11)</f>
        <v>7.5</v>
      </c>
      <c r="J11" s="23" t="n">
        <f aca="false">IF(B11="","",BCC!AN11)</f>
        <v>0</v>
      </c>
      <c r="K11" s="27" t="n">
        <f aca="false">IF(B11="","",IF(E11="Khoán tháng",G11,IF(E11="Lương tháng",G11/INDEX(NH_CHIA,MATCH(D11,NH_TEN,0))*MIN(I11,INDEX(NH_CHIA,MATCH(D11,NH_TEN,0))),I11*F11)))</f>
        <v>2625000</v>
      </c>
      <c r="L11" s="27" t="n">
        <f aca="false">IF(B11="","",(I11-J11)*INDEX(NH_HTN,MATCH(D11,NH_TEN,0)))</f>
        <v>0</v>
      </c>
      <c r="M11" s="27" t="n">
        <f aca="false">IF(B11="","",J11*INDEX(NH_HTD,MATCH(D11,NH_TEN,0)))</f>
        <v>0</v>
      </c>
      <c r="N11" s="27" t="n">
        <f aca="false">IF(B11="","",I11*IF(N(IFERROR(INDEX(NV_AN,MATCH(B11,NV_MA,0)),0))&gt;0,INDEX(NV_AN,MATCH(B11,NV_MA,0)),INDEX(NH_AN,MATCH(D11,NH_TEN,0))))</f>
        <v>0</v>
      </c>
      <c r="O11" s="27" t="n">
        <f aca="false">IF(B11="","",N(KT_NGUOI!AL11))</f>
        <v>0</v>
      </c>
      <c r="P11" s="27" t="n">
        <f aca="false">IF(OR(B11="",COUNTIF($B$6:B11,B11)&gt;1),0,SUMPRODUCT(((KT_M1=B11)+(KT_M2=B11)+(KT_M3=B11))*(KT_LOAI="Đích danh")*KT_PHAN))</f>
        <v>0</v>
      </c>
      <c r="Q11" s="27" t="n">
        <f aca="false">IF(OR(B11="",COUNTIF($B$6:B11,B11)&gt;1),0,SUMIFS(DC_VND,DC_MA,$B11,DC_LOAI,"Cộng"))</f>
        <v>0</v>
      </c>
      <c r="R11" s="30" t="n">
        <f aca="false">IF(B11="","",SUM(K11:Q11))</f>
        <v>2625000</v>
      </c>
      <c r="S11" s="27" t="n">
        <f aca="false">IF(OR(B11="",COUNTIF($B$6:B11,B11)&gt;1),0,SUMIFS(DC_VND,DC_MA,$B11,DC_LOAI,"Tạm ứng"))</f>
        <v>0</v>
      </c>
      <c r="T11" s="27" t="n">
        <f aca="false">IF(OR(B11="",COUNTIF($B$6:B11,B11)&gt;1),0,SUMIFS(DC_VND,DC_MA,$B11,DC_LOAI,"Trừ"))</f>
        <v>0</v>
      </c>
      <c r="U11" s="27" t="n">
        <f aca="false">IF(B11="","",ROUNDDOWN((R11-S11-T11)/INDEX(NH_LT,MATCH(D11,NH_TEN,0)),0)*INDEX(NH_LT,MATCH(D11,NH_TEN,0)))</f>
        <v>2625000</v>
      </c>
      <c r="V11" s="30" t="n">
        <f aca="false">IF(B11="","",IF(COUNTIF($B$6:B11,B11)&gt;1,"",SUMIFS($U$6:$U$100,$B$6:$B$100,B11)))</f>
        <v>2625000</v>
      </c>
      <c r="W11" s="16"/>
    </row>
    <row r="12" customFormat="false" ht="15" hidden="false" customHeight="false" outlineLevel="0" collapsed="false">
      <c r="A12" s="17" t="n">
        <f aca="false">IF(B12="","",ROW()-5)</f>
        <v>7</v>
      </c>
      <c r="B12" s="29" t="str">
        <f aca="false">IF(BCC!B12="","",BCC!B12)</f>
        <v>RSS-07</v>
      </c>
      <c r="C12" s="17" t="str">
        <f aca="false">IF(B12="","",BCC!C12)</f>
        <v>Dương Thị Huệ</v>
      </c>
      <c r="D12" s="17" t="str">
        <f aca="false">IF(B12="","",BCC!D12)</f>
        <v>RSS HAPĐ</v>
      </c>
      <c r="E12" s="17" t="str">
        <f aca="false">IF(B12="","",IFERROR(INDEX(NV_HT,MATCH(B12,NV_MA,0)),""))</f>
        <v>Lương ngày</v>
      </c>
      <c r="F12" s="27" t="n">
        <f aca="false">IF(B12="","",IF(N(BCC!E12)&gt;0,BCC!E12,IF(AND(N(IFERROR(INDEX(NV_DG,MATCH(B12,NV_MA,0)),0))&gt;0,IFERROR(INDEX(NV_NHOM,MATCH(B12,NV_MA,0)),"")=D12),INDEX(NV_DG,MATCH(B12,NV_MA,0)),IFERROR(INDEX(NH_DG,MATCH(D12,NH_TEN,0)),0))))</f>
        <v>350000</v>
      </c>
      <c r="G12" s="27" t="n">
        <f aca="false">IF(B12="","",N(IFERROR(INDEX(NV_LT,MATCH(B12,NV_MA,0)),0)))</f>
        <v>0</v>
      </c>
      <c r="H12" s="22" t="n">
        <f aca="false">IF(B12="","",BCC!AL12)</f>
        <v>221</v>
      </c>
      <c r="I12" s="23" t="n">
        <f aca="false">IF(B12="","",BCC!AM12)</f>
        <v>27.625</v>
      </c>
      <c r="J12" s="23" t="n">
        <f aca="false">IF(B12="","",BCC!AN12)</f>
        <v>0</v>
      </c>
      <c r="K12" s="27" t="n">
        <f aca="false">IF(B12="","",IF(E12="Khoán tháng",G12,IF(E12="Lương tháng",G12/INDEX(NH_CHIA,MATCH(D12,NH_TEN,0))*MIN(I12,INDEX(NH_CHIA,MATCH(D12,NH_TEN,0))),I12*F12)))</f>
        <v>9668750</v>
      </c>
      <c r="L12" s="27" t="n">
        <f aca="false">IF(B12="","",(I12-J12)*INDEX(NH_HTN,MATCH(D12,NH_TEN,0)))</f>
        <v>0</v>
      </c>
      <c r="M12" s="27" t="n">
        <f aca="false">IF(B12="","",J12*INDEX(NH_HTD,MATCH(D12,NH_TEN,0)))</f>
        <v>0</v>
      </c>
      <c r="N12" s="27" t="n">
        <f aca="false">IF(B12="","",I12*IF(N(IFERROR(INDEX(NV_AN,MATCH(B12,NV_MA,0)),0))&gt;0,INDEX(NV_AN,MATCH(B12,NV_MA,0)),INDEX(NH_AN,MATCH(D12,NH_TEN,0))))</f>
        <v>0</v>
      </c>
      <c r="O12" s="27" t="n">
        <f aca="false">IF(B12="","",N(KT_NGUOI!AL12))</f>
        <v>0</v>
      </c>
      <c r="P12" s="27" t="n">
        <f aca="false">IF(OR(B12="",COUNTIF($B$6:B12,B12)&gt;1),0,SUMPRODUCT(((KT_M1=B12)+(KT_M2=B12)+(KT_M3=B12))*(KT_LOAI="Đích danh")*KT_PHAN))</f>
        <v>0</v>
      </c>
      <c r="Q12" s="27" t="n">
        <f aca="false">IF(OR(B12="",COUNTIF($B$6:B12,B12)&gt;1),0,SUMIFS(DC_VND,DC_MA,$B12,DC_LOAI,"Cộng"))</f>
        <v>0</v>
      </c>
      <c r="R12" s="30" t="n">
        <f aca="false">IF(B12="","",SUM(K12:Q12))</f>
        <v>9668750</v>
      </c>
      <c r="S12" s="27" t="n">
        <f aca="false">IF(OR(B12="",COUNTIF($B$6:B12,B12)&gt;1),0,SUMIFS(DC_VND,DC_MA,$B12,DC_LOAI,"Tạm ứng"))</f>
        <v>0</v>
      </c>
      <c r="T12" s="27" t="n">
        <f aca="false">IF(OR(B12="",COUNTIF($B$6:B12,B12)&gt;1),0,SUMIFS(DC_VND,DC_MA,$B12,DC_LOAI,"Trừ"))</f>
        <v>0</v>
      </c>
      <c r="U12" s="27" t="n">
        <f aca="false">IF(B12="","",ROUNDDOWN((R12-S12-T12)/INDEX(NH_LT,MATCH(D12,NH_TEN,0)),0)*INDEX(NH_LT,MATCH(D12,NH_TEN,0)))</f>
        <v>9668750</v>
      </c>
      <c r="V12" s="30" t="n">
        <f aca="false">IF(B12="","",IF(COUNTIF($B$6:B12,B12)&gt;1,"",SUMIFS($U$6:$U$100,$B$6:$B$100,B12)))</f>
        <v>9668750</v>
      </c>
      <c r="W12" s="16"/>
    </row>
    <row r="13" customFormat="false" ht="15" hidden="false" customHeight="false" outlineLevel="0" collapsed="false">
      <c r="A13" s="17" t="n">
        <f aca="false">IF(B13="","",ROW()-5)</f>
        <v>8</v>
      </c>
      <c r="B13" s="29" t="str">
        <f aca="false">IF(BCC!B13="","",BCC!B13)</f>
        <v>RSS-08</v>
      </c>
      <c r="C13" s="17" t="str">
        <f aca="false">IF(B13="","",BCC!C13)</f>
        <v>Lê Thị Như Ý</v>
      </c>
      <c r="D13" s="17" t="str">
        <f aca="false">IF(B13="","",BCC!D13)</f>
        <v>RSS HAPĐ</v>
      </c>
      <c r="E13" s="17" t="str">
        <f aca="false">IF(B13="","",IFERROR(INDEX(NV_HT,MATCH(B13,NV_MA,0)),""))</f>
        <v>Lương ngày</v>
      </c>
      <c r="F13" s="27" t="n">
        <f aca="false">IF(B13="","",IF(N(BCC!E13)&gt;0,BCC!E13,IF(AND(N(IFERROR(INDEX(NV_DG,MATCH(B13,NV_MA,0)),0))&gt;0,IFERROR(INDEX(NV_NHOM,MATCH(B13,NV_MA,0)),"")=D13),INDEX(NV_DG,MATCH(B13,NV_MA,0)),IFERROR(INDEX(NH_DG,MATCH(D13,NH_TEN,0)),0))))</f>
        <v>350000</v>
      </c>
      <c r="G13" s="27" t="n">
        <f aca="false">IF(B13="","",N(IFERROR(INDEX(NV_LT,MATCH(B13,NV_MA,0)),0)))</f>
        <v>0</v>
      </c>
      <c r="H13" s="22" t="n">
        <f aca="false">IF(B13="","",BCC!AL13)</f>
        <v>40</v>
      </c>
      <c r="I13" s="23" t="n">
        <f aca="false">IF(B13="","",BCC!AM13)</f>
        <v>5</v>
      </c>
      <c r="J13" s="23" t="n">
        <f aca="false">IF(B13="","",BCC!AN13)</f>
        <v>0</v>
      </c>
      <c r="K13" s="27" t="n">
        <f aca="false">IF(B13="","",IF(E13="Khoán tháng",G13,IF(E13="Lương tháng",G13/INDEX(NH_CHIA,MATCH(D13,NH_TEN,0))*MIN(I13,INDEX(NH_CHIA,MATCH(D13,NH_TEN,0))),I13*F13)))</f>
        <v>1750000</v>
      </c>
      <c r="L13" s="27" t="n">
        <f aca="false">IF(B13="","",(I13-J13)*INDEX(NH_HTN,MATCH(D13,NH_TEN,0)))</f>
        <v>0</v>
      </c>
      <c r="M13" s="27" t="n">
        <f aca="false">IF(B13="","",J13*INDEX(NH_HTD,MATCH(D13,NH_TEN,0)))</f>
        <v>0</v>
      </c>
      <c r="N13" s="27" t="n">
        <f aca="false">IF(B13="","",I13*IF(N(IFERROR(INDEX(NV_AN,MATCH(B13,NV_MA,0)),0))&gt;0,INDEX(NV_AN,MATCH(B13,NV_MA,0)),INDEX(NH_AN,MATCH(D13,NH_TEN,0))))</f>
        <v>0</v>
      </c>
      <c r="O13" s="27" t="n">
        <f aca="false">IF(B13="","",N(KT_NGUOI!AL13))</f>
        <v>0</v>
      </c>
      <c r="P13" s="27" t="n">
        <f aca="false">IF(OR(B13="",COUNTIF($B$6:B13,B13)&gt;1),0,SUMPRODUCT(((KT_M1=B13)+(KT_M2=B13)+(KT_M3=B13))*(KT_LOAI="Đích danh")*KT_PHAN))</f>
        <v>0</v>
      </c>
      <c r="Q13" s="27" t="n">
        <f aca="false">IF(OR(B13="",COUNTIF($B$6:B13,B13)&gt;1),0,SUMIFS(DC_VND,DC_MA,$B13,DC_LOAI,"Cộng"))</f>
        <v>0</v>
      </c>
      <c r="R13" s="30" t="n">
        <f aca="false">IF(B13="","",SUM(K13:Q13))</f>
        <v>1750000</v>
      </c>
      <c r="S13" s="27" t="n">
        <f aca="false">IF(OR(B13="",COUNTIF($B$6:B13,B13)&gt;1),0,SUMIFS(DC_VND,DC_MA,$B13,DC_LOAI,"Tạm ứng"))</f>
        <v>0</v>
      </c>
      <c r="T13" s="27" t="n">
        <f aca="false">IF(OR(B13="",COUNTIF($B$6:B13,B13)&gt;1),0,SUMIFS(DC_VND,DC_MA,$B13,DC_LOAI,"Trừ"))</f>
        <v>0</v>
      </c>
      <c r="U13" s="27" t="n">
        <f aca="false">IF(B13="","",ROUNDDOWN((R13-S13-T13)/INDEX(NH_LT,MATCH(D13,NH_TEN,0)),0)*INDEX(NH_LT,MATCH(D13,NH_TEN,0)))</f>
        <v>1750000</v>
      </c>
      <c r="V13" s="30" t="n">
        <f aca="false">IF(B13="","",IF(COUNTIF($B$6:B13,B13)&gt;1,"",SUMIFS($U$6:$U$100,$B$6:$B$100,B13)))</f>
        <v>1750000</v>
      </c>
      <c r="W13" s="16"/>
    </row>
    <row r="14" customFormat="false" ht="15" hidden="false" customHeight="false" outlineLevel="0" collapsed="false">
      <c r="A14" s="17" t="n">
        <f aca="false">IF(B14="","",ROW()-5)</f>
        <v>9</v>
      </c>
      <c r="B14" s="29" t="str">
        <f aca="false">IF(BCC!B14="","",BCC!B14)</f>
        <v>RSS-09</v>
      </c>
      <c r="C14" s="17" t="str">
        <f aca="false">IF(B14="","",BCC!C14)</f>
        <v>Nguyễn Thị Thùy Trang</v>
      </c>
      <c r="D14" s="17" t="str">
        <f aca="false">IF(B14="","",BCC!D14)</f>
        <v>RSS HAPĐ</v>
      </c>
      <c r="E14" s="17" t="str">
        <f aca="false">IF(B14="","",IFERROR(INDEX(NV_HT,MATCH(B14,NV_MA,0)),""))</f>
        <v>Lương ngày</v>
      </c>
      <c r="F14" s="27" t="n">
        <f aca="false">IF(B14="","",IF(N(BCC!E14)&gt;0,BCC!E14,IF(AND(N(IFERROR(INDEX(NV_DG,MATCH(B14,NV_MA,0)),0))&gt;0,IFERROR(INDEX(NV_NHOM,MATCH(B14,NV_MA,0)),"")=D14),INDEX(NV_DG,MATCH(B14,NV_MA,0)),IFERROR(INDEX(NH_DG,MATCH(D14,NH_TEN,0)),0))))</f>
        <v>350000</v>
      </c>
      <c r="G14" s="27" t="n">
        <f aca="false">IF(B14="","",N(IFERROR(INDEX(NV_LT,MATCH(B14,NV_MA,0)),0)))</f>
        <v>0</v>
      </c>
      <c r="H14" s="22" t="n">
        <f aca="false">IF(B14="","",BCC!AL14)</f>
        <v>245</v>
      </c>
      <c r="I14" s="23" t="n">
        <f aca="false">IF(B14="","",BCC!AM14)</f>
        <v>30.625</v>
      </c>
      <c r="J14" s="23" t="n">
        <f aca="false">IF(B14="","",BCC!AN14)</f>
        <v>0</v>
      </c>
      <c r="K14" s="27" t="n">
        <f aca="false">IF(B14="","",IF(E14="Khoán tháng",G14,IF(E14="Lương tháng",G14/INDEX(NH_CHIA,MATCH(D14,NH_TEN,0))*MIN(I14,INDEX(NH_CHIA,MATCH(D14,NH_TEN,0))),I14*F14)))</f>
        <v>10718750</v>
      </c>
      <c r="L14" s="27" t="n">
        <f aca="false">IF(B14="","",(I14-J14)*INDEX(NH_HTN,MATCH(D14,NH_TEN,0)))</f>
        <v>0</v>
      </c>
      <c r="M14" s="27" t="n">
        <f aca="false">IF(B14="","",J14*INDEX(NH_HTD,MATCH(D14,NH_TEN,0)))</f>
        <v>0</v>
      </c>
      <c r="N14" s="27" t="n">
        <f aca="false">IF(B14="","",I14*IF(N(IFERROR(INDEX(NV_AN,MATCH(B14,NV_MA,0)),0))&gt;0,INDEX(NV_AN,MATCH(B14,NV_MA,0)),INDEX(NH_AN,MATCH(D14,NH_TEN,0))))</f>
        <v>0</v>
      </c>
      <c r="O14" s="27" t="n">
        <f aca="false">IF(B14="","",N(KT_NGUOI!AL14))</f>
        <v>0</v>
      </c>
      <c r="P14" s="27" t="n">
        <f aca="false">IF(OR(B14="",COUNTIF($B$6:B14,B14)&gt;1),0,SUMPRODUCT(((KT_M1=B14)+(KT_M2=B14)+(KT_M3=B14))*(KT_LOAI="Đích danh")*KT_PHAN))</f>
        <v>0</v>
      </c>
      <c r="Q14" s="27" t="n">
        <f aca="false">IF(OR(B14="",COUNTIF($B$6:B14,B14)&gt;1),0,SUMIFS(DC_VND,DC_MA,$B14,DC_LOAI,"Cộng"))</f>
        <v>0</v>
      </c>
      <c r="R14" s="30" t="n">
        <f aca="false">IF(B14="","",SUM(K14:Q14))</f>
        <v>10718750</v>
      </c>
      <c r="S14" s="27" t="n">
        <f aca="false">IF(OR(B14="",COUNTIF($B$6:B14,B14)&gt;1),0,SUMIFS(DC_VND,DC_MA,$B14,DC_LOAI,"Tạm ứng"))</f>
        <v>0</v>
      </c>
      <c r="T14" s="27" t="n">
        <f aca="false">IF(OR(B14="",COUNTIF($B$6:B14,B14)&gt;1),0,SUMIFS(DC_VND,DC_MA,$B14,DC_LOAI,"Trừ"))</f>
        <v>0</v>
      </c>
      <c r="U14" s="27" t="n">
        <f aca="false">IF(B14="","",ROUNDDOWN((R14-S14-T14)/INDEX(NH_LT,MATCH(D14,NH_TEN,0)),0)*INDEX(NH_LT,MATCH(D14,NH_TEN,0)))</f>
        <v>10718750</v>
      </c>
      <c r="V14" s="30" t="n">
        <f aca="false">IF(B14="","",IF(COUNTIF($B$6:B14,B14)&gt;1,"",SUMIFS($U$6:$U$100,$B$6:$B$100,B14)))</f>
        <v>10718750</v>
      </c>
      <c r="W14" s="16"/>
    </row>
    <row r="15" customFormat="false" ht="15" hidden="false" customHeight="false" outlineLevel="0" collapsed="false">
      <c r="A15" s="17" t="n">
        <f aca="false">IF(B15="","",ROW()-5)</f>
        <v>10</v>
      </c>
      <c r="B15" s="29" t="str">
        <f aca="false">IF(BCC!B15="","",BCC!B15)</f>
        <v>RSS-10</v>
      </c>
      <c r="C15" s="17" t="str">
        <f aca="false">IF(B15="","",BCC!C15)</f>
        <v>Võ Thị Ngọc Ánh</v>
      </c>
      <c r="D15" s="17" t="str">
        <f aca="false">IF(B15="","",BCC!D15)</f>
        <v>RSS HAPĐ</v>
      </c>
      <c r="E15" s="17" t="str">
        <f aca="false">IF(B15="","",IFERROR(INDEX(NV_HT,MATCH(B15,NV_MA,0)),""))</f>
        <v>Lương ngày</v>
      </c>
      <c r="F15" s="27" t="n">
        <f aca="false">IF(B15="","",IF(N(BCC!E15)&gt;0,BCC!E15,IF(AND(N(IFERROR(INDEX(NV_DG,MATCH(B15,NV_MA,0)),0))&gt;0,IFERROR(INDEX(NV_NHOM,MATCH(B15,NV_MA,0)),"")=D15),INDEX(NV_DG,MATCH(B15,NV_MA,0)),IFERROR(INDEX(NH_DG,MATCH(D15,NH_TEN,0)),0))))</f>
        <v>350000</v>
      </c>
      <c r="G15" s="27" t="n">
        <f aca="false">IF(B15="","",N(IFERROR(INDEX(NV_LT,MATCH(B15,NV_MA,0)),0)))</f>
        <v>0</v>
      </c>
      <c r="H15" s="22" t="n">
        <f aca="false">IF(B15="","",BCC!AL15)</f>
        <v>225</v>
      </c>
      <c r="I15" s="23" t="n">
        <f aca="false">IF(B15="","",BCC!AM15)</f>
        <v>28.125</v>
      </c>
      <c r="J15" s="23" t="n">
        <f aca="false">IF(B15="","",BCC!AN15)</f>
        <v>0</v>
      </c>
      <c r="K15" s="27" t="n">
        <f aca="false">IF(B15="","",IF(E15="Khoán tháng",G15,IF(E15="Lương tháng",G15/INDEX(NH_CHIA,MATCH(D15,NH_TEN,0))*MIN(I15,INDEX(NH_CHIA,MATCH(D15,NH_TEN,0))),I15*F15)))</f>
        <v>9843750</v>
      </c>
      <c r="L15" s="27" t="n">
        <f aca="false">IF(B15="","",(I15-J15)*INDEX(NH_HTN,MATCH(D15,NH_TEN,0)))</f>
        <v>0</v>
      </c>
      <c r="M15" s="27" t="n">
        <f aca="false">IF(B15="","",J15*INDEX(NH_HTD,MATCH(D15,NH_TEN,0)))</f>
        <v>0</v>
      </c>
      <c r="N15" s="27" t="n">
        <f aca="false">IF(B15="","",I15*IF(N(IFERROR(INDEX(NV_AN,MATCH(B15,NV_MA,0)),0))&gt;0,INDEX(NV_AN,MATCH(B15,NV_MA,0)),INDEX(NH_AN,MATCH(D15,NH_TEN,0))))</f>
        <v>0</v>
      </c>
      <c r="O15" s="27" t="n">
        <f aca="false">IF(B15="","",N(KT_NGUOI!AL15))</f>
        <v>0</v>
      </c>
      <c r="P15" s="27" t="n">
        <f aca="false">IF(OR(B15="",COUNTIF($B$6:B15,B15)&gt;1),0,SUMPRODUCT(((KT_M1=B15)+(KT_M2=B15)+(KT_M3=B15))*(KT_LOAI="Đích danh")*KT_PHAN))</f>
        <v>0</v>
      </c>
      <c r="Q15" s="27" t="n">
        <f aca="false">IF(OR(B15="",COUNTIF($B$6:B15,B15)&gt;1),0,SUMIFS(DC_VND,DC_MA,$B15,DC_LOAI,"Cộng"))</f>
        <v>0</v>
      </c>
      <c r="R15" s="30" t="n">
        <f aca="false">IF(B15="","",SUM(K15:Q15))</f>
        <v>9843750</v>
      </c>
      <c r="S15" s="27" t="n">
        <f aca="false">IF(OR(B15="",COUNTIF($B$6:B15,B15)&gt;1),0,SUMIFS(DC_VND,DC_MA,$B15,DC_LOAI,"Tạm ứng"))</f>
        <v>0</v>
      </c>
      <c r="T15" s="27" t="n">
        <f aca="false">IF(OR(B15="",COUNTIF($B$6:B15,B15)&gt;1),0,SUMIFS(DC_VND,DC_MA,$B15,DC_LOAI,"Trừ"))</f>
        <v>0</v>
      </c>
      <c r="U15" s="27" t="n">
        <f aca="false">IF(B15="","",ROUNDDOWN((R15-S15-T15)/INDEX(NH_LT,MATCH(D15,NH_TEN,0)),0)*INDEX(NH_LT,MATCH(D15,NH_TEN,0)))</f>
        <v>9843750</v>
      </c>
      <c r="V15" s="30" t="n">
        <f aca="false">IF(B15="","",IF(COUNTIF($B$6:B15,B15)&gt;1,"",SUMIFS($U$6:$U$100,$B$6:$B$100,B15)))</f>
        <v>9843750</v>
      </c>
      <c r="W15" s="16"/>
    </row>
    <row r="16" customFormat="false" ht="15" hidden="false" customHeight="false" outlineLevel="0" collapsed="false">
      <c r="A16" s="17" t="n">
        <f aca="false">IF(B16="","",ROW()-5)</f>
        <v>11</v>
      </c>
      <c r="B16" s="29" t="str">
        <f aca="false">IF(BCC!B16="","",BCC!B16)</f>
        <v>RSS-11</v>
      </c>
      <c r="C16" s="17" t="str">
        <f aca="false">IF(B16="","",BCC!C16)</f>
        <v>Lê Thị Hiên</v>
      </c>
      <c r="D16" s="17" t="str">
        <f aca="false">IF(B16="","",BCC!D16)</f>
        <v>RSS HAPĐ</v>
      </c>
      <c r="E16" s="17" t="str">
        <f aca="false">IF(B16="","",IFERROR(INDEX(NV_HT,MATCH(B16,NV_MA,0)),""))</f>
        <v>Lương ngày</v>
      </c>
      <c r="F16" s="27" t="n">
        <f aca="false">IF(B16="","",IF(N(BCC!E16)&gt;0,BCC!E16,IF(AND(N(IFERROR(INDEX(NV_DG,MATCH(B16,NV_MA,0)),0))&gt;0,IFERROR(INDEX(NV_NHOM,MATCH(B16,NV_MA,0)),"")=D16),INDEX(NV_DG,MATCH(B16,NV_MA,0)),IFERROR(INDEX(NH_DG,MATCH(D16,NH_TEN,0)),0))))</f>
        <v>350000</v>
      </c>
      <c r="G16" s="27" t="n">
        <f aca="false">IF(B16="","",N(IFERROR(INDEX(NV_LT,MATCH(B16,NV_MA,0)),0)))</f>
        <v>0</v>
      </c>
      <c r="H16" s="22" t="n">
        <f aca="false">IF(B16="","",BCC!AL16)</f>
        <v>24</v>
      </c>
      <c r="I16" s="23" t="n">
        <f aca="false">IF(B16="","",BCC!AM16)</f>
        <v>3</v>
      </c>
      <c r="J16" s="23" t="n">
        <f aca="false">IF(B16="","",BCC!AN16)</f>
        <v>0</v>
      </c>
      <c r="K16" s="27" t="n">
        <f aca="false">IF(B16="","",IF(E16="Khoán tháng",G16,IF(E16="Lương tháng",G16/INDEX(NH_CHIA,MATCH(D16,NH_TEN,0))*MIN(I16,INDEX(NH_CHIA,MATCH(D16,NH_TEN,0))),I16*F16)))</f>
        <v>1050000</v>
      </c>
      <c r="L16" s="27" t="n">
        <f aca="false">IF(B16="","",(I16-J16)*INDEX(NH_HTN,MATCH(D16,NH_TEN,0)))</f>
        <v>0</v>
      </c>
      <c r="M16" s="27" t="n">
        <f aca="false">IF(B16="","",J16*INDEX(NH_HTD,MATCH(D16,NH_TEN,0)))</f>
        <v>0</v>
      </c>
      <c r="N16" s="27" t="n">
        <f aca="false">IF(B16="","",I16*IF(N(IFERROR(INDEX(NV_AN,MATCH(B16,NV_MA,0)),0))&gt;0,INDEX(NV_AN,MATCH(B16,NV_MA,0)),INDEX(NH_AN,MATCH(D16,NH_TEN,0))))</f>
        <v>0</v>
      </c>
      <c r="O16" s="27" t="n">
        <f aca="false">IF(B16="","",N(KT_NGUOI!AL16))</f>
        <v>0</v>
      </c>
      <c r="P16" s="27" t="n">
        <f aca="false">IF(OR(B16="",COUNTIF($B$6:B16,B16)&gt;1),0,SUMPRODUCT(((KT_M1=B16)+(KT_M2=B16)+(KT_M3=B16))*(KT_LOAI="Đích danh")*KT_PHAN))</f>
        <v>0</v>
      </c>
      <c r="Q16" s="27" t="n">
        <f aca="false">IF(OR(B16="",COUNTIF($B$6:B16,B16)&gt;1),0,SUMIFS(DC_VND,DC_MA,$B16,DC_LOAI,"Cộng"))</f>
        <v>0</v>
      </c>
      <c r="R16" s="30" t="n">
        <f aca="false">IF(B16="","",SUM(K16:Q16))</f>
        <v>1050000</v>
      </c>
      <c r="S16" s="27" t="n">
        <f aca="false">IF(OR(B16="",COUNTIF($B$6:B16,B16)&gt;1),0,SUMIFS(DC_VND,DC_MA,$B16,DC_LOAI,"Tạm ứng"))</f>
        <v>0</v>
      </c>
      <c r="T16" s="27" t="n">
        <f aca="false">IF(OR(B16="",COUNTIF($B$6:B16,B16)&gt;1),0,SUMIFS(DC_VND,DC_MA,$B16,DC_LOAI,"Trừ"))</f>
        <v>0</v>
      </c>
      <c r="U16" s="27" t="n">
        <f aca="false">IF(B16="","",ROUNDDOWN((R16-S16-T16)/INDEX(NH_LT,MATCH(D16,NH_TEN,0)),0)*INDEX(NH_LT,MATCH(D16,NH_TEN,0)))</f>
        <v>1050000</v>
      </c>
      <c r="V16" s="30" t="n">
        <f aca="false">IF(B16="","",IF(COUNTIF($B$6:B16,B16)&gt;1,"",SUMIFS($U$6:$U$100,$B$6:$B$100,B16)))</f>
        <v>1050000</v>
      </c>
      <c r="W16" s="16"/>
    </row>
    <row r="17" customFormat="false" ht="15" hidden="false" customHeight="false" outlineLevel="0" collapsed="false">
      <c r="A17" s="17" t="n">
        <f aca="false">IF(B17="","",ROW()-5)</f>
        <v>12</v>
      </c>
      <c r="B17" s="29" t="str">
        <f aca="false">IF(BCC!B17="","",BCC!B17)</f>
        <v>RSS-12</v>
      </c>
      <c r="C17" s="17" t="str">
        <f aca="false">IF(B17="","",BCC!C17)</f>
        <v>Phan Thị Như Nghĩa</v>
      </c>
      <c r="D17" s="17" t="str">
        <f aca="false">IF(B17="","",BCC!D17)</f>
        <v>RSS HAPĐ</v>
      </c>
      <c r="E17" s="17" t="str">
        <f aca="false">IF(B17="","",IFERROR(INDEX(NV_HT,MATCH(B17,NV_MA,0)),""))</f>
        <v>Lương ngày</v>
      </c>
      <c r="F17" s="27" t="n">
        <f aca="false">IF(B17="","",IF(N(BCC!E17)&gt;0,BCC!E17,IF(AND(N(IFERROR(INDEX(NV_DG,MATCH(B17,NV_MA,0)),0))&gt;0,IFERROR(INDEX(NV_NHOM,MATCH(B17,NV_MA,0)),"")=D17),INDEX(NV_DG,MATCH(B17,NV_MA,0)),IFERROR(INDEX(NH_DG,MATCH(D17,NH_TEN,0)),0))))</f>
        <v>350000</v>
      </c>
      <c r="G17" s="27" t="n">
        <f aca="false">IF(B17="","",N(IFERROR(INDEX(NV_LT,MATCH(B17,NV_MA,0)),0)))</f>
        <v>0</v>
      </c>
      <c r="H17" s="22" t="n">
        <f aca="false">IF(B17="","",BCC!AL17)</f>
        <v>28</v>
      </c>
      <c r="I17" s="23" t="n">
        <f aca="false">IF(B17="","",BCC!AM17)</f>
        <v>3.5</v>
      </c>
      <c r="J17" s="23" t="n">
        <f aca="false">IF(B17="","",BCC!AN17)</f>
        <v>0</v>
      </c>
      <c r="K17" s="27" t="n">
        <f aca="false">IF(B17="","",IF(E17="Khoán tháng",G17,IF(E17="Lương tháng",G17/INDEX(NH_CHIA,MATCH(D17,NH_TEN,0))*MIN(I17,INDEX(NH_CHIA,MATCH(D17,NH_TEN,0))),I17*F17)))</f>
        <v>1225000</v>
      </c>
      <c r="L17" s="27" t="n">
        <f aca="false">IF(B17="","",(I17-J17)*INDEX(NH_HTN,MATCH(D17,NH_TEN,0)))</f>
        <v>0</v>
      </c>
      <c r="M17" s="27" t="n">
        <f aca="false">IF(B17="","",J17*INDEX(NH_HTD,MATCH(D17,NH_TEN,0)))</f>
        <v>0</v>
      </c>
      <c r="N17" s="27" t="n">
        <f aca="false">IF(B17="","",I17*IF(N(IFERROR(INDEX(NV_AN,MATCH(B17,NV_MA,0)),0))&gt;0,INDEX(NV_AN,MATCH(B17,NV_MA,0)),INDEX(NH_AN,MATCH(D17,NH_TEN,0))))</f>
        <v>0</v>
      </c>
      <c r="O17" s="27" t="n">
        <f aca="false">IF(B17="","",N(KT_NGUOI!AL17))</f>
        <v>0</v>
      </c>
      <c r="P17" s="27" t="n">
        <f aca="false">IF(OR(B17="",COUNTIF($B$6:B17,B17)&gt;1),0,SUMPRODUCT(((KT_M1=B17)+(KT_M2=B17)+(KT_M3=B17))*(KT_LOAI="Đích danh")*KT_PHAN))</f>
        <v>0</v>
      </c>
      <c r="Q17" s="27" t="n">
        <f aca="false">IF(OR(B17="",COUNTIF($B$6:B17,B17)&gt;1),0,SUMIFS(DC_VND,DC_MA,$B17,DC_LOAI,"Cộng"))</f>
        <v>0</v>
      </c>
      <c r="R17" s="30" t="n">
        <f aca="false">IF(B17="","",SUM(K17:Q17))</f>
        <v>1225000</v>
      </c>
      <c r="S17" s="27" t="n">
        <f aca="false">IF(OR(B17="",COUNTIF($B$6:B17,B17)&gt;1),0,SUMIFS(DC_VND,DC_MA,$B17,DC_LOAI,"Tạm ứng"))</f>
        <v>0</v>
      </c>
      <c r="T17" s="27" t="n">
        <f aca="false">IF(OR(B17="",COUNTIF($B$6:B17,B17)&gt;1),0,SUMIFS(DC_VND,DC_MA,$B17,DC_LOAI,"Trừ"))</f>
        <v>0</v>
      </c>
      <c r="U17" s="27" t="n">
        <f aca="false">IF(B17="","",ROUNDDOWN((R17-S17-T17)/INDEX(NH_LT,MATCH(D17,NH_TEN,0)),0)*INDEX(NH_LT,MATCH(D17,NH_TEN,0)))</f>
        <v>1225000</v>
      </c>
      <c r="V17" s="30" t="n">
        <f aca="false">IF(B17="","",IF(COUNTIF($B$6:B17,B17)&gt;1,"",SUMIFS($U$6:$U$100,$B$6:$B$100,B17)))</f>
        <v>1225000</v>
      </c>
      <c r="W17" s="16"/>
    </row>
    <row r="18" customFormat="false" ht="15" hidden="false" customHeight="false" outlineLevel="0" collapsed="false">
      <c r="A18" s="17" t="n">
        <f aca="false">IF(B18="","",ROW()-5)</f>
        <v>13</v>
      </c>
      <c r="B18" s="29" t="str">
        <f aca="false">IF(BCC!B18="","",BCC!B18)</f>
        <v>RSS-13</v>
      </c>
      <c r="C18" s="17" t="str">
        <f aca="false">IF(B18="","",BCC!C18)</f>
        <v>Nguyễn Quyền</v>
      </c>
      <c r="D18" s="17" t="str">
        <f aca="false">IF(B18="","",BCC!D18)</f>
        <v>RSS HAPĐ</v>
      </c>
      <c r="E18" s="17" t="str">
        <f aca="false">IF(B18="","",IFERROR(INDEX(NV_HT,MATCH(B18,NV_MA,0)),""))</f>
        <v>Lương ngày</v>
      </c>
      <c r="F18" s="27" t="n">
        <f aca="false">IF(B18="","",IF(N(BCC!E18)&gt;0,BCC!E18,IF(AND(N(IFERROR(INDEX(NV_DG,MATCH(B18,NV_MA,0)),0))&gt;0,IFERROR(INDEX(NV_NHOM,MATCH(B18,NV_MA,0)),"")=D18),INDEX(NV_DG,MATCH(B18,NV_MA,0)),IFERROR(INDEX(NH_DG,MATCH(D18,NH_TEN,0)),0))))</f>
        <v>350000</v>
      </c>
      <c r="G18" s="27" t="n">
        <f aca="false">IF(B18="","",N(IFERROR(INDEX(NV_LT,MATCH(B18,NV_MA,0)),0)))</f>
        <v>0</v>
      </c>
      <c r="H18" s="22" t="n">
        <f aca="false">IF(B18="","",BCC!AL18)</f>
        <v>112</v>
      </c>
      <c r="I18" s="23" t="n">
        <f aca="false">IF(B18="","",BCC!AM18)</f>
        <v>14</v>
      </c>
      <c r="J18" s="23" t="n">
        <f aca="false">IF(B18="","",BCC!AN18)</f>
        <v>0</v>
      </c>
      <c r="K18" s="27" t="n">
        <f aca="false">IF(B18="","",IF(E18="Khoán tháng",G18,IF(E18="Lương tháng",G18/INDEX(NH_CHIA,MATCH(D18,NH_TEN,0))*MIN(I18,INDEX(NH_CHIA,MATCH(D18,NH_TEN,0))),I18*F18)))</f>
        <v>4900000</v>
      </c>
      <c r="L18" s="27" t="n">
        <f aca="false">IF(B18="","",(I18-J18)*INDEX(NH_HTN,MATCH(D18,NH_TEN,0)))</f>
        <v>0</v>
      </c>
      <c r="M18" s="27" t="n">
        <f aca="false">IF(B18="","",J18*INDEX(NH_HTD,MATCH(D18,NH_TEN,0)))</f>
        <v>0</v>
      </c>
      <c r="N18" s="27" t="n">
        <f aca="false">IF(B18="","",I18*IF(N(IFERROR(INDEX(NV_AN,MATCH(B18,NV_MA,0)),0))&gt;0,INDEX(NV_AN,MATCH(B18,NV_MA,0)),INDEX(NH_AN,MATCH(D18,NH_TEN,0))))</f>
        <v>0</v>
      </c>
      <c r="O18" s="27" t="n">
        <f aca="false">IF(B18="","",N(KT_NGUOI!AL18))</f>
        <v>0</v>
      </c>
      <c r="P18" s="27" t="n">
        <f aca="false">IF(OR(B18="",COUNTIF($B$6:B18,B18)&gt;1),0,SUMPRODUCT(((KT_M1=B18)+(KT_M2=B18)+(KT_M3=B18))*(KT_LOAI="Đích danh")*KT_PHAN))</f>
        <v>0</v>
      </c>
      <c r="Q18" s="27" t="n">
        <f aca="false">IF(OR(B18="",COUNTIF($B$6:B18,B18)&gt;1),0,SUMIFS(DC_VND,DC_MA,$B18,DC_LOAI,"Cộng"))</f>
        <v>0</v>
      </c>
      <c r="R18" s="30" t="n">
        <f aca="false">IF(B18="","",SUM(K18:Q18))</f>
        <v>4900000</v>
      </c>
      <c r="S18" s="27" t="n">
        <f aca="false">IF(OR(B18="",COUNTIF($B$6:B18,B18)&gt;1),0,SUMIFS(DC_VND,DC_MA,$B18,DC_LOAI,"Tạm ứng"))</f>
        <v>0</v>
      </c>
      <c r="T18" s="27" t="n">
        <f aca="false">IF(OR(B18="",COUNTIF($B$6:B18,B18)&gt;1),0,SUMIFS(DC_VND,DC_MA,$B18,DC_LOAI,"Trừ"))</f>
        <v>0</v>
      </c>
      <c r="U18" s="27" t="n">
        <f aca="false">IF(B18="","",ROUNDDOWN((R18-S18-T18)/INDEX(NH_LT,MATCH(D18,NH_TEN,0)),0)*INDEX(NH_LT,MATCH(D18,NH_TEN,0)))</f>
        <v>4900000</v>
      </c>
      <c r="V18" s="30" t="n">
        <f aca="false">IF(B18="","",IF(COUNTIF($B$6:B18,B18)&gt;1,"",SUMIFS($U$6:$U$100,$B$6:$B$100,B18)))</f>
        <v>4900000</v>
      </c>
      <c r="W18" s="16"/>
    </row>
    <row r="19" customFormat="false" ht="15" hidden="false" customHeight="false" outlineLevel="0" collapsed="false">
      <c r="A19" s="17" t="n">
        <f aca="false">IF(B19="","",ROW()-5)</f>
        <v>14</v>
      </c>
      <c r="B19" s="29" t="str">
        <f aca="false">IF(BCC!B19="","",BCC!B19)</f>
        <v>RSS-14</v>
      </c>
      <c r="C19" s="17" t="str">
        <f aca="false">IF(B19="","",BCC!C19)</f>
        <v>Lê Quốc Vượng</v>
      </c>
      <c r="D19" s="17" t="str">
        <f aca="false">IF(B19="","",BCC!D19)</f>
        <v>RSS HAPĐ</v>
      </c>
      <c r="E19" s="17" t="str">
        <f aca="false">IF(B19="","",IFERROR(INDEX(NV_HT,MATCH(B19,NV_MA,0)),""))</f>
        <v>Lương ngày</v>
      </c>
      <c r="F19" s="27" t="n">
        <f aca="false">IF(B19="","",IF(N(BCC!E19)&gt;0,BCC!E19,IF(AND(N(IFERROR(INDEX(NV_DG,MATCH(B19,NV_MA,0)),0))&gt;0,IFERROR(INDEX(NV_NHOM,MATCH(B19,NV_MA,0)),"")=D19),INDEX(NV_DG,MATCH(B19,NV_MA,0)),IFERROR(INDEX(NH_DG,MATCH(D19,NH_TEN,0)),0))))</f>
        <v>350000</v>
      </c>
      <c r="G19" s="27" t="n">
        <f aca="false">IF(B19="","",N(IFERROR(INDEX(NV_LT,MATCH(B19,NV_MA,0)),0)))</f>
        <v>0</v>
      </c>
      <c r="H19" s="22" t="n">
        <f aca="false">IF(B19="","",BCC!AL19)</f>
        <v>16</v>
      </c>
      <c r="I19" s="23" t="n">
        <f aca="false">IF(B19="","",BCC!AM19)</f>
        <v>2</v>
      </c>
      <c r="J19" s="23" t="n">
        <f aca="false">IF(B19="","",BCC!AN19)</f>
        <v>0</v>
      </c>
      <c r="K19" s="27" t="n">
        <f aca="false">IF(B19="","",IF(E19="Khoán tháng",G19,IF(E19="Lương tháng",G19/INDEX(NH_CHIA,MATCH(D19,NH_TEN,0))*MIN(I19,INDEX(NH_CHIA,MATCH(D19,NH_TEN,0))),I19*F19)))</f>
        <v>700000</v>
      </c>
      <c r="L19" s="27" t="n">
        <f aca="false">IF(B19="","",(I19-J19)*INDEX(NH_HTN,MATCH(D19,NH_TEN,0)))</f>
        <v>0</v>
      </c>
      <c r="M19" s="27" t="n">
        <f aca="false">IF(B19="","",J19*INDEX(NH_HTD,MATCH(D19,NH_TEN,0)))</f>
        <v>0</v>
      </c>
      <c r="N19" s="27" t="n">
        <f aca="false">IF(B19="","",I19*IF(N(IFERROR(INDEX(NV_AN,MATCH(B19,NV_MA,0)),0))&gt;0,INDEX(NV_AN,MATCH(B19,NV_MA,0)),INDEX(NH_AN,MATCH(D19,NH_TEN,0))))</f>
        <v>0</v>
      </c>
      <c r="O19" s="27" t="n">
        <f aca="false">IF(B19="","",N(KT_NGUOI!AL19))</f>
        <v>0</v>
      </c>
      <c r="P19" s="27" t="n">
        <f aca="false">IF(OR(B19="",COUNTIF($B$6:B19,B19)&gt;1),0,SUMPRODUCT(((KT_M1=B19)+(KT_M2=B19)+(KT_M3=B19))*(KT_LOAI="Đích danh")*KT_PHAN))</f>
        <v>0</v>
      </c>
      <c r="Q19" s="27" t="n">
        <f aca="false">IF(OR(B19="",COUNTIF($B$6:B19,B19)&gt;1),0,SUMIFS(DC_VND,DC_MA,$B19,DC_LOAI,"Cộng"))</f>
        <v>0</v>
      </c>
      <c r="R19" s="30" t="n">
        <f aca="false">IF(B19="","",SUM(K19:Q19))</f>
        <v>700000</v>
      </c>
      <c r="S19" s="27" t="n">
        <f aca="false">IF(OR(B19="",COUNTIF($B$6:B19,B19)&gt;1),0,SUMIFS(DC_VND,DC_MA,$B19,DC_LOAI,"Tạm ứng"))</f>
        <v>0</v>
      </c>
      <c r="T19" s="27" t="n">
        <f aca="false">IF(OR(B19="",COUNTIF($B$6:B19,B19)&gt;1),0,SUMIFS(DC_VND,DC_MA,$B19,DC_LOAI,"Trừ"))</f>
        <v>0</v>
      </c>
      <c r="U19" s="27" t="n">
        <f aca="false">IF(B19="","",ROUNDDOWN((R19-S19-T19)/INDEX(NH_LT,MATCH(D19,NH_TEN,0)),0)*INDEX(NH_LT,MATCH(D19,NH_TEN,0)))</f>
        <v>700000</v>
      </c>
      <c r="V19" s="30" t="n">
        <f aca="false">IF(B19="","",IF(COUNTIF($B$6:B19,B19)&gt;1,"",SUMIFS($U$6:$U$100,$B$6:$B$100,B19)))</f>
        <v>700000</v>
      </c>
      <c r="W19" s="16"/>
    </row>
    <row r="20" customFormat="false" ht="15" hidden="false" customHeight="false" outlineLevel="0" collapsed="false">
      <c r="A20" s="17" t="n">
        <f aca="false">IF(B20="","",ROW()-5)</f>
        <v>15</v>
      </c>
      <c r="B20" s="29" t="str">
        <f aca="false">IF(BCC!B20="","",BCC!B20)</f>
        <v>RSS-15</v>
      </c>
      <c r="C20" s="17" t="str">
        <f aca="false">IF(B20="","",BCC!C20)</f>
        <v>Ngô Quý Anh Tuấn</v>
      </c>
      <c r="D20" s="17" t="str">
        <f aca="false">IF(B20="","",BCC!D20)</f>
        <v>RSS HAPĐ</v>
      </c>
      <c r="E20" s="17" t="str">
        <f aca="false">IF(B20="","",IFERROR(INDEX(NV_HT,MATCH(B20,NV_MA,0)),""))</f>
        <v>Lương ngày</v>
      </c>
      <c r="F20" s="27" t="n">
        <f aca="false">IF(B20="","",IF(N(BCC!E20)&gt;0,BCC!E20,IF(AND(N(IFERROR(INDEX(NV_DG,MATCH(B20,NV_MA,0)),0))&gt;0,IFERROR(INDEX(NV_NHOM,MATCH(B20,NV_MA,0)),"")=D20),INDEX(NV_DG,MATCH(B20,NV_MA,0)),IFERROR(INDEX(NH_DG,MATCH(D20,NH_TEN,0)),0))))</f>
        <v>350000</v>
      </c>
      <c r="G20" s="27" t="n">
        <f aca="false">IF(B20="","",N(IFERROR(INDEX(NV_LT,MATCH(B20,NV_MA,0)),0)))</f>
        <v>0</v>
      </c>
      <c r="H20" s="22" t="n">
        <f aca="false">IF(B20="","",BCC!AL20)</f>
        <v>48</v>
      </c>
      <c r="I20" s="23" t="n">
        <f aca="false">IF(B20="","",BCC!AM20)</f>
        <v>6</v>
      </c>
      <c r="J20" s="23" t="n">
        <f aca="false">IF(B20="","",BCC!AN20)</f>
        <v>0</v>
      </c>
      <c r="K20" s="27" t="n">
        <f aca="false">IF(B20="","",IF(E20="Khoán tháng",G20,IF(E20="Lương tháng",G20/INDEX(NH_CHIA,MATCH(D20,NH_TEN,0))*MIN(I20,INDEX(NH_CHIA,MATCH(D20,NH_TEN,0))),I20*F20)))</f>
        <v>2100000</v>
      </c>
      <c r="L20" s="27" t="n">
        <f aca="false">IF(B20="","",(I20-J20)*INDEX(NH_HTN,MATCH(D20,NH_TEN,0)))</f>
        <v>0</v>
      </c>
      <c r="M20" s="27" t="n">
        <f aca="false">IF(B20="","",J20*INDEX(NH_HTD,MATCH(D20,NH_TEN,0)))</f>
        <v>0</v>
      </c>
      <c r="N20" s="27" t="n">
        <f aca="false">IF(B20="","",I20*IF(N(IFERROR(INDEX(NV_AN,MATCH(B20,NV_MA,0)),0))&gt;0,INDEX(NV_AN,MATCH(B20,NV_MA,0)),INDEX(NH_AN,MATCH(D20,NH_TEN,0))))</f>
        <v>0</v>
      </c>
      <c r="O20" s="27" t="n">
        <f aca="false">IF(B20="","",N(KT_NGUOI!AL20))</f>
        <v>0</v>
      </c>
      <c r="P20" s="27" t="n">
        <f aca="false">IF(OR(B20="",COUNTIF($B$6:B20,B20)&gt;1),0,SUMPRODUCT(((KT_M1=B20)+(KT_M2=B20)+(KT_M3=B20))*(KT_LOAI="Đích danh")*KT_PHAN))</f>
        <v>0</v>
      </c>
      <c r="Q20" s="27" t="n">
        <f aca="false">IF(OR(B20="",COUNTIF($B$6:B20,B20)&gt;1),0,SUMIFS(DC_VND,DC_MA,$B20,DC_LOAI,"Cộng"))</f>
        <v>0</v>
      </c>
      <c r="R20" s="30" t="n">
        <f aca="false">IF(B20="","",SUM(K20:Q20))</f>
        <v>2100000</v>
      </c>
      <c r="S20" s="27" t="n">
        <f aca="false">IF(OR(B20="",COUNTIF($B$6:B20,B20)&gt;1),0,SUMIFS(DC_VND,DC_MA,$B20,DC_LOAI,"Tạm ứng"))</f>
        <v>0</v>
      </c>
      <c r="T20" s="27" t="n">
        <f aca="false">IF(OR(B20="",COUNTIF($B$6:B20,B20)&gt;1),0,SUMIFS(DC_VND,DC_MA,$B20,DC_LOAI,"Trừ"))</f>
        <v>0</v>
      </c>
      <c r="U20" s="27" t="n">
        <f aca="false">IF(B20="","",ROUNDDOWN((R20-S20-T20)/INDEX(NH_LT,MATCH(D20,NH_TEN,0)),0)*INDEX(NH_LT,MATCH(D20,NH_TEN,0)))</f>
        <v>2100000</v>
      </c>
      <c r="V20" s="30" t="n">
        <f aca="false">IF(B20="","",IF(COUNTIF($B$6:B20,B20)&gt;1,"",SUMIFS($U$6:$U$100,$B$6:$B$100,B20)))</f>
        <v>2100000</v>
      </c>
      <c r="W20" s="16"/>
    </row>
    <row r="21" customFormat="false" ht="15" hidden="false" customHeight="false" outlineLevel="0" collapsed="false">
      <c r="A21" s="17" t="n">
        <f aca="false">IF(B21="","",ROW()-5)</f>
        <v>16</v>
      </c>
      <c r="B21" s="29" t="str">
        <f aca="false">IF(BCC!B21="","",BCC!B21)</f>
        <v>RSS-03</v>
      </c>
      <c r="C21" s="17" t="str">
        <f aca="false">IF(B21="","",BCC!C21)</f>
        <v>Lê Văn Nghị</v>
      </c>
      <c r="D21" s="17" t="str">
        <f aca="false">IF(B21="","",BCC!D21)</f>
        <v>Trực lò</v>
      </c>
      <c r="E21" s="17" t="str">
        <f aca="false">IF(B21="","",IFERROR(INDEX(NV_HT,MATCH(B21,NV_MA,0)),""))</f>
        <v>Lương ngày</v>
      </c>
      <c r="F21" s="27" t="n">
        <f aca="false">IF(B21="","",IF(N(BCC!E21)&gt;0,BCC!E21,IF(AND(N(IFERROR(INDEX(NV_DG,MATCH(B21,NV_MA,0)),0))&gt;0,IFERROR(INDEX(NV_NHOM,MATCH(B21,NV_MA,0)),"")=D21),INDEX(NV_DG,MATCH(B21,NV_MA,0)),IFERROR(INDEX(NH_DG,MATCH(D21,NH_TEN,0)),0))))</f>
        <v>250000</v>
      </c>
      <c r="G21" s="27" t="n">
        <f aca="false">IF(B21="","",N(IFERROR(INDEX(NV_LT,MATCH(B21,NV_MA,0)),0)))</f>
        <v>0</v>
      </c>
      <c r="H21" s="22" t="n">
        <f aca="false">IF(B21="","",BCC!AL21)</f>
        <v>180</v>
      </c>
      <c r="I21" s="23" t="n">
        <f aca="false">IF(B21="","",BCC!AM21)</f>
        <v>15</v>
      </c>
      <c r="J21" s="23" t="n">
        <f aca="false">IF(B21="","",BCC!AN21)</f>
        <v>0</v>
      </c>
      <c r="K21" s="27" t="n">
        <f aca="false">IF(B21="","",IF(E21="Khoán tháng",G21,IF(E21="Lương tháng",G21/INDEX(NH_CHIA,MATCH(D21,NH_TEN,0))*MIN(I21,INDEX(NH_CHIA,MATCH(D21,NH_TEN,0))),I21*F21)))</f>
        <v>3750000</v>
      </c>
      <c r="L21" s="27" t="n">
        <f aca="false">IF(B21="","",(I21-J21)*INDEX(NH_HTN,MATCH(D21,NH_TEN,0)))</f>
        <v>0</v>
      </c>
      <c r="M21" s="27" t="n">
        <f aca="false">IF(B21="","",J21*INDEX(NH_HTD,MATCH(D21,NH_TEN,0)))</f>
        <v>0</v>
      </c>
      <c r="N21" s="27" t="n">
        <f aca="false">IF(B21="","",I21*IF(N(IFERROR(INDEX(NV_AN,MATCH(B21,NV_MA,0)),0))&gt;0,INDEX(NV_AN,MATCH(B21,NV_MA,0)),INDEX(NH_AN,MATCH(D21,NH_TEN,0))))</f>
        <v>0</v>
      </c>
      <c r="O21" s="27" t="n">
        <f aca="false">IF(B21="","",N(KT_NGUOI!AL21))</f>
        <v>0</v>
      </c>
      <c r="P21" s="27" t="n">
        <f aca="false">IF(OR(B21="",COUNTIF($B$6:B21,B21)&gt;1),0,SUMPRODUCT(((KT_M1=B21)+(KT_M2=B21)+(KT_M3=B21))*(KT_LOAI="Đích danh")*KT_PHAN))</f>
        <v>0</v>
      </c>
      <c r="Q21" s="27" t="n">
        <f aca="false">IF(OR(B21="",COUNTIF($B$6:B21,B21)&gt;1),0,SUMIFS(DC_VND,DC_MA,$B21,DC_LOAI,"Cộng"))</f>
        <v>0</v>
      </c>
      <c r="R21" s="30" t="n">
        <f aca="false">IF(B21="","",SUM(K21:Q21))</f>
        <v>3750000</v>
      </c>
      <c r="S21" s="27" t="n">
        <f aca="false">IF(OR(B21="",COUNTIF($B$6:B21,B21)&gt;1),0,SUMIFS(DC_VND,DC_MA,$B21,DC_LOAI,"Tạm ứng"))</f>
        <v>0</v>
      </c>
      <c r="T21" s="27" t="n">
        <f aca="false">IF(OR(B21="",COUNTIF($B$6:B21,B21)&gt;1),0,SUMIFS(DC_VND,DC_MA,$B21,DC_LOAI,"Trừ"))</f>
        <v>0</v>
      </c>
      <c r="U21" s="27" t="n">
        <f aca="false">IF(B21="","",ROUNDDOWN((R21-S21-T21)/INDEX(NH_LT,MATCH(D21,NH_TEN,0)),0)*INDEX(NH_LT,MATCH(D21,NH_TEN,0)))</f>
        <v>3750000</v>
      </c>
      <c r="V21" s="30" t="str">
        <f aca="false">IF(B21="","",IF(COUNTIF($B$6:B21,B21)&gt;1,"",SUMIFS($U$6:$U$100,$B$6:$B$100,B21)))</f>
        <v/>
      </c>
      <c r="W21" s="16"/>
    </row>
    <row r="22" customFormat="false" ht="15" hidden="false" customHeight="false" outlineLevel="0" collapsed="false">
      <c r="A22" s="17" t="n">
        <f aca="false">IF(B22="","",ROW()-5)</f>
        <v>17</v>
      </c>
      <c r="B22" s="29" t="str">
        <f aca="false">IF(BCC!B22="","",BCC!B22)</f>
        <v>RSS-04</v>
      </c>
      <c r="C22" s="17" t="str">
        <f aca="false">IF(B22="","",BCC!C22)</f>
        <v>Trần Thắng</v>
      </c>
      <c r="D22" s="17" t="str">
        <f aca="false">IF(B22="","",BCC!D22)</f>
        <v>Trực lò</v>
      </c>
      <c r="E22" s="17" t="str">
        <f aca="false">IF(B22="","",IFERROR(INDEX(NV_HT,MATCH(B22,NV_MA,0)),""))</f>
        <v>Lương ngày</v>
      </c>
      <c r="F22" s="27" t="n">
        <f aca="false">IF(B22="","",IF(N(BCC!E22)&gt;0,BCC!E22,IF(AND(N(IFERROR(INDEX(NV_DG,MATCH(B22,NV_MA,0)),0))&gt;0,IFERROR(INDEX(NV_NHOM,MATCH(B22,NV_MA,0)),"")=D22),INDEX(NV_DG,MATCH(B22,NV_MA,0)),IFERROR(INDEX(NH_DG,MATCH(D22,NH_TEN,0)),0))))</f>
        <v>250000</v>
      </c>
      <c r="G22" s="27" t="n">
        <f aca="false">IF(B22="","",N(IFERROR(INDEX(NV_LT,MATCH(B22,NV_MA,0)),0)))</f>
        <v>0</v>
      </c>
      <c r="H22" s="22" t="n">
        <f aca="false">IF(B22="","",BCC!AL22)</f>
        <v>180</v>
      </c>
      <c r="I22" s="23" t="n">
        <f aca="false">IF(B22="","",BCC!AM22)</f>
        <v>15</v>
      </c>
      <c r="J22" s="23" t="n">
        <f aca="false">IF(B22="","",BCC!AN22)</f>
        <v>0</v>
      </c>
      <c r="K22" s="27" t="n">
        <f aca="false">IF(B22="","",IF(E22="Khoán tháng",G22,IF(E22="Lương tháng",G22/INDEX(NH_CHIA,MATCH(D22,NH_TEN,0))*MIN(I22,INDEX(NH_CHIA,MATCH(D22,NH_TEN,0))),I22*F22)))</f>
        <v>3750000</v>
      </c>
      <c r="L22" s="27" t="n">
        <f aca="false">IF(B22="","",(I22-J22)*INDEX(NH_HTN,MATCH(D22,NH_TEN,0)))</f>
        <v>0</v>
      </c>
      <c r="M22" s="27" t="n">
        <f aca="false">IF(B22="","",J22*INDEX(NH_HTD,MATCH(D22,NH_TEN,0)))</f>
        <v>0</v>
      </c>
      <c r="N22" s="27" t="n">
        <f aca="false">IF(B22="","",I22*IF(N(IFERROR(INDEX(NV_AN,MATCH(B22,NV_MA,0)),0))&gt;0,INDEX(NV_AN,MATCH(B22,NV_MA,0)),INDEX(NH_AN,MATCH(D22,NH_TEN,0))))</f>
        <v>0</v>
      </c>
      <c r="O22" s="27" t="n">
        <f aca="false">IF(B22="","",N(KT_NGUOI!AL22))</f>
        <v>0</v>
      </c>
      <c r="P22" s="27" t="n">
        <f aca="false">IF(OR(B22="",COUNTIF($B$6:B22,B22)&gt;1),0,SUMPRODUCT(((KT_M1=B22)+(KT_M2=B22)+(KT_M3=B22))*(KT_LOAI="Đích danh")*KT_PHAN))</f>
        <v>0</v>
      </c>
      <c r="Q22" s="27" t="n">
        <f aca="false">IF(OR(B22="",COUNTIF($B$6:B22,B22)&gt;1),0,SUMIFS(DC_VND,DC_MA,$B22,DC_LOAI,"Cộng"))</f>
        <v>0</v>
      </c>
      <c r="R22" s="30" t="n">
        <f aca="false">IF(B22="","",SUM(K22:Q22))</f>
        <v>3750000</v>
      </c>
      <c r="S22" s="27" t="n">
        <f aca="false">IF(OR(B22="",COUNTIF($B$6:B22,B22)&gt;1),0,SUMIFS(DC_VND,DC_MA,$B22,DC_LOAI,"Tạm ứng"))</f>
        <v>0</v>
      </c>
      <c r="T22" s="27" t="n">
        <f aca="false">IF(OR(B22="",COUNTIF($B$6:B22,B22)&gt;1),0,SUMIFS(DC_VND,DC_MA,$B22,DC_LOAI,"Trừ"))</f>
        <v>0</v>
      </c>
      <c r="U22" s="27" t="n">
        <f aca="false">IF(B22="","",ROUNDDOWN((R22-S22-T22)/INDEX(NH_LT,MATCH(D22,NH_TEN,0)),0)*INDEX(NH_LT,MATCH(D22,NH_TEN,0)))</f>
        <v>3750000</v>
      </c>
      <c r="V22" s="30" t="str">
        <f aca="false">IF(B22="","",IF(COUNTIF($B$6:B22,B22)&gt;1,"",SUMIFS($U$6:$U$100,$B$6:$B$100,B22)))</f>
        <v/>
      </c>
      <c r="W22" s="16"/>
    </row>
    <row r="23" customFormat="false" ht="15" hidden="false" customHeight="false" outlineLevel="0" collapsed="false">
      <c r="A23" s="17" t="n">
        <f aca="false">IF(B23="","",ROW()-5)</f>
        <v>18</v>
      </c>
      <c r="B23" s="29" t="str">
        <f aca="false">IF(BCC!B23="","",BCC!B23)</f>
        <v>AL-02</v>
      </c>
      <c r="C23" s="17" t="str">
        <f aca="false">IF(B23="","",BCC!C23)</f>
        <v>Hồ Thượng Thành</v>
      </c>
      <c r="D23" s="17" t="str">
        <f aca="false">IF(B23="","",BCC!D23)</f>
        <v>A Lưới SX</v>
      </c>
      <c r="E23" s="17" t="str">
        <f aca="false">IF(B23="","",IFERROR(INDEX(NV_HT,MATCH(B23,NV_MA,0)),""))</f>
        <v>Lương ngày</v>
      </c>
      <c r="F23" s="27" t="n">
        <f aca="false">IF(B23="","",IF(N(BCC!E23)&gt;0,BCC!E23,IF(AND(N(IFERROR(INDEX(NV_DG,MATCH(B23,NV_MA,0)),0))&gt;0,IFERROR(INDEX(NV_NHOM,MATCH(B23,NV_MA,0)),"")=D23),INDEX(NV_DG,MATCH(B23,NV_MA,0)),IFERROR(INDEX(NH_DG,MATCH(D23,NH_TEN,0)),0))))</f>
        <v>270000</v>
      </c>
      <c r="G23" s="27" t="n">
        <f aca="false">IF(B23="","",N(IFERROR(INDEX(NV_LT,MATCH(B23,NV_MA,0)),0)))</f>
        <v>0</v>
      </c>
      <c r="H23" s="22" t="n">
        <f aca="false">IF(B23="","",BCC!AL23)</f>
        <v>79</v>
      </c>
      <c r="I23" s="23" t="n">
        <f aca="false">IF(B23="","",BCC!AM23)</f>
        <v>9.875</v>
      </c>
      <c r="J23" s="23" t="n">
        <f aca="false">IF(B23="","",BCC!AN23)</f>
        <v>4</v>
      </c>
      <c r="K23" s="27" t="n">
        <f aca="false">IF(B23="","",IF(E23="Khoán tháng",G23,IF(E23="Lương tháng",G23/INDEX(NH_CHIA,MATCH(D23,NH_TEN,0))*MIN(I23,INDEX(NH_CHIA,MATCH(D23,NH_TEN,0))),I23*F23)))</f>
        <v>2666250</v>
      </c>
      <c r="L23" s="27" t="n">
        <f aca="false">IF(B23="","",(I23-J23)*INDEX(NH_HTN,MATCH(D23,NH_TEN,0)))</f>
        <v>470000</v>
      </c>
      <c r="M23" s="27" t="n">
        <f aca="false">IF(B23="","",J23*INDEX(NH_HTD,MATCH(D23,NH_TEN,0)))</f>
        <v>400000</v>
      </c>
      <c r="N23" s="27" t="n">
        <f aca="false">IF(B23="","",I23*IF(N(IFERROR(INDEX(NV_AN,MATCH(B23,NV_MA,0)),0))&gt;0,INDEX(NV_AN,MATCH(B23,NV_MA,0)),INDEX(NH_AN,MATCH(D23,NH_TEN,0))))</f>
        <v>0</v>
      </c>
      <c r="O23" s="27" t="n">
        <f aca="false">IF(B23="","",N(KT_NGUOI!AL23))</f>
        <v>0</v>
      </c>
      <c r="P23" s="27" t="n">
        <f aca="false">IF(OR(B23="",COUNTIF($B$6:B23,B23)&gt;1),0,SUMPRODUCT(((KT_M1=B23)+(KT_M2=B23)+(KT_M3=B23))*(KT_LOAI="Đích danh")*KT_PHAN))</f>
        <v>0</v>
      </c>
      <c r="Q23" s="27" t="n">
        <f aca="false">IF(OR(B23="",COUNTIF($B$6:B23,B23)&gt;1),0,SUMIFS(DC_VND,DC_MA,$B23,DC_LOAI,"Cộng"))</f>
        <v>0</v>
      </c>
      <c r="R23" s="30" t="n">
        <f aca="false">IF(B23="","",SUM(K23:Q23))</f>
        <v>3536250</v>
      </c>
      <c r="S23" s="27" t="n">
        <f aca="false">IF(OR(B23="",COUNTIF($B$6:B23,B23)&gt;1),0,SUMIFS(DC_VND,DC_MA,$B23,DC_LOAI,"Tạm ứng"))</f>
        <v>0</v>
      </c>
      <c r="T23" s="27" t="n">
        <f aca="false">IF(OR(B23="",COUNTIF($B$6:B23,B23)&gt;1),0,SUMIFS(DC_VND,DC_MA,$B23,DC_LOAI,"Trừ"))</f>
        <v>0</v>
      </c>
      <c r="U23" s="27" t="n">
        <f aca="false">IF(B23="","",ROUNDDOWN((R23-S23-T23)/INDEX(NH_LT,MATCH(D23,NH_TEN,0)),0)*INDEX(NH_LT,MATCH(D23,NH_TEN,0)))</f>
        <v>3536250</v>
      </c>
      <c r="V23" s="30" t="n">
        <f aca="false">IF(B23="","",IF(COUNTIF($B$6:B23,B23)&gt;1,"",SUMIFS($U$6:$U$100,$B$6:$B$100,B23)))</f>
        <v>4966250</v>
      </c>
      <c r="W23" s="16"/>
    </row>
    <row r="24" customFormat="false" ht="15" hidden="false" customHeight="false" outlineLevel="0" collapsed="false">
      <c r="A24" s="17" t="n">
        <f aca="false">IF(B24="","",ROW()-5)</f>
        <v>19</v>
      </c>
      <c r="B24" s="29" t="str">
        <f aca="false">IF(BCC!B24="","",BCC!B24)</f>
        <v>AL-03</v>
      </c>
      <c r="C24" s="17" t="str">
        <f aca="false">IF(B24="","",BCC!C24)</f>
        <v>Hồ Thượng Thư</v>
      </c>
      <c r="D24" s="17" t="str">
        <f aca="false">IF(B24="","",BCC!D24)</f>
        <v>A Lưới SX</v>
      </c>
      <c r="E24" s="17" t="str">
        <f aca="false">IF(B24="","",IFERROR(INDEX(NV_HT,MATCH(B24,NV_MA,0)),""))</f>
        <v>Lương ngày</v>
      </c>
      <c r="F24" s="27" t="n">
        <f aca="false">IF(B24="","",IF(N(BCC!E24)&gt;0,BCC!E24,IF(AND(N(IFERROR(INDEX(NV_DG,MATCH(B24,NV_MA,0)),0))&gt;0,IFERROR(INDEX(NV_NHOM,MATCH(B24,NV_MA,0)),"")=D24),INDEX(NV_DG,MATCH(B24,NV_MA,0)),IFERROR(INDEX(NH_DG,MATCH(D24,NH_TEN,0)),0))))</f>
        <v>270000</v>
      </c>
      <c r="G24" s="27" t="n">
        <f aca="false">IF(B24="","",N(IFERROR(INDEX(NV_LT,MATCH(B24,NV_MA,0)),0)))</f>
        <v>0</v>
      </c>
      <c r="H24" s="22" t="n">
        <f aca="false">IF(B24="","",BCC!AL24)</f>
        <v>59</v>
      </c>
      <c r="I24" s="23" t="n">
        <f aca="false">IF(B24="","",BCC!AM24)</f>
        <v>7.375</v>
      </c>
      <c r="J24" s="23" t="n">
        <f aca="false">IF(B24="","",BCC!AN24)</f>
        <v>1.5</v>
      </c>
      <c r="K24" s="27" t="n">
        <f aca="false">IF(B24="","",IF(E24="Khoán tháng",G24,IF(E24="Lương tháng",G24/INDEX(NH_CHIA,MATCH(D24,NH_TEN,0))*MIN(I24,INDEX(NH_CHIA,MATCH(D24,NH_TEN,0))),I24*F24)))</f>
        <v>1991250</v>
      </c>
      <c r="L24" s="27" t="n">
        <f aca="false">IF(B24="","",(I24-J24)*INDEX(NH_HTN,MATCH(D24,NH_TEN,0)))</f>
        <v>470000</v>
      </c>
      <c r="M24" s="27" t="n">
        <f aca="false">IF(B24="","",J24*INDEX(NH_HTD,MATCH(D24,NH_TEN,0)))</f>
        <v>150000</v>
      </c>
      <c r="N24" s="27" t="n">
        <f aca="false">IF(B24="","",I24*IF(N(IFERROR(INDEX(NV_AN,MATCH(B24,NV_MA,0)),0))&gt;0,INDEX(NV_AN,MATCH(B24,NV_MA,0)),INDEX(NH_AN,MATCH(D24,NH_TEN,0))))</f>
        <v>0</v>
      </c>
      <c r="O24" s="27" t="n">
        <f aca="false">IF(B24="","",N(KT_NGUOI!AL24))</f>
        <v>0</v>
      </c>
      <c r="P24" s="27" t="n">
        <f aca="false">IF(OR(B24="",COUNTIF($B$6:B24,B24)&gt;1),0,SUMPRODUCT(((KT_M1=B24)+(KT_M2=B24)+(KT_M3=B24))*(KT_LOAI="Đích danh")*KT_PHAN))</f>
        <v>0</v>
      </c>
      <c r="Q24" s="27" t="n">
        <f aca="false">IF(OR(B24="",COUNTIF($B$6:B24,B24)&gt;1),0,SUMIFS(DC_VND,DC_MA,$B24,DC_LOAI,"Cộng"))</f>
        <v>0</v>
      </c>
      <c r="R24" s="30" t="n">
        <f aca="false">IF(B24="","",SUM(K24:Q24))</f>
        <v>2611250</v>
      </c>
      <c r="S24" s="27" t="n">
        <f aca="false">IF(OR(B24="",COUNTIF($B$6:B24,B24)&gt;1),0,SUMIFS(DC_VND,DC_MA,$B24,DC_LOAI,"Tạm ứng"))</f>
        <v>0</v>
      </c>
      <c r="T24" s="27" t="n">
        <f aca="false">IF(OR(B24="",COUNTIF($B$6:B24,B24)&gt;1),0,SUMIFS(DC_VND,DC_MA,$B24,DC_LOAI,"Trừ"))</f>
        <v>0</v>
      </c>
      <c r="U24" s="27" t="n">
        <f aca="false">IF(B24="","",ROUNDDOWN((R24-S24-T24)/INDEX(NH_LT,MATCH(D24,NH_TEN,0)),0)*INDEX(NH_LT,MATCH(D24,NH_TEN,0)))</f>
        <v>2611250</v>
      </c>
      <c r="V24" s="30" t="n">
        <f aca="false">IF(B24="","",IF(COUNTIF($B$6:B24,B24)&gt;1,"",SUMIFS($U$6:$U$100,$B$6:$B$100,B24)))</f>
        <v>4011250</v>
      </c>
      <c r="W24" s="16"/>
    </row>
    <row r="25" customFormat="false" ht="15" hidden="false" customHeight="false" outlineLevel="0" collapsed="false">
      <c r="A25" s="17" t="n">
        <f aca="false">IF(B25="","",ROW()-5)</f>
        <v>20</v>
      </c>
      <c r="B25" s="29" t="str">
        <f aca="false">IF(BCC!B25="","",BCC!B25)</f>
        <v>AL-05</v>
      </c>
      <c r="C25" s="17" t="str">
        <f aca="false">IF(B25="","",BCC!C25)</f>
        <v>Hồ Thượng Thảo</v>
      </c>
      <c r="D25" s="17" t="str">
        <f aca="false">IF(B25="","",BCC!D25)</f>
        <v>A Lưới SX</v>
      </c>
      <c r="E25" s="17" t="str">
        <f aca="false">IF(B25="","",IFERROR(INDEX(NV_HT,MATCH(B25,NV_MA,0)),""))</f>
        <v>Lương ngày</v>
      </c>
      <c r="F25" s="27" t="n">
        <f aca="false">IF(B25="","",IF(N(BCC!E25)&gt;0,BCC!E25,IF(AND(N(IFERROR(INDEX(NV_DG,MATCH(B25,NV_MA,0)),0))&gt;0,IFERROR(INDEX(NV_NHOM,MATCH(B25,NV_MA,0)),"")=D25),INDEX(NV_DG,MATCH(B25,NV_MA,0)),IFERROR(INDEX(NH_DG,MATCH(D25,NH_TEN,0)),0))))</f>
        <v>270000</v>
      </c>
      <c r="G25" s="27" t="n">
        <f aca="false">IF(B25="","",N(IFERROR(INDEX(NV_LT,MATCH(B25,NV_MA,0)),0)))</f>
        <v>0</v>
      </c>
      <c r="H25" s="22" t="n">
        <f aca="false">IF(B25="","",BCC!AL25)</f>
        <v>41</v>
      </c>
      <c r="I25" s="23" t="n">
        <f aca="false">IF(B25="","",BCC!AM25)</f>
        <v>5.125</v>
      </c>
      <c r="J25" s="23" t="n">
        <f aca="false">IF(B25="","",BCC!AN25)</f>
        <v>2.5</v>
      </c>
      <c r="K25" s="27" t="n">
        <f aca="false">IF(B25="","",IF(E25="Khoán tháng",G25,IF(E25="Lương tháng",G25/INDEX(NH_CHIA,MATCH(D25,NH_TEN,0))*MIN(I25,INDEX(NH_CHIA,MATCH(D25,NH_TEN,0))),I25*F25)))</f>
        <v>1383750</v>
      </c>
      <c r="L25" s="27" t="n">
        <f aca="false">IF(B25="","",(I25-J25)*INDEX(NH_HTN,MATCH(D25,NH_TEN,0)))</f>
        <v>210000</v>
      </c>
      <c r="M25" s="27" t="n">
        <f aca="false">IF(B25="","",J25*INDEX(NH_HTD,MATCH(D25,NH_TEN,0)))</f>
        <v>250000</v>
      </c>
      <c r="N25" s="27" t="n">
        <f aca="false">IF(B25="","",I25*IF(N(IFERROR(INDEX(NV_AN,MATCH(B25,NV_MA,0)),0))&gt;0,INDEX(NV_AN,MATCH(B25,NV_MA,0)),INDEX(NH_AN,MATCH(D25,NH_TEN,0))))</f>
        <v>0</v>
      </c>
      <c r="O25" s="27" t="n">
        <f aca="false">IF(B25="","",N(KT_NGUOI!AL25))</f>
        <v>0</v>
      </c>
      <c r="P25" s="27" t="n">
        <f aca="false">IF(OR(B25="",COUNTIF($B$6:B25,B25)&gt;1),0,SUMPRODUCT(((KT_M1=B25)+(KT_M2=B25)+(KT_M3=B25))*(KT_LOAI="Đích danh")*KT_PHAN))</f>
        <v>0</v>
      </c>
      <c r="Q25" s="27" t="n">
        <f aca="false">IF(OR(B25="",COUNTIF($B$6:B25,B25)&gt;1),0,SUMIFS(DC_VND,DC_MA,$B25,DC_LOAI,"Cộng"))</f>
        <v>0</v>
      </c>
      <c r="R25" s="30" t="n">
        <f aca="false">IF(B25="","",SUM(K25:Q25))</f>
        <v>1843750</v>
      </c>
      <c r="S25" s="27" t="n">
        <f aca="false">IF(OR(B25="",COUNTIF($B$6:B25,B25)&gt;1),0,SUMIFS(DC_VND,DC_MA,$B25,DC_LOAI,"Tạm ứng"))</f>
        <v>0</v>
      </c>
      <c r="T25" s="27" t="n">
        <f aca="false">IF(OR(B25="",COUNTIF($B$6:B25,B25)&gt;1),0,SUMIFS(DC_VND,DC_MA,$B25,DC_LOAI,"Trừ"))</f>
        <v>0</v>
      </c>
      <c r="U25" s="27" t="n">
        <f aca="false">IF(B25="","",ROUNDDOWN((R25-S25-T25)/INDEX(NH_LT,MATCH(D25,NH_TEN,0)),0)*INDEX(NH_LT,MATCH(D25,NH_TEN,0)))</f>
        <v>1843750</v>
      </c>
      <c r="V25" s="30" t="n">
        <f aca="false">IF(B25="","",IF(COUNTIF($B$6:B25,B25)&gt;1,"",SUMIFS($U$6:$U$100,$B$6:$B$100,B25)))</f>
        <v>1843750</v>
      </c>
      <c r="W25" s="16"/>
    </row>
    <row r="26" customFormat="false" ht="15" hidden="false" customHeight="false" outlineLevel="0" collapsed="false">
      <c r="A26" s="17" t="n">
        <f aca="false">IF(B26="","",ROW()-5)</f>
        <v>21</v>
      </c>
      <c r="B26" s="29" t="str">
        <f aca="false">IF(BCC!B26="","",BCC!B26)</f>
        <v>AL-07</v>
      </c>
      <c r="C26" s="17" t="str">
        <f aca="false">IF(B26="","",BCC!C26)</f>
        <v>Hồ Văn Lài</v>
      </c>
      <c r="D26" s="17" t="str">
        <f aca="false">IF(B26="","",BCC!D26)</f>
        <v>A Lưới SX</v>
      </c>
      <c r="E26" s="17" t="str">
        <f aca="false">IF(B26="","",IFERROR(INDEX(NV_HT,MATCH(B26,NV_MA,0)),""))</f>
        <v>Lương ngày</v>
      </c>
      <c r="F26" s="27" t="n">
        <f aca="false">IF(B26="","",IF(N(BCC!E26)&gt;0,BCC!E26,IF(AND(N(IFERROR(INDEX(NV_DG,MATCH(B26,NV_MA,0)),0))&gt;0,IFERROR(INDEX(NV_NHOM,MATCH(B26,NV_MA,0)),"")=D26),INDEX(NV_DG,MATCH(B26,NV_MA,0)),IFERROR(INDEX(NH_DG,MATCH(D26,NH_TEN,0)),0))))</f>
        <v>270000</v>
      </c>
      <c r="G26" s="27" t="n">
        <f aca="false">IF(B26="","",N(IFERROR(INDEX(NV_LT,MATCH(B26,NV_MA,0)),0)))</f>
        <v>0</v>
      </c>
      <c r="H26" s="22" t="n">
        <f aca="false">IF(B26="","",BCC!AL26)</f>
        <v>80</v>
      </c>
      <c r="I26" s="23" t="n">
        <f aca="false">IF(B26="","",BCC!AM26)</f>
        <v>10</v>
      </c>
      <c r="J26" s="23" t="n">
        <f aca="false">IF(B26="","",BCC!AN26)</f>
        <v>5.5</v>
      </c>
      <c r="K26" s="27" t="n">
        <f aca="false">IF(B26="","",IF(E26="Khoán tháng",G26,IF(E26="Lương tháng",G26/INDEX(NH_CHIA,MATCH(D26,NH_TEN,0))*MIN(I26,INDEX(NH_CHIA,MATCH(D26,NH_TEN,0))),I26*F26)))</f>
        <v>2700000</v>
      </c>
      <c r="L26" s="27" t="n">
        <f aca="false">IF(B26="","",(I26-J26)*INDEX(NH_HTN,MATCH(D26,NH_TEN,0)))</f>
        <v>360000</v>
      </c>
      <c r="M26" s="27" t="n">
        <f aca="false">IF(B26="","",J26*INDEX(NH_HTD,MATCH(D26,NH_TEN,0)))</f>
        <v>550000</v>
      </c>
      <c r="N26" s="27" t="n">
        <f aca="false">IF(B26="","",I26*IF(N(IFERROR(INDEX(NV_AN,MATCH(B26,NV_MA,0)),0))&gt;0,INDEX(NV_AN,MATCH(B26,NV_MA,0)),INDEX(NH_AN,MATCH(D26,NH_TEN,0))))</f>
        <v>0</v>
      </c>
      <c r="O26" s="27" t="n">
        <f aca="false">IF(B26="","",N(KT_NGUOI!AL26))</f>
        <v>0</v>
      </c>
      <c r="P26" s="27" t="n">
        <f aca="false">IF(OR(B26="",COUNTIF($B$6:B26,B26)&gt;1),0,SUMPRODUCT(((KT_M1=B26)+(KT_M2=B26)+(KT_M3=B26))*(KT_LOAI="Đích danh")*KT_PHAN))</f>
        <v>0</v>
      </c>
      <c r="Q26" s="27" t="n">
        <f aca="false">IF(OR(B26="",COUNTIF($B$6:B26,B26)&gt;1),0,SUMIFS(DC_VND,DC_MA,$B26,DC_LOAI,"Cộng"))</f>
        <v>0</v>
      </c>
      <c r="R26" s="30" t="n">
        <f aca="false">IF(B26="","",SUM(K26:Q26))</f>
        <v>3610000</v>
      </c>
      <c r="S26" s="27" t="n">
        <f aca="false">IF(OR(B26="",COUNTIF($B$6:B26,B26)&gt;1),0,SUMIFS(DC_VND,DC_MA,$B26,DC_LOAI,"Tạm ứng"))</f>
        <v>0</v>
      </c>
      <c r="T26" s="27" t="n">
        <f aca="false">IF(OR(B26="",COUNTIF($B$6:B26,B26)&gt;1),0,SUMIFS(DC_VND,DC_MA,$B26,DC_LOAI,"Trừ"))</f>
        <v>0</v>
      </c>
      <c r="U26" s="27" t="n">
        <f aca="false">IF(B26="","",ROUNDDOWN((R26-S26-T26)/INDEX(NH_LT,MATCH(D26,NH_TEN,0)),0)*INDEX(NH_LT,MATCH(D26,NH_TEN,0)))</f>
        <v>3610000</v>
      </c>
      <c r="V26" s="30" t="n">
        <f aca="false">IF(B26="","",IF(COUNTIF($B$6:B26,B26)&gt;1,"",SUMIFS($U$6:$U$100,$B$6:$B$100,B26)))</f>
        <v>3610000</v>
      </c>
      <c r="W26" s="16"/>
    </row>
    <row r="27" customFormat="false" ht="15" hidden="false" customHeight="false" outlineLevel="0" collapsed="false">
      <c r="A27" s="17" t="n">
        <f aca="false">IF(B27="","",ROW()-5)</f>
        <v>22</v>
      </c>
      <c r="B27" s="29" t="str">
        <f aca="false">IF(BCC!B27="","",BCC!B27)</f>
        <v>AL-01</v>
      </c>
      <c r="C27" s="17" t="str">
        <f aca="false">IF(B27="","",BCC!C27)</f>
        <v>Hồ Thị Thiệp</v>
      </c>
      <c r="D27" s="17" t="str">
        <f aca="false">IF(B27="","",BCC!D27)</f>
        <v>A Lưới RSS</v>
      </c>
      <c r="E27" s="17" t="str">
        <f aca="false">IF(B27="","",IFERROR(INDEX(NV_HT,MATCH(B27,NV_MA,0)),""))</f>
        <v>Lương ngày</v>
      </c>
      <c r="F27" s="27" t="n">
        <f aca="false">IF(B27="","",IF(N(BCC!E27)&gt;0,BCC!E27,IF(AND(N(IFERROR(INDEX(NV_DG,MATCH(B27,NV_MA,0)),0))&gt;0,IFERROR(INDEX(NV_NHOM,MATCH(B27,NV_MA,0)),"")=D27),INDEX(NV_DG,MATCH(B27,NV_MA,0)),IFERROR(INDEX(NH_DG,MATCH(D27,NH_TEN,0)),0))))</f>
        <v>350000</v>
      </c>
      <c r="G27" s="27" t="n">
        <f aca="false">IF(B27="","",N(IFERROR(INDEX(NV_LT,MATCH(B27,NV_MA,0)),0)))</f>
        <v>0</v>
      </c>
      <c r="H27" s="22" t="n">
        <f aca="false">IF(B27="","",BCC!AL27)</f>
        <v>56.3</v>
      </c>
      <c r="I27" s="23" t="n">
        <f aca="false">IF(B27="","",BCC!AM27)</f>
        <v>7.0375</v>
      </c>
      <c r="J27" s="23" t="n">
        <f aca="false">IF(B27="","",BCC!AN27)</f>
        <v>0</v>
      </c>
      <c r="K27" s="27" t="n">
        <f aca="false">IF(B27="","",IF(E27="Khoán tháng",G27,IF(E27="Lương tháng",G27/INDEX(NH_CHIA,MATCH(D27,NH_TEN,0))*MIN(I27,INDEX(NH_CHIA,MATCH(D27,NH_TEN,0))),I27*F27)))</f>
        <v>2463125</v>
      </c>
      <c r="L27" s="27" t="n">
        <f aca="false">IF(B27="","",(I27-J27)*INDEX(NH_HTN,MATCH(D27,NH_TEN,0)))</f>
        <v>0</v>
      </c>
      <c r="M27" s="27" t="n">
        <f aca="false">IF(B27="","",J27*INDEX(NH_HTD,MATCH(D27,NH_TEN,0)))</f>
        <v>0</v>
      </c>
      <c r="N27" s="27" t="n">
        <f aca="false">IF(B27="","",I27*IF(N(IFERROR(INDEX(NV_AN,MATCH(B27,NV_MA,0)),0))&gt;0,INDEX(NV_AN,MATCH(B27,NV_MA,0)),INDEX(NH_AN,MATCH(D27,NH_TEN,0))))</f>
        <v>0</v>
      </c>
      <c r="O27" s="27" t="n">
        <f aca="false">IF(B27="","",N(KT_NGUOI!AL27))</f>
        <v>0</v>
      </c>
      <c r="P27" s="27" t="n">
        <f aca="false">IF(OR(B27="",COUNTIF($B$6:B27,B27)&gt;1),0,SUMPRODUCT(((KT_M1=B27)+(KT_M2=B27)+(KT_M3=B27))*(KT_LOAI="Đích danh")*KT_PHAN))</f>
        <v>0</v>
      </c>
      <c r="Q27" s="27" t="n">
        <f aca="false">IF(OR(B27="",COUNTIF($B$6:B27,B27)&gt;1),0,SUMIFS(DC_VND,DC_MA,$B27,DC_LOAI,"Cộng"))</f>
        <v>0</v>
      </c>
      <c r="R27" s="30" t="n">
        <f aca="false">IF(B27="","",SUM(K27:Q27))</f>
        <v>2463125</v>
      </c>
      <c r="S27" s="27" t="n">
        <f aca="false">IF(OR(B27="",COUNTIF($B$6:B27,B27)&gt;1),0,SUMIFS(DC_VND,DC_MA,$B27,DC_LOAI,"Tạm ứng"))</f>
        <v>0</v>
      </c>
      <c r="T27" s="27" t="n">
        <f aca="false">IF(OR(B27="",COUNTIF($B$6:B27,B27)&gt;1),0,SUMIFS(DC_VND,DC_MA,$B27,DC_LOAI,"Trừ"))</f>
        <v>0</v>
      </c>
      <c r="U27" s="27" t="n">
        <f aca="false">IF(B27="","",ROUNDDOWN((R27-S27-T27)/INDEX(NH_LT,MATCH(D27,NH_TEN,0)),0)*INDEX(NH_LT,MATCH(D27,NH_TEN,0)))</f>
        <v>2463125</v>
      </c>
      <c r="V27" s="30" t="n">
        <f aca="false">IF(B27="","",IF(COUNTIF($B$6:B27,B27)&gt;1,"",SUMIFS($U$6:$U$100,$B$6:$B$100,B27)))</f>
        <v>2463125</v>
      </c>
      <c r="W27" s="16"/>
    </row>
    <row r="28" customFormat="false" ht="15" hidden="false" customHeight="false" outlineLevel="0" collapsed="false">
      <c r="A28" s="17" t="n">
        <f aca="false">IF(B28="","",ROW()-5)</f>
        <v>23</v>
      </c>
      <c r="B28" s="29" t="str">
        <f aca="false">IF(BCC!B28="","",BCC!B28)</f>
        <v>AL-02</v>
      </c>
      <c r="C28" s="17" t="str">
        <f aca="false">IF(B28="","",BCC!C28)</f>
        <v>Hồ Thượng Thành</v>
      </c>
      <c r="D28" s="17" t="str">
        <f aca="false">IF(B28="","",BCC!D28)</f>
        <v>A Lưới RSS</v>
      </c>
      <c r="E28" s="17" t="str">
        <f aca="false">IF(B28="","",IFERROR(INDEX(NV_HT,MATCH(B28,NV_MA,0)),""))</f>
        <v>Lương ngày</v>
      </c>
      <c r="F28" s="27" t="n">
        <f aca="false">IF(B28="","",IF(N(BCC!E28)&gt;0,BCC!E28,IF(AND(N(IFERROR(INDEX(NV_DG,MATCH(B28,NV_MA,0)),0))&gt;0,IFERROR(INDEX(NV_NHOM,MATCH(B28,NV_MA,0)),"")=D28),INDEX(NV_DG,MATCH(B28,NV_MA,0)),IFERROR(INDEX(NH_DG,MATCH(D28,NH_TEN,0)),0))))</f>
        <v>350000</v>
      </c>
      <c r="G28" s="27" t="n">
        <f aca="false">IF(B28="","",N(IFERROR(INDEX(NV_LT,MATCH(B28,NV_MA,0)),0)))</f>
        <v>0</v>
      </c>
      <c r="H28" s="22" t="n">
        <f aca="false">IF(B28="","",BCC!AL28)</f>
        <v>32</v>
      </c>
      <c r="I28" s="23" t="n">
        <f aca="false">IF(B28="","",BCC!AM28)</f>
        <v>4</v>
      </c>
      <c r="J28" s="23" t="n">
        <f aca="false">IF(B28="","",BCC!AN28)</f>
        <v>1.5</v>
      </c>
      <c r="K28" s="27" t="n">
        <f aca="false">IF(B28="","",IF(E28="Khoán tháng",G28,IF(E28="Lương tháng",G28/INDEX(NH_CHIA,MATCH(D28,NH_TEN,0))*MIN(I28,INDEX(NH_CHIA,MATCH(D28,NH_TEN,0))),I28*F28)))</f>
        <v>1400000</v>
      </c>
      <c r="L28" s="27" t="n">
        <f aca="false">IF(B28="","",(I28-J28)*INDEX(NH_HTN,MATCH(D28,NH_TEN,0)))</f>
        <v>0</v>
      </c>
      <c r="M28" s="27" t="n">
        <f aca="false">IF(B28="","",J28*INDEX(NH_HTD,MATCH(D28,NH_TEN,0)))</f>
        <v>30000</v>
      </c>
      <c r="N28" s="27" t="n">
        <f aca="false">IF(B28="","",I28*IF(N(IFERROR(INDEX(NV_AN,MATCH(B28,NV_MA,0)),0))&gt;0,INDEX(NV_AN,MATCH(B28,NV_MA,0)),INDEX(NH_AN,MATCH(D28,NH_TEN,0))))</f>
        <v>0</v>
      </c>
      <c r="O28" s="27" t="n">
        <f aca="false">IF(B28="","",N(KT_NGUOI!AL28))</f>
        <v>0</v>
      </c>
      <c r="P28" s="27" t="n">
        <f aca="false">IF(OR(B28="",COUNTIF($B$6:B28,B28)&gt;1),0,SUMPRODUCT(((KT_M1=B28)+(KT_M2=B28)+(KT_M3=B28))*(KT_LOAI="Đích danh")*KT_PHAN))</f>
        <v>0</v>
      </c>
      <c r="Q28" s="27" t="n">
        <f aca="false">IF(OR(B28="",COUNTIF($B$6:B28,B28)&gt;1),0,SUMIFS(DC_VND,DC_MA,$B28,DC_LOAI,"Cộng"))</f>
        <v>0</v>
      </c>
      <c r="R28" s="30" t="n">
        <f aca="false">IF(B28="","",SUM(K28:Q28))</f>
        <v>1430000</v>
      </c>
      <c r="S28" s="27" t="n">
        <f aca="false">IF(OR(B28="",COUNTIF($B$6:B28,B28)&gt;1),0,SUMIFS(DC_VND,DC_MA,$B28,DC_LOAI,"Tạm ứng"))</f>
        <v>0</v>
      </c>
      <c r="T28" s="27" t="n">
        <f aca="false">IF(OR(B28="",COUNTIF($B$6:B28,B28)&gt;1),0,SUMIFS(DC_VND,DC_MA,$B28,DC_LOAI,"Trừ"))</f>
        <v>0</v>
      </c>
      <c r="U28" s="27" t="n">
        <f aca="false">IF(B28="","",ROUNDDOWN((R28-S28-T28)/INDEX(NH_LT,MATCH(D28,NH_TEN,0)),0)*INDEX(NH_LT,MATCH(D28,NH_TEN,0)))</f>
        <v>1430000</v>
      </c>
      <c r="V28" s="30" t="str">
        <f aca="false">IF(B28="","",IF(COUNTIF($B$6:B28,B28)&gt;1,"",SUMIFS($U$6:$U$100,$B$6:$B$100,B28)))</f>
        <v/>
      </c>
      <c r="W28" s="16"/>
    </row>
    <row r="29" customFormat="false" ht="15" hidden="false" customHeight="false" outlineLevel="0" collapsed="false">
      <c r="A29" s="17" t="n">
        <f aca="false">IF(B29="","",ROW()-5)</f>
        <v>24</v>
      </c>
      <c r="B29" s="29" t="str">
        <f aca="false">IF(BCC!B29="","",BCC!B29)</f>
        <v>AL-03</v>
      </c>
      <c r="C29" s="17" t="str">
        <f aca="false">IF(B29="","",BCC!C29)</f>
        <v>Hồ Thượng Thư</v>
      </c>
      <c r="D29" s="17" t="str">
        <f aca="false">IF(B29="","",BCC!D29)</f>
        <v>A Lưới RSS</v>
      </c>
      <c r="E29" s="17" t="str">
        <f aca="false">IF(B29="","",IFERROR(INDEX(NV_HT,MATCH(B29,NV_MA,0)),""))</f>
        <v>Lương ngày</v>
      </c>
      <c r="F29" s="27" t="n">
        <f aca="false">IF(B29="","",IF(N(BCC!E29)&gt;0,BCC!E29,IF(AND(N(IFERROR(INDEX(NV_DG,MATCH(B29,NV_MA,0)),0))&gt;0,IFERROR(INDEX(NV_NHOM,MATCH(B29,NV_MA,0)),"")=D29),INDEX(NV_DG,MATCH(B29,NV_MA,0)),IFERROR(INDEX(NH_DG,MATCH(D29,NH_TEN,0)),0))))</f>
        <v>350000</v>
      </c>
      <c r="G29" s="27" t="n">
        <f aca="false">IF(B29="","",N(IFERROR(INDEX(NV_LT,MATCH(B29,NV_MA,0)),0)))</f>
        <v>0</v>
      </c>
      <c r="H29" s="22" t="n">
        <f aca="false">IF(B29="","",BCC!AL29)</f>
        <v>32</v>
      </c>
      <c r="I29" s="23" t="n">
        <f aca="false">IF(B29="","",BCC!AM29)</f>
        <v>4</v>
      </c>
      <c r="J29" s="23" t="n">
        <f aca="false">IF(B29="","",BCC!AN29)</f>
        <v>0</v>
      </c>
      <c r="K29" s="27" t="n">
        <f aca="false">IF(B29="","",IF(E29="Khoán tháng",G29,IF(E29="Lương tháng",G29/INDEX(NH_CHIA,MATCH(D29,NH_TEN,0))*MIN(I29,INDEX(NH_CHIA,MATCH(D29,NH_TEN,0))),I29*F29)))</f>
        <v>1400000</v>
      </c>
      <c r="L29" s="27" t="n">
        <f aca="false">IF(B29="","",(I29-J29)*INDEX(NH_HTN,MATCH(D29,NH_TEN,0)))</f>
        <v>0</v>
      </c>
      <c r="M29" s="27" t="n">
        <f aca="false">IF(B29="","",J29*INDEX(NH_HTD,MATCH(D29,NH_TEN,0)))</f>
        <v>0</v>
      </c>
      <c r="N29" s="27" t="n">
        <f aca="false">IF(B29="","",I29*IF(N(IFERROR(INDEX(NV_AN,MATCH(B29,NV_MA,0)),0))&gt;0,INDEX(NV_AN,MATCH(B29,NV_MA,0)),INDEX(NH_AN,MATCH(D29,NH_TEN,0))))</f>
        <v>0</v>
      </c>
      <c r="O29" s="27" t="n">
        <f aca="false">IF(B29="","",N(KT_NGUOI!AL29))</f>
        <v>0</v>
      </c>
      <c r="P29" s="27" t="n">
        <f aca="false">IF(OR(B29="",COUNTIF($B$6:B29,B29)&gt;1),0,SUMPRODUCT(((KT_M1=B29)+(KT_M2=B29)+(KT_M3=B29))*(KT_LOAI="Đích danh")*KT_PHAN))</f>
        <v>0</v>
      </c>
      <c r="Q29" s="27" t="n">
        <f aca="false">IF(OR(B29="",COUNTIF($B$6:B29,B29)&gt;1),0,SUMIFS(DC_VND,DC_MA,$B29,DC_LOAI,"Cộng"))</f>
        <v>0</v>
      </c>
      <c r="R29" s="30" t="n">
        <f aca="false">IF(B29="","",SUM(K29:Q29))</f>
        <v>1400000</v>
      </c>
      <c r="S29" s="27" t="n">
        <f aca="false">IF(OR(B29="",COUNTIF($B$6:B29,B29)&gt;1),0,SUMIFS(DC_VND,DC_MA,$B29,DC_LOAI,"Tạm ứng"))</f>
        <v>0</v>
      </c>
      <c r="T29" s="27" t="n">
        <f aca="false">IF(OR(B29="",COUNTIF($B$6:B29,B29)&gt;1),0,SUMIFS(DC_VND,DC_MA,$B29,DC_LOAI,"Trừ"))</f>
        <v>0</v>
      </c>
      <c r="U29" s="27" t="n">
        <f aca="false">IF(B29="","",ROUNDDOWN((R29-S29-T29)/INDEX(NH_LT,MATCH(D29,NH_TEN,0)),0)*INDEX(NH_LT,MATCH(D29,NH_TEN,0)))</f>
        <v>1400000</v>
      </c>
      <c r="V29" s="30" t="str">
        <f aca="false">IF(B29="","",IF(COUNTIF($B$6:B29,B29)&gt;1,"",SUMIFS($U$6:$U$100,$B$6:$B$100,B29)))</f>
        <v/>
      </c>
      <c r="W29" s="16"/>
    </row>
    <row r="30" customFormat="false" ht="15" hidden="false" customHeight="false" outlineLevel="0" collapsed="false">
      <c r="A30" s="17" t="n">
        <f aca="false">IF(B30="","",ROW()-5)</f>
        <v>25</v>
      </c>
      <c r="B30" s="29" t="str">
        <f aca="false">IF(BCC!B30="","",BCC!B30)</f>
        <v>AL-04</v>
      </c>
      <c r="C30" s="17" t="str">
        <f aca="false">IF(B30="","",BCC!C30)</f>
        <v>Lê Minh Chai</v>
      </c>
      <c r="D30" s="17" t="str">
        <f aca="false">IF(B30="","",BCC!D30)</f>
        <v>A Lưới RSS</v>
      </c>
      <c r="E30" s="17" t="str">
        <f aca="false">IF(B30="","",IFERROR(INDEX(NV_HT,MATCH(B30,NV_MA,0)),""))</f>
        <v>Lương ngày</v>
      </c>
      <c r="F30" s="27" t="n">
        <f aca="false">IF(B30="","",IF(N(BCC!E30)&gt;0,BCC!E30,IF(AND(N(IFERROR(INDEX(NV_DG,MATCH(B30,NV_MA,0)),0))&gt;0,IFERROR(INDEX(NV_NHOM,MATCH(B30,NV_MA,0)),"")=D30),INDEX(NV_DG,MATCH(B30,NV_MA,0)),IFERROR(INDEX(NH_DG,MATCH(D30,NH_TEN,0)),0))))</f>
        <v>350000</v>
      </c>
      <c r="G30" s="27" t="n">
        <f aca="false">IF(B30="","",N(IFERROR(INDEX(NV_LT,MATCH(B30,NV_MA,0)),0)))</f>
        <v>0</v>
      </c>
      <c r="H30" s="22" t="n">
        <f aca="false">IF(B30="","",BCC!AL30)</f>
        <v>114.3</v>
      </c>
      <c r="I30" s="23" t="n">
        <f aca="false">IF(B30="","",BCC!AM30)</f>
        <v>14.2875</v>
      </c>
      <c r="J30" s="23" t="n">
        <f aca="false">IF(B30="","",BCC!AN30)</f>
        <v>0</v>
      </c>
      <c r="K30" s="27" t="n">
        <f aca="false">IF(B30="","",IF(E30="Khoán tháng",G30,IF(E30="Lương tháng",G30/INDEX(NH_CHIA,MATCH(D30,NH_TEN,0))*MIN(I30,INDEX(NH_CHIA,MATCH(D30,NH_TEN,0))),I30*F30)))</f>
        <v>5000625</v>
      </c>
      <c r="L30" s="27" t="n">
        <f aca="false">IF(B30="","",(I30-J30)*INDEX(NH_HTN,MATCH(D30,NH_TEN,0)))</f>
        <v>0</v>
      </c>
      <c r="M30" s="27" t="n">
        <f aca="false">IF(B30="","",J30*INDEX(NH_HTD,MATCH(D30,NH_TEN,0)))</f>
        <v>0</v>
      </c>
      <c r="N30" s="27" t="n">
        <f aca="false">IF(B30="","",I30*IF(N(IFERROR(INDEX(NV_AN,MATCH(B30,NV_MA,0)),0))&gt;0,INDEX(NV_AN,MATCH(B30,NV_MA,0)),INDEX(NH_AN,MATCH(D30,NH_TEN,0))))</f>
        <v>0</v>
      </c>
      <c r="O30" s="27" t="n">
        <f aca="false">IF(B30="","",N(KT_NGUOI!AL30))</f>
        <v>0</v>
      </c>
      <c r="P30" s="27" t="n">
        <f aca="false">IF(OR(B30="",COUNTIF($B$6:B30,B30)&gt;1),0,SUMPRODUCT(((KT_M1=B30)+(KT_M2=B30)+(KT_M3=B30))*(KT_LOAI="Đích danh")*KT_PHAN))</f>
        <v>0</v>
      </c>
      <c r="Q30" s="27" t="n">
        <f aca="false">IF(OR(B30="",COUNTIF($B$6:B30,B30)&gt;1),0,SUMIFS(DC_VND,DC_MA,$B30,DC_LOAI,"Cộng"))</f>
        <v>500000</v>
      </c>
      <c r="R30" s="30" t="n">
        <f aca="false">IF(B30="","",SUM(K30:Q30))</f>
        <v>5500625</v>
      </c>
      <c r="S30" s="27" t="n">
        <f aca="false">IF(OR(B30="",COUNTIF($B$6:B30,B30)&gt;1),0,SUMIFS(DC_VND,DC_MA,$B30,DC_LOAI,"Tạm ứng"))</f>
        <v>0</v>
      </c>
      <c r="T30" s="27" t="n">
        <f aca="false">IF(OR(B30="",COUNTIF($B$6:B30,B30)&gt;1),0,SUMIFS(DC_VND,DC_MA,$B30,DC_LOAI,"Trừ"))</f>
        <v>0</v>
      </c>
      <c r="U30" s="27" t="n">
        <f aca="false">IF(B30="","",ROUNDDOWN((R30-S30-T30)/INDEX(NH_LT,MATCH(D30,NH_TEN,0)),0)*INDEX(NH_LT,MATCH(D30,NH_TEN,0)))</f>
        <v>5500625</v>
      </c>
      <c r="V30" s="30" t="n">
        <f aca="false">IF(B30="","",IF(COUNTIF($B$6:B30,B30)&gt;1,"",SUMIFS($U$6:$U$100,$B$6:$B$100,B30)))</f>
        <v>5500625</v>
      </c>
      <c r="W30" s="16"/>
    </row>
    <row r="31" customFormat="false" ht="15" hidden="false" customHeight="false" outlineLevel="0" collapsed="false">
      <c r="A31" s="17" t="n">
        <f aca="false">IF(B31="","",ROW()-5)</f>
        <v>26</v>
      </c>
      <c r="B31" s="29" t="str">
        <f aca="false">IF(BCC!B31="","",BCC!B31)</f>
        <v>AL-06</v>
      </c>
      <c r="C31" s="17" t="str">
        <f aca="false">IF(B31="","",BCC!C31)</f>
        <v>Hồ Thị Dịu</v>
      </c>
      <c r="D31" s="17" t="str">
        <f aca="false">IF(B31="","",BCC!D31)</f>
        <v>A Lưới RSS</v>
      </c>
      <c r="E31" s="17" t="str">
        <f aca="false">IF(B31="","",IFERROR(INDEX(NV_HT,MATCH(B31,NV_MA,0)),""))</f>
        <v>Lương ngày</v>
      </c>
      <c r="F31" s="27" t="n">
        <f aca="false">IF(B31="","",IF(N(BCC!E31)&gt;0,BCC!E31,IF(AND(N(IFERROR(INDEX(NV_DG,MATCH(B31,NV_MA,0)),0))&gt;0,IFERROR(INDEX(NV_NHOM,MATCH(B31,NV_MA,0)),"")=D31),INDEX(NV_DG,MATCH(B31,NV_MA,0)),IFERROR(INDEX(NH_DG,MATCH(D31,NH_TEN,0)),0))))</f>
        <v>350000</v>
      </c>
      <c r="G31" s="27" t="n">
        <f aca="false">IF(B31="","",N(IFERROR(INDEX(NV_LT,MATCH(B31,NV_MA,0)),0)))</f>
        <v>0</v>
      </c>
      <c r="H31" s="22" t="n">
        <f aca="false">IF(B31="","",BCC!AL31)</f>
        <v>40</v>
      </c>
      <c r="I31" s="23" t="n">
        <f aca="false">IF(B31="","",BCC!AM31)</f>
        <v>5</v>
      </c>
      <c r="J31" s="23" t="n">
        <f aca="false">IF(B31="","",BCC!AN31)</f>
        <v>0</v>
      </c>
      <c r="K31" s="27" t="n">
        <f aca="false">IF(B31="","",IF(E31="Khoán tháng",G31,IF(E31="Lương tháng",G31/INDEX(NH_CHIA,MATCH(D31,NH_TEN,0))*MIN(I31,INDEX(NH_CHIA,MATCH(D31,NH_TEN,0))),I31*F31)))</f>
        <v>1750000</v>
      </c>
      <c r="L31" s="27" t="n">
        <f aca="false">IF(B31="","",(I31-J31)*INDEX(NH_HTN,MATCH(D31,NH_TEN,0)))</f>
        <v>0</v>
      </c>
      <c r="M31" s="27" t="n">
        <f aca="false">IF(B31="","",J31*INDEX(NH_HTD,MATCH(D31,NH_TEN,0)))</f>
        <v>0</v>
      </c>
      <c r="N31" s="27" t="n">
        <f aca="false">IF(B31="","",I31*IF(N(IFERROR(INDEX(NV_AN,MATCH(B31,NV_MA,0)),0))&gt;0,INDEX(NV_AN,MATCH(B31,NV_MA,0)),INDEX(NH_AN,MATCH(D31,NH_TEN,0))))</f>
        <v>0</v>
      </c>
      <c r="O31" s="27" t="n">
        <f aca="false">IF(B31="","",N(KT_NGUOI!AL31))</f>
        <v>0</v>
      </c>
      <c r="P31" s="27" t="n">
        <f aca="false">IF(OR(B31="",COUNTIF($B$6:B31,B31)&gt;1),0,SUMPRODUCT(((KT_M1=B31)+(KT_M2=B31)+(KT_M3=B31))*(KT_LOAI="Đích danh")*KT_PHAN))</f>
        <v>0</v>
      </c>
      <c r="Q31" s="27" t="n">
        <f aca="false">IF(OR(B31="",COUNTIF($B$6:B31,B31)&gt;1),0,SUMIFS(DC_VND,DC_MA,$B31,DC_LOAI,"Cộng"))</f>
        <v>0</v>
      </c>
      <c r="R31" s="30" t="n">
        <f aca="false">IF(B31="","",SUM(K31:Q31))</f>
        <v>1750000</v>
      </c>
      <c r="S31" s="27" t="n">
        <f aca="false">IF(OR(B31="",COUNTIF($B$6:B31,B31)&gt;1),0,SUMIFS(DC_VND,DC_MA,$B31,DC_LOAI,"Tạm ứng"))</f>
        <v>0</v>
      </c>
      <c r="T31" s="27" t="n">
        <f aca="false">IF(OR(B31="",COUNTIF($B$6:B31,B31)&gt;1),0,SUMIFS(DC_VND,DC_MA,$B31,DC_LOAI,"Trừ"))</f>
        <v>0</v>
      </c>
      <c r="U31" s="27" t="n">
        <f aca="false">IF(B31="","",ROUNDDOWN((R31-S31-T31)/INDEX(NH_LT,MATCH(D31,NH_TEN,0)),0)*INDEX(NH_LT,MATCH(D31,NH_TEN,0)))</f>
        <v>1750000</v>
      </c>
      <c r="V31" s="30" t="n">
        <f aca="false">IF(B31="","",IF(COUNTIF($B$6:B31,B31)&gt;1,"",SUMIFS($U$6:$U$100,$B$6:$B$100,B31)))</f>
        <v>1750000</v>
      </c>
      <c r="W31" s="16"/>
    </row>
    <row r="32" customFormat="false" ht="15" hidden="false" customHeight="false" outlineLevel="0" collapsed="false">
      <c r="A32" s="17" t="n">
        <f aca="false">IF(B32="","",ROW()-5)</f>
        <v>27</v>
      </c>
      <c r="B32" s="29" t="str">
        <f aca="false">IF(BCC!B32="","",BCC!B32)</f>
        <v>QT-01</v>
      </c>
      <c r="C32" s="17" t="str">
        <f aca="false">IF(B32="","",BCC!C32)</f>
        <v>Lê Văn Đạt</v>
      </c>
      <c r="D32" s="17" t="str">
        <f aca="false">IF(B32="","",BCC!D32)</f>
        <v>Thời vụ HAQT</v>
      </c>
      <c r="E32" s="17" t="str">
        <f aca="false">IF(B32="","",IFERROR(INDEX(NV_HT,MATCH(B32,NV_MA,0)),""))</f>
        <v>Lương ngày</v>
      </c>
      <c r="F32" s="27" t="n">
        <f aca="false">IF(B32="","",IF(N(BCC!E32)&gt;0,BCC!E32,IF(AND(N(IFERROR(INDEX(NV_DG,MATCH(B32,NV_MA,0)),0))&gt;0,IFERROR(INDEX(NV_NHOM,MATCH(B32,NV_MA,0)),"")=D32),INDEX(NV_DG,MATCH(B32,NV_MA,0)),IFERROR(INDEX(NH_DG,MATCH(D32,NH_TEN,0)),0))))</f>
        <v>370000</v>
      </c>
      <c r="G32" s="27" t="n">
        <f aca="false">IF(B32="","",N(IFERROR(INDEX(NV_LT,MATCH(B32,NV_MA,0)),0)))</f>
        <v>0</v>
      </c>
      <c r="H32" s="22" t="n">
        <f aca="false">IF(B32="","",BCC!AL32)</f>
        <v>72</v>
      </c>
      <c r="I32" s="23" t="n">
        <f aca="false">IF(B32="","",BCC!AM32)</f>
        <v>9</v>
      </c>
      <c r="J32" s="23" t="n">
        <f aca="false">IF(B32="","",BCC!AN32)</f>
        <v>0</v>
      </c>
      <c r="K32" s="27" t="n">
        <f aca="false">IF(B32="","",IF(E32="Khoán tháng",G32,IF(E32="Lương tháng",G32/INDEX(NH_CHIA,MATCH(D32,NH_TEN,0))*MIN(I32,INDEX(NH_CHIA,MATCH(D32,NH_TEN,0))),I32*F32)))</f>
        <v>3330000</v>
      </c>
      <c r="L32" s="27" t="n">
        <f aca="false">IF(B32="","",(I32-J32)*INDEX(NH_HTN,MATCH(D32,NH_TEN,0)))</f>
        <v>0</v>
      </c>
      <c r="M32" s="27" t="n">
        <f aca="false">IF(B32="","",J32*INDEX(NH_HTD,MATCH(D32,NH_TEN,0)))</f>
        <v>0</v>
      </c>
      <c r="N32" s="27" t="n">
        <f aca="false">IF(B32="","",I32*IF(N(IFERROR(INDEX(NV_AN,MATCH(B32,NV_MA,0)),0))&gt;0,INDEX(NV_AN,MATCH(B32,NV_MA,0)),INDEX(NH_AN,MATCH(D32,NH_TEN,0))))</f>
        <v>0</v>
      </c>
      <c r="O32" s="27" t="n">
        <f aca="false">IF(B32="","",N(KT_NGUOI!AL32))</f>
        <v>835000</v>
      </c>
      <c r="P32" s="27" t="n">
        <f aca="false">IF(OR(B32="",COUNTIF($B$6:B32,B32)&gt;1),0,SUMPRODUCT(((KT_M1=B32)+(KT_M2=B32)+(KT_M3=B32))*(KT_LOAI="Đích danh")*KT_PHAN))</f>
        <v>0</v>
      </c>
      <c r="Q32" s="27" t="n">
        <f aca="false">IF(OR(B32="",COUNTIF($B$6:B32,B32)&gt;1),0,SUMIFS(DC_VND,DC_MA,$B32,DC_LOAI,"Cộng"))</f>
        <v>0</v>
      </c>
      <c r="R32" s="30" t="n">
        <f aca="false">IF(B32="","",SUM(K32:Q32))</f>
        <v>4165000</v>
      </c>
      <c r="S32" s="27" t="n">
        <f aca="false">IF(OR(B32="",COUNTIF($B$6:B32,B32)&gt;1),0,SUMIFS(DC_VND,DC_MA,$B32,DC_LOAI,"Tạm ứng"))</f>
        <v>0</v>
      </c>
      <c r="T32" s="27" t="n">
        <f aca="false">IF(OR(B32="",COUNTIF($B$6:B32,B32)&gt;1),0,SUMIFS(DC_VND,DC_MA,$B32,DC_LOAI,"Trừ"))</f>
        <v>0</v>
      </c>
      <c r="U32" s="27" t="n">
        <f aca="false">IF(B32="","",ROUNDDOWN((R32-S32-T32)/INDEX(NH_LT,MATCH(D32,NH_TEN,0)),0)*INDEX(NH_LT,MATCH(D32,NH_TEN,0)))</f>
        <v>4165000</v>
      </c>
      <c r="V32" s="30" t="n">
        <f aca="false">IF(B32="","",IF(COUNTIF($B$6:B32,B32)&gt;1,"",SUMIFS($U$6:$U$100,$B$6:$B$100,B32)))</f>
        <v>4165000</v>
      </c>
      <c r="W32" s="16"/>
    </row>
    <row r="33" customFormat="false" ht="15" hidden="false" customHeight="false" outlineLevel="0" collapsed="false">
      <c r="A33" s="17" t="n">
        <f aca="false">IF(B33="","",ROW()-5)</f>
        <v>28</v>
      </c>
      <c r="B33" s="29" t="str">
        <f aca="false">IF(BCC!B33="","",BCC!B33)</f>
        <v>QT-02</v>
      </c>
      <c r="C33" s="17" t="str">
        <f aca="false">IF(B33="","",BCC!C33)</f>
        <v>Nguyễn Văn Ánh</v>
      </c>
      <c r="D33" s="17" t="str">
        <f aca="false">IF(B33="","",BCC!D33)</f>
        <v>Thời vụ HAQT</v>
      </c>
      <c r="E33" s="17" t="str">
        <f aca="false">IF(B33="","",IFERROR(INDEX(NV_HT,MATCH(B33,NV_MA,0)),""))</f>
        <v>Lương ngày</v>
      </c>
      <c r="F33" s="27" t="n">
        <f aca="false">IF(B33="","",IF(N(BCC!E33)&gt;0,BCC!E33,IF(AND(N(IFERROR(INDEX(NV_DG,MATCH(B33,NV_MA,0)),0))&gt;0,IFERROR(INDEX(NV_NHOM,MATCH(B33,NV_MA,0)),"")=D33),INDEX(NV_DG,MATCH(B33,NV_MA,0)),IFERROR(INDEX(NH_DG,MATCH(D33,NH_TEN,0)),0))))</f>
        <v>370000</v>
      </c>
      <c r="G33" s="27" t="n">
        <f aca="false">IF(B33="","",N(IFERROR(INDEX(NV_LT,MATCH(B33,NV_MA,0)),0)))</f>
        <v>0</v>
      </c>
      <c r="H33" s="22" t="n">
        <f aca="false">IF(B33="","",BCC!AL33)</f>
        <v>44</v>
      </c>
      <c r="I33" s="23" t="n">
        <f aca="false">IF(B33="","",BCC!AM33)</f>
        <v>5.5</v>
      </c>
      <c r="J33" s="23" t="n">
        <f aca="false">IF(B33="","",BCC!AN33)</f>
        <v>0</v>
      </c>
      <c r="K33" s="27" t="n">
        <f aca="false">IF(B33="","",IF(E33="Khoán tháng",G33,IF(E33="Lương tháng",G33/INDEX(NH_CHIA,MATCH(D33,NH_TEN,0))*MIN(I33,INDEX(NH_CHIA,MATCH(D33,NH_TEN,0))),I33*F33)))</f>
        <v>2035000</v>
      </c>
      <c r="L33" s="27" t="n">
        <f aca="false">IF(B33="","",(I33-J33)*INDEX(NH_HTN,MATCH(D33,NH_TEN,0)))</f>
        <v>0</v>
      </c>
      <c r="M33" s="27" t="n">
        <f aca="false">IF(B33="","",J33*INDEX(NH_HTD,MATCH(D33,NH_TEN,0)))</f>
        <v>0</v>
      </c>
      <c r="N33" s="27" t="n">
        <f aca="false">IF(B33="","",I33*IF(N(IFERROR(INDEX(NV_AN,MATCH(B33,NV_MA,0)),0))&gt;0,INDEX(NV_AN,MATCH(B33,NV_MA,0)),INDEX(NH_AN,MATCH(D33,NH_TEN,0))))</f>
        <v>0</v>
      </c>
      <c r="O33" s="27" t="n">
        <f aca="false">IF(B33="","",N(KT_NGUOI!AL33))</f>
        <v>828000</v>
      </c>
      <c r="P33" s="27" t="n">
        <f aca="false">IF(OR(B33="",COUNTIF($B$6:B33,B33)&gt;1),0,SUMPRODUCT(((KT_M1=B33)+(KT_M2=B33)+(KT_M3=B33))*(KT_LOAI="Đích danh")*KT_PHAN))</f>
        <v>0</v>
      </c>
      <c r="Q33" s="27" t="n">
        <f aca="false">IF(OR(B33="",COUNTIF($B$6:B33,B33)&gt;1),0,SUMIFS(DC_VND,DC_MA,$B33,DC_LOAI,"Cộng"))</f>
        <v>0</v>
      </c>
      <c r="R33" s="30" t="n">
        <f aca="false">IF(B33="","",SUM(K33:Q33))</f>
        <v>2863000</v>
      </c>
      <c r="S33" s="27" t="n">
        <f aca="false">IF(OR(B33="",COUNTIF($B$6:B33,B33)&gt;1),0,SUMIFS(DC_VND,DC_MA,$B33,DC_LOAI,"Tạm ứng"))</f>
        <v>0</v>
      </c>
      <c r="T33" s="27" t="n">
        <f aca="false">IF(OR(B33="",COUNTIF($B$6:B33,B33)&gt;1),0,SUMIFS(DC_VND,DC_MA,$B33,DC_LOAI,"Trừ"))</f>
        <v>0</v>
      </c>
      <c r="U33" s="27" t="n">
        <f aca="false">IF(B33="","",ROUNDDOWN((R33-S33-T33)/INDEX(NH_LT,MATCH(D33,NH_TEN,0)),0)*INDEX(NH_LT,MATCH(D33,NH_TEN,0)))</f>
        <v>2863000</v>
      </c>
      <c r="V33" s="30" t="n">
        <f aca="false">IF(B33="","",IF(COUNTIF($B$6:B33,B33)&gt;1,"",SUMIFS($U$6:$U$100,$B$6:$B$100,B33)))</f>
        <v>2863000</v>
      </c>
      <c r="W33" s="16"/>
    </row>
    <row r="34" customFormat="false" ht="15" hidden="false" customHeight="false" outlineLevel="0" collapsed="false">
      <c r="A34" s="17" t="n">
        <f aca="false">IF(B34="","",ROW()-5)</f>
        <v>29</v>
      </c>
      <c r="B34" s="29" t="str">
        <f aca="false">IF(BCC!B34="","",BCC!B34)</f>
        <v>QT-03</v>
      </c>
      <c r="C34" s="17" t="str">
        <f aca="false">IF(B34="","",BCC!C34)</f>
        <v>Lê Đăng Đức</v>
      </c>
      <c r="D34" s="17" t="str">
        <f aca="false">IF(B34="","",BCC!D34)</f>
        <v>Thời vụ HAQT</v>
      </c>
      <c r="E34" s="17" t="str">
        <f aca="false">IF(B34="","",IFERROR(INDEX(NV_HT,MATCH(B34,NV_MA,0)),""))</f>
        <v>Lương ngày</v>
      </c>
      <c r="F34" s="27" t="n">
        <f aca="false">IF(B34="","",IF(N(BCC!E34)&gt;0,BCC!E34,IF(AND(N(IFERROR(INDEX(NV_DG,MATCH(B34,NV_MA,0)),0))&gt;0,IFERROR(INDEX(NV_NHOM,MATCH(B34,NV_MA,0)),"")=D34),INDEX(NV_DG,MATCH(B34,NV_MA,0)),IFERROR(INDEX(NH_DG,MATCH(D34,NH_TEN,0)),0))))</f>
        <v>370000</v>
      </c>
      <c r="G34" s="27" t="n">
        <f aca="false">IF(B34="","",N(IFERROR(INDEX(NV_LT,MATCH(B34,NV_MA,0)),0)))</f>
        <v>0</v>
      </c>
      <c r="H34" s="22" t="n">
        <f aca="false">IF(B34="","",BCC!AL34)</f>
        <v>72</v>
      </c>
      <c r="I34" s="23" t="n">
        <f aca="false">IF(B34="","",BCC!AM34)</f>
        <v>9</v>
      </c>
      <c r="J34" s="23" t="n">
        <f aca="false">IF(B34="","",BCC!AN34)</f>
        <v>0</v>
      </c>
      <c r="K34" s="27" t="n">
        <f aca="false">IF(B34="","",IF(E34="Khoán tháng",G34,IF(E34="Lương tháng",G34/INDEX(NH_CHIA,MATCH(D34,NH_TEN,0))*MIN(I34,INDEX(NH_CHIA,MATCH(D34,NH_TEN,0))),I34*F34)))</f>
        <v>3330000</v>
      </c>
      <c r="L34" s="27" t="n">
        <f aca="false">IF(B34="","",(I34-J34)*INDEX(NH_HTN,MATCH(D34,NH_TEN,0)))</f>
        <v>0</v>
      </c>
      <c r="M34" s="27" t="n">
        <f aca="false">IF(B34="","",J34*INDEX(NH_HTD,MATCH(D34,NH_TEN,0)))</f>
        <v>0</v>
      </c>
      <c r="N34" s="27" t="n">
        <f aca="false">IF(B34="","",I34*IF(N(IFERROR(INDEX(NV_AN,MATCH(B34,NV_MA,0)),0))&gt;0,INDEX(NV_AN,MATCH(B34,NV_MA,0)),INDEX(NH_AN,MATCH(D34,NH_TEN,0))))</f>
        <v>0</v>
      </c>
      <c r="O34" s="27" t="n">
        <f aca="false">IF(B34="","",N(KT_NGUOI!AL34))</f>
        <v>389000</v>
      </c>
      <c r="P34" s="27" t="n">
        <f aca="false">IF(OR(B34="",COUNTIF($B$6:B34,B34)&gt;1),0,SUMPRODUCT(((KT_M1=B34)+(KT_M2=B34)+(KT_M3=B34))*(KT_LOAI="Đích danh")*KT_PHAN))</f>
        <v>0</v>
      </c>
      <c r="Q34" s="27" t="n">
        <f aca="false">IF(OR(B34="",COUNTIF($B$6:B34,B34)&gt;1),0,SUMIFS(DC_VND,DC_MA,$B34,DC_LOAI,"Cộng"))</f>
        <v>0</v>
      </c>
      <c r="R34" s="30" t="n">
        <f aca="false">IF(B34="","",SUM(K34:Q34))</f>
        <v>3719000</v>
      </c>
      <c r="S34" s="27" t="n">
        <f aca="false">IF(OR(B34="",COUNTIF($B$6:B34,B34)&gt;1),0,SUMIFS(DC_VND,DC_MA,$B34,DC_LOAI,"Tạm ứng"))</f>
        <v>0</v>
      </c>
      <c r="T34" s="27" t="n">
        <f aca="false">IF(OR(B34="",COUNTIF($B$6:B34,B34)&gt;1),0,SUMIFS(DC_VND,DC_MA,$B34,DC_LOAI,"Trừ"))</f>
        <v>0</v>
      </c>
      <c r="U34" s="27" t="n">
        <f aca="false">IF(B34="","",ROUNDDOWN((R34-S34-T34)/INDEX(NH_LT,MATCH(D34,NH_TEN,0)),0)*INDEX(NH_LT,MATCH(D34,NH_TEN,0)))</f>
        <v>3719000</v>
      </c>
      <c r="V34" s="30" t="n">
        <f aca="false">IF(B34="","",IF(COUNTIF($B$6:B34,B34)&gt;1,"",SUMIFS($U$6:$U$100,$B$6:$B$100,B34)))</f>
        <v>3719000</v>
      </c>
      <c r="W34" s="16"/>
    </row>
    <row r="35" customFormat="false" ht="15" hidden="false" customHeight="false" outlineLevel="0" collapsed="false">
      <c r="A35" s="17" t="n">
        <f aca="false">IF(B35="","",ROW()-5)</f>
        <v>30</v>
      </c>
      <c r="B35" s="29" t="str">
        <f aca="false">IF(BCC!B35="","",BCC!B35)</f>
        <v>QT-04</v>
      </c>
      <c r="C35" s="17" t="str">
        <f aca="false">IF(B35="","",BCC!C35)</f>
        <v>Phạm Khai</v>
      </c>
      <c r="D35" s="17" t="str">
        <f aca="false">IF(B35="","",BCC!D35)</f>
        <v>Thời vụ HAQT</v>
      </c>
      <c r="E35" s="17" t="str">
        <f aca="false">IF(B35="","",IFERROR(INDEX(NV_HT,MATCH(B35,NV_MA,0)),""))</f>
        <v>Lương ngày</v>
      </c>
      <c r="F35" s="27" t="n">
        <f aca="false">IF(B35="","",IF(N(BCC!E35)&gt;0,BCC!E35,IF(AND(N(IFERROR(INDEX(NV_DG,MATCH(B35,NV_MA,0)),0))&gt;0,IFERROR(INDEX(NV_NHOM,MATCH(B35,NV_MA,0)),"")=D35),INDEX(NV_DG,MATCH(B35,NV_MA,0)),IFERROR(INDEX(NH_DG,MATCH(D35,NH_TEN,0)),0))))</f>
        <v>370000</v>
      </c>
      <c r="G35" s="27" t="n">
        <f aca="false">IF(B35="","",N(IFERROR(INDEX(NV_LT,MATCH(B35,NV_MA,0)),0)))</f>
        <v>0</v>
      </c>
      <c r="H35" s="22" t="n">
        <f aca="false">IF(B35="","",BCC!AL35)</f>
        <v>80</v>
      </c>
      <c r="I35" s="23" t="n">
        <f aca="false">IF(B35="","",BCC!AM35)</f>
        <v>10</v>
      </c>
      <c r="J35" s="23" t="n">
        <f aca="false">IF(B35="","",BCC!AN35)</f>
        <v>0</v>
      </c>
      <c r="K35" s="27" t="n">
        <f aca="false">IF(B35="","",IF(E35="Khoán tháng",G35,IF(E35="Lương tháng",G35/INDEX(NH_CHIA,MATCH(D35,NH_TEN,0))*MIN(I35,INDEX(NH_CHIA,MATCH(D35,NH_TEN,0))),I35*F35)))</f>
        <v>3700000</v>
      </c>
      <c r="L35" s="27" t="n">
        <f aca="false">IF(B35="","",(I35-J35)*INDEX(NH_HTN,MATCH(D35,NH_TEN,0)))</f>
        <v>0</v>
      </c>
      <c r="M35" s="27" t="n">
        <f aca="false">IF(B35="","",J35*INDEX(NH_HTD,MATCH(D35,NH_TEN,0)))</f>
        <v>0</v>
      </c>
      <c r="N35" s="27" t="n">
        <f aca="false">IF(B35="","",I35*IF(N(IFERROR(INDEX(NV_AN,MATCH(B35,NV_MA,0)),0))&gt;0,INDEX(NV_AN,MATCH(B35,NV_MA,0)),INDEX(NH_AN,MATCH(D35,NH_TEN,0))))</f>
        <v>0</v>
      </c>
      <c r="O35" s="27" t="n">
        <f aca="false">IF(B35="","",N(KT_NGUOI!AL35))</f>
        <v>0</v>
      </c>
      <c r="P35" s="27" t="n">
        <f aca="false">IF(OR(B35="",COUNTIF($B$6:B35,B35)&gt;1),0,SUMPRODUCT(((KT_M1=B35)+(KT_M2=B35)+(KT_M3=B35))*(KT_LOAI="Đích danh")*KT_PHAN))</f>
        <v>0</v>
      </c>
      <c r="Q35" s="27" t="n">
        <f aca="false">IF(OR(B35="",COUNTIF($B$6:B35,B35)&gt;1),0,SUMIFS(DC_VND,DC_MA,$B35,DC_LOAI,"Cộng"))</f>
        <v>0</v>
      </c>
      <c r="R35" s="30" t="n">
        <f aca="false">IF(B35="","",SUM(K35:Q35))</f>
        <v>3700000</v>
      </c>
      <c r="S35" s="27" t="n">
        <f aca="false">IF(OR(B35="",COUNTIF($B$6:B35,B35)&gt;1),0,SUMIFS(DC_VND,DC_MA,$B35,DC_LOAI,"Tạm ứng"))</f>
        <v>0</v>
      </c>
      <c r="T35" s="27" t="n">
        <f aca="false">IF(OR(B35="",COUNTIF($B$6:B35,B35)&gt;1),0,SUMIFS(DC_VND,DC_MA,$B35,DC_LOAI,"Trừ"))</f>
        <v>0</v>
      </c>
      <c r="U35" s="27" t="n">
        <f aca="false">IF(B35="","",ROUNDDOWN((R35-S35-T35)/INDEX(NH_LT,MATCH(D35,NH_TEN,0)),0)*INDEX(NH_LT,MATCH(D35,NH_TEN,0)))</f>
        <v>3700000</v>
      </c>
      <c r="V35" s="30" t="n">
        <f aca="false">IF(B35="","",IF(COUNTIF($B$6:B35,B35)&gt;1,"",SUMIFS($U$6:$U$100,$B$6:$B$100,B35)))</f>
        <v>3700000</v>
      </c>
      <c r="W35" s="16"/>
    </row>
    <row r="36" customFormat="false" ht="15" hidden="false" customHeight="false" outlineLevel="0" collapsed="false">
      <c r="A36" s="17" t="n">
        <f aca="false">IF(B36="","",ROW()-5)</f>
        <v>31</v>
      </c>
      <c r="B36" s="29" t="str">
        <f aca="false">IF(BCC!B36="","",BCC!B36)</f>
        <v>QT-05</v>
      </c>
      <c r="C36" s="17" t="str">
        <f aca="false">IF(B36="","",BCC!C36)</f>
        <v>Nguyễn Thị Nhung</v>
      </c>
      <c r="D36" s="17" t="str">
        <f aca="false">IF(B36="","",BCC!D36)</f>
        <v>Thời vụ HAQT</v>
      </c>
      <c r="E36" s="17" t="str">
        <f aca="false">IF(B36="","",IFERROR(INDEX(NV_HT,MATCH(B36,NV_MA,0)),""))</f>
        <v>Lương ngày</v>
      </c>
      <c r="F36" s="27" t="n">
        <f aca="false">IF(B36="","",IF(N(BCC!E36)&gt;0,BCC!E36,IF(AND(N(IFERROR(INDEX(NV_DG,MATCH(B36,NV_MA,0)),0))&gt;0,IFERROR(INDEX(NV_NHOM,MATCH(B36,NV_MA,0)),"")=D36),INDEX(NV_DG,MATCH(B36,NV_MA,0)),IFERROR(INDEX(NH_DG,MATCH(D36,NH_TEN,0)),0))))</f>
        <v>370000</v>
      </c>
      <c r="G36" s="27" t="n">
        <f aca="false">IF(B36="","",N(IFERROR(INDEX(NV_LT,MATCH(B36,NV_MA,0)),0)))</f>
        <v>0</v>
      </c>
      <c r="H36" s="22" t="n">
        <f aca="false">IF(B36="","",BCC!AL36)</f>
        <v>40</v>
      </c>
      <c r="I36" s="23" t="n">
        <f aca="false">IF(B36="","",BCC!AM36)</f>
        <v>5</v>
      </c>
      <c r="J36" s="23" t="n">
        <f aca="false">IF(B36="","",BCC!AN36)</f>
        <v>0</v>
      </c>
      <c r="K36" s="27" t="n">
        <f aca="false">IF(B36="","",IF(E36="Khoán tháng",G36,IF(E36="Lương tháng",G36/INDEX(NH_CHIA,MATCH(D36,NH_TEN,0))*MIN(I36,INDEX(NH_CHIA,MATCH(D36,NH_TEN,0))),I36*F36)))</f>
        <v>1850000</v>
      </c>
      <c r="L36" s="27" t="n">
        <f aca="false">IF(B36="","",(I36-J36)*INDEX(NH_HTN,MATCH(D36,NH_TEN,0)))</f>
        <v>0</v>
      </c>
      <c r="M36" s="27" t="n">
        <f aca="false">IF(B36="","",J36*INDEX(NH_HTD,MATCH(D36,NH_TEN,0)))</f>
        <v>0</v>
      </c>
      <c r="N36" s="27" t="n">
        <f aca="false">IF(B36="","",I36*IF(N(IFERROR(INDEX(NV_AN,MATCH(B36,NV_MA,0)),0))&gt;0,INDEX(NV_AN,MATCH(B36,NV_MA,0)),INDEX(NH_AN,MATCH(D36,NH_TEN,0))))</f>
        <v>0</v>
      </c>
      <c r="O36" s="27" t="n">
        <f aca="false">IF(B36="","",N(KT_NGUOI!AL36))</f>
        <v>828000</v>
      </c>
      <c r="P36" s="27" t="n">
        <f aca="false">IF(OR(B36="",COUNTIF($B$6:B36,B36)&gt;1),0,SUMPRODUCT(((KT_M1=B36)+(KT_M2=B36)+(KT_M3=B36))*(KT_LOAI="Đích danh")*KT_PHAN))</f>
        <v>0</v>
      </c>
      <c r="Q36" s="27" t="n">
        <f aca="false">IF(OR(B36="",COUNTIF($B$6:B36,B36)&gt;1),0,SUMIFS(DC_VND,DC_MA,$B36,DC_LOAI,"Cộng"))</f>
        <v>0</v>
      </c>
      <c r="R36" s="30" t="n">
        <f aca="false">IF(B36="","",SUM(K36:Q36))</f>
        <v>2678000</v>
      </c>
      <c r="S36" s="27" t="n">
        <f aca="false">IF(OR(B36="",COUNTIF($B$6:B36,B36)&gt;1),0,SUMIFS(DC_VND,DC_MA,$B36,DC_LOAI,"Tạm ứng"))</f>
        <v>0</v>
      </c>
      <c r="T36" s="27" t="n">
        <f aca="false">IF(OR(B36="",COUNTIF($B$6:B36,B36)&gt;1),0,SUMIFS(DC_VND,DC_MA,$B36,DC_LOAI,"Trừ"))</f>
        <v>0</v>
      </c>
      <c r="U36" s="27" t="n">
        <f aca="false">IF(B36="","",ROUNDDOWN((R36-S36-T36)/INDEX(NH_LT,MATCH(D36,NH_TEN,0)),0)*INDEX(NH_LT,MATCH(D36,NH_TEN,0)))</f>
        <v>2678000</v>
      </c>
      <c r="V36" s="30" t="n">
        <f aca="false">IF(B36="","",IF(COUNTIF($B$6:B36,B36)&gt;1,"",SUMIFS($U$6:$U$100,$B$6:$B$100,B36)))</f>
        <v>2678000</v>
      </c>
      <c r="W36" s="16"/>
    </row>
    <row r="37" customFormat="false" ht="15" hidden="false" customHeight="false" outlineLevel="0" collapsed="false">
      <c r="A37" s="17" t="n">
        <f aca="false">IF(B37="","",ROW()-5)</f>
        <v>32</v>
      </c>
      <c r="B37" s="29" t="str">
        <f aca="false">IF(BCC!B37="","",BCC!B37)</f>
        <v>QT-06</v>
      </c>
      <c r="C37" s="17" t="str">
        <f aca="false">IF(B37="","",BCC!C37)</f>
        <v>Tạ Thị Na</v>
      </c>
      <c r="D37" s="17" t="str">
        <f aca="false">IF(B37="","",BCC!D37)</f>
        <v>Thời vụ HAQT</v>
      </c>
      <c r="E37" s="17" t="str">
        <f aca="false">IF(B37="","",IFERROR(INDEX(NV_HT,MATCH(B37,NV_MA,0)),""))</f>
        <v>Lương ngày</v>
      </c>
      <c r="F37" s="27" t="n">
        <f aca="false">IF(B37="","",IF(N(BCC!E37)&gt;0,BCC!E37,IF(AND(N(IFERROR(INDEX(NV_DG,MATCH(B37,NV_MA,0)),0))&gt;0,IFERROR(INDEX(NV_NHOM,MATCH(B37,NV_MA,0)),"")=D37),INDEX(NV_DG,MATCH(B37,NV_MA,0)),IFERROR(INDEX(NH_DG,MATCH(D37,NH_TEN,0)),0))))</f>
        <v>370000</v>
      </c>
      <c r="G37" s="27" t="n">
        <f aca="false">IF(B37="","",N(IFERROR(INDEX(NV_LT,MATCH(B37,NV_MA,0)),0)))</f>
        <v>0</v>
      </c>
      <c r="H37" s="22" t="n">
        <f aca="false">IF(B37="","",BCC!AL37)</f>
        <v>56</v>
      </c>
      <c r="I37" s="23" t="n">
        <f aca="false">IF(B37="","",BCC!AM37)</f>
        <v>7</v>
      </c>
      <c r="J37" s="23" t="n">
        <f aca="false">IF(B37="","",BCC!AN37)</f>
        <v>0</v>
      </c>
      <c r="K37" s="27" t="n">
        <f aca="false">IF(B37="","",IF(E37="Khoán tháng",G37,IF(E37="Lương tháng",G37/INDEX(NH_CHIA,MATCH(D37,NH_TEN,0))*MIN(I37,INDEX(NH_CHIA,MATCH(D37,NH_TEN,0))),I37*F37)))</f>
        <v>2590000</v>
      </c>
      <c r="L37" s="27" t="n">
        <f aca="false">IF(B37="","",(I37-J37)*INDEX(NH_HTN,MATCH(D37,NH_TEN,0)))</f>
        <v>0</v>
      </c>
      <c r="M37" s="27" t="n">
        <f aca="false">IF(B37="","",J37*INDEX(NH_HTD,MATCH(D37,NH_TEN,0)))</f>
        <v>0</v>
      </c>
      <c r="N37" s="27" t="n">
        <f aca="false">IF(B37="","",I37*IF(N(IFERROR(INDEX(NV_AN,MATCH(B37,NV_MA,0)),0))&gt;0,INDEX(NV_AN,MATCH(B37,NV_MA,0)),INDEX(NH_AN,MATCH(D37,NH_TEN,0))))</f>
        <v>0</v>
      </c>
      <c r="O37" s="27" t="n">
        <f aca="false">IF(B37="","",N(KT_NGUOI!AL37))</f>
        <v>1122000</v>
      </c>
      <c r="P37" s="27" t="n">
        <f aca="false">IF(OR(B37="",COUNTIF($B$6:B37,B37)&gt;1),0,SUMPRODUCT(((KT_M1=B37)+(KT_M2=B37)+(KT_M3=B37))*(KT_LOAI="Đích danh")*KT_PHAN))</f>
        <v>0</v>
      </c>
      <c r="Q37" s="27" t="n">
        <f aca="false">IF(OR(B37="",COUNTIF($B$6:B37,B37)&gt;1),0,SUMIFS(DC_VND,DC_MA,$B37,DC_LOAI,"Cộng"))</f>
        <v>0</v>
      </c>
      <c r="R37" s="30" t="n">
        <f aca="false">IF(B37="","",SUM(K37:Q37))</f>
        <v>3712000</v>
      </c>
      <c r="S37" s="27" t="n">
        <f aca="false">IF(OR(B37="",COUNTIF($B$6:B37,B37)&gt;1),0,SUMIFS(DC_VND,DC_MA,$B37,DC_LOAI,"Tạm ứng"))</f>
        <v>0</v>
      </c>
      <c r="T37" s="27" t="n">
        <f aca="false">IF(OR(B37="",COUNTIF($B$6:B37,B37)&gt;1),0,SUMIFS(DC_VND,DC_MA,$B37,DC_LOAI,"Trừ"))</f>
        <v>0</v>
      </c>
      <c r="U37" s="27" t="n">
        <f aca="false">IF(B37="","",ROUNDDOWN((R37-S37-T37)/INDEX(NH_LT,MATCH(D37,NH_TEN,0)),0)*INDEX(NH_LT,MATCH(D37,NH_TEN,0)))</f>
        <v>3712000</v>
      </c>
      <c r="V37" s="30" t="n">
        <f aca="false">IF(B37="","",IF(COUNTIF($B$6:B37,B37)&gt;1,"",SUMIFS($U$6:$U$100,$B$6:$B$100,B37)))</f>
        <v>3712000</v>
      </c>
      <c r="W37" s="16"/>
    </row>
    <row r="38" customFormat="false" ht="15" hidden="false" customHeight="false" outlineLevel="0" collapsed="false">
      <c r="A38" s="17" t="n">
        <f aca="false">IF(B38="","",ROW()-5)</f>
        <v>33</v>
      </c>
      <c r="B38" s="29" t="str">
        <f aca="false">IF(BCC!B38="","",BCC!B38)</f>
        <v>QT-07</v>
      </c>
      <c r="C38" s="17" t="str">
        <f aca="false">IF(B38="","",BCC!C38)</f>
        <v>Lê Thị Thanh</v>
      </c>
      <c r="D38" s="17" t="str">
        <f aca="false">IF(B38="","",BCC!D38)</f>
        <v>Thời vụ HAQT</v>
      </c>
      <c r="E38" s="17" t="str">
        <f aca="false">IF(B38="","",IFERROR(INDEX(NV_HT,MATCH(B38,NV_MA,0)),""))</f>
        <v>Lương ngày</v>
      </c>
      <c r="F38" s="27" t="n">
        <f aca="false">IF(B38="","",IF(N(BCC!E38)&gt;0,BCC!E38,IF(AND(N(IFERROR(INDEX(NV_DG,MATCH(B38,NV_MA,0)),0))&gt;0,IFERROR(INDEX(NV_NHOM,MATCH(B38,NV_MA,0)),"")=D38),INDEX(NV_DG,MATCH(B38,NV_MA,0)),IFERROR(INDEX(NH_DG,MATCH(D38,NH_TEN,0)),0))))</f>
        <v>370000</v>
      </c>
      <c r="G38" s="27" t="n">
        <f aca="false">IF(B38="","",N(IFERROR(INDEX(NV_LT,MATCH(B38,NV_MA,0)),0)))</f>
        <v>0</v>
      </c>
      <c r="H38" s="22" t="n">
        <f aca="false">IF(B38="","",BCC!AL38)</f>
        <v>48</v>
      </c>
      <c r="I38" s="23" t="n">
        <f aca="false">IF(B38="","",BCC!AM38)</f>
        <v>6</v>
      </c>
      <c r="J38" s="23" t="n">
        <f aca="false">IF(B38="","",BCC!AN38)</f>
        <v>0</v>
      </c>
      <c r="K38" s="27" t="n">
        <f aca="false">IF(B38="","",IF(E38="Khoán tháng",G38,IF(E38="Lương tháng",G38/INDEX(NH_CHIA,MATCH(D38,NH_TEN,0))*MIN(I38,INDEX(NH_CHIA,MATCH(D38,NH_TEN,0))),I38*F38)))</f>
        <v>2220000</v>
      </c>
      <c r="L38" s="27" t="n">
        <f aca="false">IF(B38="","",(I38-J38)*INDEX(NH_HTN,MATCH(D38,NH_TEN,0)))</f>
        <v>0</v>
      </c>
      <c r="M38" s="27" t="n">
        <f aca="false">IF(B38="","",J38*INDEX(NH_HTD,MATCH(D38,NH_TEN,0)))</f>
        <v>0</v>
      </c>
      <c r="N38" s="27" t="n">
        <f aca="false">IF(B38="","",I38*IF(N(IFERROR(INDEX(NV_AN,MATCH(B38,NV_MA,0)),0))&gt;0,INDEX(NV_AN,MATCH(B38,NV_MA,0)),INDEX(NH_AN,MATCH(D38,NH_TEN,0))))</f>
        <v>0</v>
      </c>
      <c r="O38" s="27" t="n">
        <f aca="false">IF(B38="","",N(KT_NGUOI!AL38))</f>
        <v>733000</v>
      </c>
      <c r="P38" s="27" t="n">
        <f aca="false">IF(OR(B38="",COUNTIF($B$6:B38,B38)&gt;1),0,SUMPRODUCT(((KT_M1=B38)+(KT_M2=B38)+(KT_M3=B38))*(KT_LOAI="Đích danh")*KT_PHAN))</f>
        <v>0</v>
      </c>
      <c r="Q38" s="27" t="n">
        <f aca="false">IF(OR(B38="",COUNTIF($B$6:B38,B38)&gt;1),0,SUMIFS(DC_VND,DC_MA,$B38,DC_LOAI,"Cộng"))</f>
        <v>0</v>
      </c>
      <c r="R38" s="30" t="n">
        <f aca="false">IF(B38="","",SUM(K38:Q38))</f>
        <v>2953000</v>
      </c>
      <c r="S38" s="27" t="n">
        <f aca="false">IF(OR(B38="",COUNTIF($B$6:B38,B38)&gt;1),0,SUMIFS(DC_VND,DC_MA,$B38,DC_LOAI,"Tạm ứng"))</f>
        <v>0</v>
      </c>
      <c r="T38" s="27" t="n">
        <f aca="false">IF(OR(B38="",COUNTIF($B$6:B38,B38)&gt;1),0,SUMIFS(DC_VND,DC_MA,$B38,DC_LOAI,"Trừ"))</f>
        <v>0</v>
      </c>
      <c r="U38" s="27" t="n">
        <f aca="false">IF(B38="","",ROUNDDOWN((R38-S38-T38)/INDEX(NH_LT,MATCH(D38,NH_TEN,0)),0)*INDEX(NH_LT,MATCH(D38,NH_TEN,0)))</f>
        <v>2953000</v>
      </c>
      <c r="V38" s="30" t="n">
        <f aca="false">IF(B38="","",IF(COUNTIF($B$6:B38,B38)&gt;1,"",SUMIFS($U$6:$U$100,$B$6:$B$100,B38)))</f>
        <v>2953000</v>
      </c>
      <c r="W38" s="16"/>
    </row>
    <row r="39" customFormat="false" ht="15" hidden="false" customHeight="false" outlineLevel="0" collapsed="false">
      <c r="A39" s="17" t="n">
        <f aca="false">IF(B39="","",ROW()-5)</f>
        <v>34</v>
      </c>
      <c r="B39" s="29" t="str">
        <f aca="false">IF(BCC!B39="","",BCC!B39)</f>
        <v>QT-08</v>
      </c>
      <c r="C39" s="17" t="str">
        <f aca="false">IF(B39="","",BCC!C39)</f>
        <v>Nguyễn Thị Thanh</v>
      </c>
      <c r="D39" s="17" t="str">
        <f aca="false">IF(B39="","",BCC!D39)</f>
        <v>Thời vụ HAQT</v>
      </c>
      <c r="E39" s="17" t="str">
        <f aca="false">IF(B39="","",IFERROR(INDEX(NV_HT,MATCH(B39,NV_MA,0)),""))</f>
        <v>Lương ngày</v>
      </c>
      <c r="F39" s="27" t="n">
        <f aca="false">IF(B39="","",IF(N(BCC!E39)&gt;0,BCC!E39,IF(AND(N(IFERROR(INDEX(NV_DG,MATCH(B39,NV_MA,0)),0))&gt;0,IFERROR(INDEX(NV_NHOM,MATCH(B39,NV_MA,0)),"")=D39),INDEX(NV_DG,MATCH(B39,NV_MA,0)),IFERROR(INDEX(NH_DG,MATCH(D39,NH_TEN,0)),0))))</f>
        <v>370000</v>
      </c>
      <c r="G39" s="27" t="n">
        <f aca="false">IF(B39="","",N(IFERROR(INDEX(NV_LT,MATCH(B39,NV_MA,0)),0)))</f>
        <v>0</v>
      </c>
      <c r="H39" s="22" t="n">
        <f aca="false">IF(B39="","",BCC!AL39)</f>
        <v>48</v>
      </c>
      <c r="I39" s="23" t="n">
        <f aca="false">IF(B39="","",BCC!AM39)</f>
        <v>6</v>
      </c>
      <c r="J39" s="23" t="n">
        <f aca="false">IF(B39="","",BCC!AN39)</f>
        <v>0</v>
      </c>
      <c r="K39" s="27" t="n">
        <f aca="false">IF(B39="","",IF(E39="Khoán tháng",G39,IF(E39="Lương tháng",G39/INDEX(NH_CHIA,MATCH(D39,NH_TEN,0))*MIN(I39,INDEX(NH_CHIA,MATCH(D39,NH_TEN,0))),I39*F39)))</f>
        <v>2220000</v>
      </c>
      <c r="L39" s="27" t="n">
        <f aca="false">IF(B39="","",(I39-J39)*INDEX(NH_HTN,MATCH(D39,NH_TEN,0)))</f>
        <v>0</v>
      </c>
      <c r="M39" s="27" t="n">
        <f aca="false">IF(B39="","",J39*INDEX(NH_HTD,MATCH(D39,NH_TEN,0)))</f>
        <v>0</v>
      </c>
      <c r="N39" s="27" t="n">
        <f aca="false">IF(B39="","",I39*IF(N(IFERROR(INDEX(NV_AN,MATCH(B39,NV_MA,0)),0))&gt;0,INDEX(NV_AN,MATCH(B39,NV_MA,0)),INDEX(NH_AN,MATCH(D39,NH_TEN,0))))</f>
        <v>0</v>
      </c>
      <c r="O39" s="27" t="n">
        <f aca="false">IF(B39="","",N(KT_NGUOI!AL39))</f>
        <v>733000</v>
      </c>
      <c r="P39" s="27" t="n">
        <f aca="false">IF(OR(B39="",COUNTIF($B$6:B39,B39)&gt;1),0,SUMPRODUCT(((KT_M1=B39)+(KT_M2=B39)+(KT_M3=B39))*(KT_LOAI="Đích danh")*KT_PHAN))</f>
        <v>0</v>
      </c>
      <c r="Q39" s="27" t="n">
        <f aca="false">IF(OR(B39="",COUNTIF($B$6:B39,B39)&gt;1),0,SUMIFS(DC_VND,DC_MA,$B39,DC_LOAI,"Cộng"))</f>
        <v>0</v>
      </c>
      <c r="R39" s="30" t="n">
        <f aca="false">IF(B39="","",SUM(K39:Q39))</f>
        <v>2953000</v>
      </c>
      <c r="S39" s="27" t="n">
        <f aca="false">IF(OR(B39="",COUNTIF($B$6:B39,B39)&gt;1),0,SUMIFS(DC_VND,DC_MA,$B39,DC_LOAI,"Tạm ứng"))</f>
        <v>0</v>
      </c>
      <c r="T39" s="27" t="n">
        <f aca="false">IF(OR(B39="",COUNTIF($B$6:B39,B39)&gt;1),0,SUMIFS(DC_VND,DC_MA,$B39,DC_LOAI,"Trừ"))</f>
        <v>0</v>
      </c>
      <c r="U39" s="27" t="n">
        <f aca="false">IF(B39="","",ROUNDDOWN((R39-S39-T39)/INDEX(NH_LT,MATCH(D39,NH_TEN,0)),0)*INDEX(NH_LT,MATCH(D39,NH_TEN,0)))</f>
        <v>2953000</v>
      </c>
      <c r="V39" s="30" t="n">
        <f aca="false">IF(B39="","",IF(COUNTIF($B$6:B39,B39)&gt;1,"",SUMIFS($U$6:$U$100,$B$6:$B$100,B39)))</f>
        <v>2953000</v>
      </c>
      <c r="W39" s="16"/>
    </row>
    <row r="40" customFormat="false" ht="15" hidden="false" customHeight="false" outlineLevel="0" collapsed="false">
      <c r="A40" s="17" t="n">
        <f aca="false">IF(B40="","",ROW()-5)</f>
        <v>35</v>
      </c>
      <c r="B40" s="29" t="str">
        <f aca="false">IF(BCC!B40="","",BCC!B40)</f>
        <v>QT-09</v>
      </c>
      <c r="C40" s="17" t="str">
        <f aca="false">IF(B40="","",BCC!C40)</f>
        <v>Lưu Thị Lan</v>
      </c>
      <c r="D40" s="17" t="str">
        <f aca="false">IF(B40="","",BCC!D40)</f>
        <v>Thời vụ HAQT</v>
      </c>
      <c r="E40" s="17" t="str">
        <f aca="false">IF(B40="","",IFERROR(INDEX(NV_HT,MATCH(B40,NV_MA,0)),""))</f>
        <v>Lương ngày</v>
      </c>
      <c r="F40" s="27" t="n">
        <f aca="false">IF(B40="","",IF(N(BCC!E40)&gt;0,BCC!E40,IF(AND(N(IFERROR(INDEX(NV_DG,MATCH(B40,NV_MA,0)),0))&gt;0,IFERROR(INDEX(NV_NHOM,MATCH(B40,NV_MA,0)),"")=D40),INDEX(NV_DG,MATCH(B40,NV_MA,0)),IFERROR(INDEX(NH_DG,MATCH(D40,NH_TEN,0)),0))))</f>
        <v>370000</v>
      </c>
      <c r="G40" s="27" t="n">
        <f aca="false">IF(B40="","",N(IFERROR(INDEX(NV_LT,MATCH(B40,NV_MA,0)),0)))</f>
        <v>0</v>
      </c>
      <c r="H40" s="22" t="n">
        <f aca="false">IF(B40="","",BCC!AL40)</f>
        <v>48</v>
      </c>
      <c r="I40" s="23" t="n">
        <f aca="false">IF(B40="","",BCC!AM40)</f>
        <v>6</v>
      </c>
      <c r="J40" s="23" t="n">
        <f aca="false">IF(B40="","",BCC!AN40)</f>
        <v>0</v>
      </c>
      <c r="K40" s="27" t="n">
        <f aca="false">IF(B40="","",IF(E40="Khoán tháng",G40,IF(E40="Lương tháng",G40/INDEX(NH_CHIA,MATCH(D40,NH_TEN,0))*MIN(I40,INDEX(NH_CHIA,MATCH(D40,NH_TEN,0))),I40*F40)))</f>
        <v>2220000</v>
      </c>
      <c r="L40" s="27" t="n">
        <f aca="false">IF(B40="","",(I40-J40)*INDEX(NH_HTN,MATCH(D40,NH_TEN,0)))</f>
        <v>0</v>
      </c>
      <c r="M40" s="27" t="n">
        <f aca="false">IF(B40="","",J40*INDEX(NH_HTD,MATCH(D40,NH_TEN,0)))</f>
        <v>0</v>
      </c>
      <c r="N40" s="27" t="n">
        <f aca="false">IF(B40="","",I40*IF(N(IFERROR(INDEX(NV_AN,MATCH(B40,NV_MA,0)),0))&gt;0,INDEX(NV_AN,MATCH(B40,NV_MA,0)),INDEX(NH_AN,MATCH(D40,NH_TEN,0))))</f>
        <v>0</v>
      </c>
      <c r="O40" s="27" t="n">
        <f aca="false">IF(B40="","",N(KT_NGUOI!AL40))</f>
        <v>733000</v>
      </c>
      <c r="P40" s="27" t="n">
        <f aca="false">IF(OR(B40="",COUNTIF($B$6:B40,B40)&gt;1),0,SUMPRODUCT(((KT_M1=B40)+(KT_M2=B40)+(KT_M3=B40))*(KT_LOAI="Đích danh")*KT_PHAN))</f>
        <v>0</v>
      </c>
      <c r="Q40" s="27" t="n">
        <f aca="false">IF(OR(B40="",COUNTIF($B$6:B40,B40)&gt;1),0,SUMIFS(DC_VND,DC_MA,$B40,DC_LOAI,"Cộng"))</f>
        <v>0</v>
      </c>
      <c r="R40" s="30" t="n">
        <f aca="false">IF(B40="","",SUM(K40:Q40))</f>
        <v>2953000</v>
      </c>
      <c r="S40" s="27" t="n">
        <f aca="false">IF(OR(B40="",COUNTIF($B$6:B40,B40)&gt;1),0,SUMIFS(DC_VND,DC_MA,$B40,DC_LOAI,"Tạm ứng"))</f>
        <v>0</v>
      </c>
      <c r="T40" s="27" t="n">
        <f aca="false">IF(OR(B40="",COUNTIF($B$6:B40,B40)&gt;1),0,SUMIFS(DC_VND,DC_MA,$B40,DC_LOAI,"Trừ"))</f>
        <v>0</v>
      </c>
      <c r="U40" s="27" t="n">
        <f aca="false">IF(B40="","",ROUNDDOWN((R40-S40-T40)/INDEX(NH_LT,MATCH(D40,NH_TEN,0)),0)*INDEX(NH_LT,MATCH(D40,NH_TEN,0)))</f>
        <v>2953000</v>
      </c>
      <c r="V40" s="30" t="n">
        <f aca="false">IF(B40="","",IF(COUNTIF($B$6:B40,B40)&gt;1,"",SUMIFS($U$6:$U$100,$B$6:$B$100,B40)))</f>
        <v>2953000</v>
      </c>
      <c r="W40" s="16"/>
    </row>
    <row r="41" customFormat="false" ht="15" hidden="false" customHeight="false" outlineLevel="0" collapsed="false">
      <c r="A41" s="17" t="n">
        <f aca="false">IF(B41="","",ROW()-5)</f>
        <v>36</v>
      </c>
      <c r="B41" s="29" t="str">
        <f aca="false">IF(BCC!B41="","",BCC!B41)</f>
        <v>QT-10</v>
      </c>
      <c r="C41" s="17" t="str">
        <f aca="false">IF(B41="","",BCC!C41)</f>
        <v>Lê Thị Minh Thu</v>
      </c>
      <c r="D41" s="17" t="str">
        <f aca="false">IF(B41="","",BCC!D41)</f>
        <v>Thời vụ HAQT</v>
      </c>
      <c r="E41" s="17" t="str">
        <f aca="false">IF(B41="","",IFERROR(INDEX(NV_HT,MATCH(B41,NV_MA,0)),""))</f>
        <v>Lương ngày</v>
      </c>
      <c r="F41" s="27" t="n">
        <f aca="false">IF(B41="","",IF(N(BCC!E41)&gt;0,BCC!E41,IF(AND(N(IFERROR(INDEX(NV_DG,MATCH(B41,NV_MA,0)),0))&gt;0,IFERROR(INDEX(NV_NHOM,MATCH(B41,NV_MA,0)),"")=D41),INDEX(NV_DG,MATCH(B41,NV_MA,0)),IFERROR(INDEX(NH_DG,MATCH(D41,NH_TEN,0)),0))))</f>
        <v>370000</v>
      </c>
      <c r="G41" s="27" t="n">
        <f aca="false">IF(B41="","",N(IFERROR(INDEX(NV_LT,MATCH(B41,NV_MA,0)),0)))</f>
        <v>0</v>
      </c>
      <c r="H41" s="22" t="n">
        <f aca="false">IF(B41="","",BCC!AL41)</f>
        <v>40</v>
      </c>
      <c r="I41" s="23" t="n">
        <f aca="false">IF(B41="","",BCC!AM41)</f>
        <v>5</v>
      </c>
      <c r="J41" s="23" t="n">
        <f aca="false">IF(B41="","",BCC!AN41)</f>
        <v>0</v>
      </c>
      <c r="K41" s="27" t="n">
        <f aca="false">IF(B41="","",IF(E41="Khoán tháng",G41,IF(E41="Lương tháng",G41/INDEX(NH_CHIA,MATCH(D41,NH_TEN,0))*MIN(I41,INDEX(NH_CHIA,MATCH(D41,NH_TEN,0))),I41*F41)))</f>
        <v>1850000</v>
      </c>
      <c r="L41" s="27" t="n">
        <f aca="false">IF(B41="","",(I41-J41)*INDEX(NH_HTN,MATCH(D41,NH_TEN,0)))</f>
        <v>0</v>
      </c>
      <c r="M41" s="27" t="n">
        <f aca="false">IF(B41="","",J41*INDEX(NH_HTD,MATCH(D41,NH_TEN,0)))</f>
        <v>0</v>
      </c>
      <c r="N41" s="27" t="n">
        <f aca="false">IF(B41="","",I41*IF(N(IFERROR(INDEX(NV_AN,MATCH(B41,NV_MA,0)),0))&gt;0,INDEX(NV_AN,MATCH(B41,NV_MA,0)),INDEX(NH_AN,MATCH(D41,NH_TEN,0))))</f>
        <v>0</v>
      </c>
      <c r="O41" s="27" t="n">
        <f aca="false">IF(B41="","",N(KT_NGUOI!AL41))</f>
        <v>439000</v>
      </c>
      <c r="P41" s="27" t="n">
        <f aca="false">IF(OR(B41="",COUNTIF($B$6:B41,B41)&gt;1),0,SUMPRODUCT(((KT_M1=B41)+(KT_M2=B41)+(KT_M3=B41))*(KT_LOAI="Đích danh")*KT_PHAN))</f>
        <v>0</v>
      </c>
      <c r="Q41" s="27" t="n">
        <f aca="false">IF(OR(B41="",COUNTIF($B$6:B41,B41)&gt;1),0,SUMIFS(DC_VND,DC_MA,$B41,DC_LOAI,"Cộng"))</f>
        <v>0</v>
      </c>
      <c r="R41" s="30" t="n">
        <f aca="false">IF(B41="","",SUM(K41:Q41))</f>
        <v>2289000</v>
      </c>
      <c r="S41" s="27" t="n">
        <f aca="false">IF(OR(B41="",COUNTIF($B$6:B41,B41)&gt;1),0,SUMIFS(DC_VND,DC_MA,$B41,DC_LOAI,"Tạm ứng"))</f>
        <v>0</v>
      </c>
      <c r="T41" s="27" t="n">
        <f aca="false">IF(OR(B41="",COUNTIF($B$6:B41,B41)&gt;1),0,SUMIFS(DC_VND,DC_MA,$B41,DC_LOAI,"Trừ"))</f>
        <v>0</v>
      </c>
      <c r="U41" s="27" t="n">
        <f aca="false">IF(B41="","",ROUNDDOWN((R41-S41-T41)/INDEX(NH_LT,MATCH(D41,NH_TEN,0)),0)*INDEX(NH_LT,MATCH(D41,NH_TEN,0)))</f>
        <v>2289000</v>
      </c>
      <c r="V41" s="30" t="n">
        <f aca="false">IF(B41="","",IF(COUNTIF($B$6:B41,B41)&gt;1,"",SUMIFS($U$6:$U$100,$B$6:$B$100,B41)))</f>
        <v>2289000</v>
      </c>
      <c r="W41" s="16"/>
    </row>
    <row r="42" customFormat="false" ht="15" hidden="false" customHeight="false" outlineLevel="0" collapsed="false">
      <c r="A42" s="17" t="n">
        <f aca="false">IF(B42="","",ROW()-5)</f>
        <v>37</v>
      </c>
      <c r="B42" s="29" t="str">
        <f aca="false">IF(BCC!B42="","",BCC!B42)</f>
        <v>QT-11</v>
      </c>
      <c r="C42" s="17" t="str">
        <f aca="false">IF(B42="","",BCC!C42)</f>
        <v>Trần Viết Hải</v>
      </c>
      <c r="D42" s="17" t="str">
        <f aca="false">IF(B42="","",BCC!D42)</f>
        <v>Thời vụ HAQT</v>
      </c>
      <c r="E42" s="17" t="str">
        <f aca="false">IF(B42="","",IFERROR(INDEX(NV_HT,MATCH(B42,NV_MA,0)),""))</f>
        <v>Lương ngày</v>
      </c>
      <c r="F42" s="27" t="n">
        <f aca="false">IF(B42="","",IF(N(BCC!E42)&gt;0,BCC!E42,IF(AND(N(IFERROR(INDEX(NV_DG,MATCH(B42,NV_MA,0)),0))&gt;0,IFERROR(INDEX(NV_NHOM,MATCH(B42,NV_MA,0)),"")=D42),INDEX(NV_DG,MATCH(B42,NV_MA,0)),IFERROR(INDEX(NH_DG,MATCH(D42,NH_TEN,0)),0))))</f>
        <v>370000</v>
      </c>
      <c r="G42" s="27" t="n">
        <f aca="false">IF(B42="","",N(IFERROR(INDEX(NV_LT,MATCH(B42,NV_MA,0)),0)))</f>
        <v>0</v>
      </c>
      <c r="H42" s="22" t="n">
        <f aca="false">IF(B42="","",BCC!AL42)</f>
        <v>48</v>
      </c>
      <c r="I42" s="23" t="n">
        <f aca="false">IF(B42="","",BCC!AM42)</f>
        <v>6</v>
      </c>
      <c r="J42" s="23" t="n">
        <f aca="false">IF(B42="","",BCC!AN42)</f>
        <v>0</v>
      </c>
      <c r="K42" s="27" t="n">
        <f aca="false">IF(B42="","",IF(E42="Khoán tháng",G42,IF(E42="Lương tháng",G42/INDEX(NH_CHIA,MATCH(D42,NH_TEN,0))*MIN(I42,INDEX(NH_CHIA,MATCH(D42,NH_TEN,0))),I42*F42)))</f>
        <v>2220000</v>
      </c>
      <c r="L42" s="27" t="n">
        <f aca="false">IF(B42="","",(I42-J42)*INDEX(NH_HTN,MATCH(D42,NH_TEN,0)))</f>
        <v>0</v>
      </c>
      <c r="M42" s="27" t="n">
        <f aca="false">IF(B42="","",J42*INDEX(NH_HTD,MATCH(D42,NH_TEN,0)))</f>
        <v>0</v>
      </c>
      <c r="N42" s="27" t="n">
        <f aca="false">IF(B42="","",I42*IF(N(IFERROR(INDEX(NV_AN,MATCH(B42,NV_MA,0)),0))&gt;0,INDEX(NV_AN,MATCH(B42,NV_MA,0)),INDEX(NH_AN,MATCH(D42,NH_TEN,0))))</f>
        <v>0</v>
      </c>
      <c r="O42" s="27" t="n">
        <f aca="false">IF(B42="","",N(KT_NGUOI!AL42))</f>
        <v>935832.5</v>
      </c>
      <c r="P42" s="27" t="n">
        <f aca="false">IF(OR(B42="",COUNTIF($B$6:B42,B42)&gt;1),0,SUMPRODUCT(((KT_M1=B42)+(KT_M2=B42)+(KT_M3=B42))*(KT_LOAI="Đích danh")*KT_PHAN))</f>
        <v>0</v>
      </c>
      <c r="Q42" s="27" t="n">
        <f aca="false">IF(OR(B42="",COUNTIF($B$6:B42,B42)&gt;1),0,SUMIFS(DC_VND,DC_MA,$B42,DC_LOAI,"Cộng"))</f>
        <v>0</v>
      </c>
      <c r="R42" s="30" t="n">
        <f aca="false">IF(B42="","",SUM(K42:Q42))</f>
        <v>3155832.5</v>
      </c>
      <c r="S42" s="27" t="n">
        <f aca="false">IF(OR(B42="",COUNTIF($B$6:B42,B42)&gt;1),0,SUMIFS(DC_VND,DC_MA,$B42,DC_LOAI,"Tạm ứng"))</f>
        <v>0</v>
      </c>
      <c r="T42" s="27" t="n">
        <f aca="false">IF(OR(B42="",COUNTIF($B$6:B42,B42)&gt;1),0,SUMIFS(DC_VND,DC_MA,$B42,DC_LOAI,"Trừ"))</f>
        <v>0</v>
      </c>
      <c r="U42" s="27" t="n">
        <f aca="false">IF(B42="","",ROUNDDOWN((R42-S42-T42)/INDEX(NH_LT,MATCH(D42,NH_TEN,0)),0)*INDEX(NH_LT,MATCH(D42,NH_TEN,0)))</f>
        <v>3155832</v>
      </c>
      <c r="V42" s="30" t="n">
        <f aca="false">IF(B42="","",IF(COUNTIF($B$6:B42,B42)&gt;1,"",SUMIFS($U$6:$U$100,$B$6:$B$100,B42)))</f>
        <v>3155832</v>
      </c>
      <c r="W42" s="16"/>
    </row>
    <row r="43" customFormat="false" ht="15" hidden="false" customHeight="false" outlineLevel="0" collapsed="false">
      <c r="A43" s="17" t="n">
        <f aca="false">IF(B43="","",ROW()-5)</f>
        <v>38</v>
      </c>
      <c r="B43" s="29" t="str">
        <f aca="false">IF(BCC!B43="","",BCC!B43)</f>
        <v>QT-12</v>
      </c>
      <c r="C43" s="17" t="str">
        <f aca="false">IF(B43="","",BCC!C43)</f>
        <v>Phạm Gia Hiếu</v>
      </c>
      <c r="D43" s="17" t="str">
        <f aca="false">IF(B43="","",BCC!D43)</f>
        <v>Thời vụ HAQT</v>
      </c>
      <c r="E43" s="17" t="str">
        <f aca="false">IF(B43="","",IFERROR(INDEX(NV_HT,MATCH(B43,NV_MA,0)),""))</f>
        <v>Lương ngày</v>
      </c>
      <c r="F43" s="27" t="n">
        <f aca="false">IF(B43="","",IF(N(BCC!E43)&gt;0,BCC!E43,IF(AND(N(IFERROR(INDEX(NV_DG,MATCH(B43,NV_MA,0)),0))&gt;0,IFERROR(INDEX(NV_NHOM,MATCH(B43,NV_MA,0)),"")=D43),INDEX(NV_DG,MATCH(B43,NV_MA,0)),IFERROR(INDEX(NH_DG,MATCH(D43,NH_TEN,0)),0))))</f>
        <v>370000</v>
      </c>
      <c r="G43" s="27" t="n">
        <f aca="false">IF(B43="","",N(IFERROR(INDEX(NV_LT,MATCH(B43,NV_MA,0)),0)))</f>
        <v>0</v>
      </c>
      <c r="H43" s="22" t="n">
        <f aca="false">IF(B43="","",BCC!AL43)</f>
        <v>152</v>
      </c>
      <c r="I43" s="23" t="n">
        <f aca="false">IF(B43="","",BCC!AM43)</f>
        <v>19</v>
      </c>
      <c r="J43" s="23" t="n">
        <f aca="false">IF(B43="","",BCC!AN43)</f>
        <v>0</v>
      </c>
      <c r="K43" s="27" t="n">
        <f aca="false">IF(B43="","",IF(E43="Khoán tháng",G43,IF(E43="Lương tháng",G43/INDEX(NH_CHIA,MATCH(D43,NH_TEN,0))*MIN(I43,INDEX(NH_CHIA,MATCH(D43,NH_TEN,0))),I43*F43)))</f>
        <v>7030000</v>
      </c>
      <c r="L43" s="27" t="n">
        <f aca="false">IF(B43="","",(I43-J43)*INDEX(NH_HTN,MATCH(D43,NH_TEN,0)))</f>
        <v>0</v>
      </c>
      <c r="M43" s="27" t="n">
        <f aca="false">IF(B43="","",J43*INDEX(NH_HTD,MATCH(D43,NH_TEN,0)))</f>
        <v>0</v>
      </c>
      <c r="N43" s="27" t="n">
        <f aca="false">IF(B43="","",I43*IF(N(IFERROR(INDEX(NV_AN,MATCH(B43,NV_MA,0)),0))&gt;0,INDEX(NV_AN,MATCH(B43,NV_MA,0)),INDEX(NH_AN,MATCH(D43,NH_TEN,0))))</f>
        <v>0</v>
      </c>
      <c r="O43" s="27" t="n">
        <f aca="false">IF(B43="","",N(KT_NGUOI!AL43))</f>
        <v>865000</v>
      </c>
      <c r="P43" s="27" t="n">
        <f aca="false">IF(OR(B43="",COUNTIF($B$6:B43,B43)&gt;1),0,SUMPRODUCT(((KT_M1=B43)+(KT_M2=B43)+(KT_M3=B43))*(KT_LOAI="Đích danh")*KT_PHAN))</f>
        <v>0</v>
      </c>
      <c r="Q43" s="27" t="n">
        <f aca="false">IF(OR(B43="",COUNTIF($B$6:B43,B43)&gt;1),0,SUMIFS(DC_VND,DC_MA,$B43,DC_LOAI,"Cộng"))</f>
        <v>0</v>
      </c>
      <c r="R43" s="30" t="n">
        <f aca="false">IF(B43="","",SUM(K43:Q43))</f>
        <v>7895000</v>
      </c>
      <c r="S43" s="27" t="n">
        <f aca="false">IF(OR(B43="",COUNTIF($B$6:B43,B43)&gt;1),0,SUMIFS(DC_VND,DC_MA,$B43,DC_LOAI,"Tạm ứng"))</f>
        <v>0</v>
      </c>
      <c r="T43" s="27" t="n">
        <f aca="false">IF(OR(B43="",COUNTIF($B$6:B43,B43)&gt;1),0,SUMIFS(DC_VND,DC_MA,$B43,DC_LOAI,"Trừ"))</f>
        <v>0</v>
      </c>
      <c r="U43" s="27" t="n">
        <f aca="false">IF(B43="","",ROUNDDOWN((R43-S43-T43)/INDEX(NH_LT,MATCH(D43,NH_TEN,0)),0)*INDEX(NH_LT,MATCH(D43,NH_TEN,0)))</f>
        <v>7895000</v>
      </c>
      <c r="V43" s="30" t="n">
        <f aca="false">IF(B43="","",IF(COUNTIF($B$6:B43,B43)&gt;1,"",SUMIFS($U$6:$U$100,$B$6:$B$100,B43)))</f>
        <v>7895000</v>
      </c>
      <c r="W43" s="16"/>
    </row>
    <row r="44" customFormat="false" ht="15" hidden="false" customHeight="false" outlineLevel="0" collapsed="false">
      <c r="A44" s="17" t="n">
        <f aca="false">IF(B44="","",ROW()-5)</f>
        <v>39</v>
      </c>
      <c r="B44" s="29" t="str">
        <f aca="false">IF(BCC!B44="","",BCC!B44)</f>
        <v>QT-13</v>
      </c>
      <c r="C44" s="17" t="str">
        <f aca="false">IF(B44="","",BCC!C44)</f>
        <v>Nguyễn Thọ Lộc</v>
      </c>
      <c r="D44" s="17" t="str">
        <f aca="false">IF(B44="","",BCC!D44)</f>
        <v>Thời vụ HAQT</v>
      </c>
      <c r="E44" s="17" t="str">
        <f aca="false">IF(B44="","",IFERROR(INDEX(NV_HT,MATCH(B44,NV_MA,0)),""))</f>
        <v>Lương ngày</v>
      </c>
      <c r="F44" s="27" t="n">
        <f aca="false">IF(B44="","",IF(N(BCC!E44)&gt;0,BCC!E44,IF(AND(N(IFERROR(INDEX(NV_DG,MATCH(B44,NV_MA,0)),0))&gt;0,IFERROR(INDEX(NV_NHOM,MATCH(B44,NV_MA,0)),"")=D44),INDEX(NV_DG,MATCH(B44,NV_MA,0)),IFERROR(INDEX(NH_DG,MATCH(D44,NH_TEN,0)),0))))</f>
        <v>370000</v>
      </c>
      <c r="G44" s="27" t="n">
        <f aca="false">IF(B44="","",N(IFERROR(INDEX(NV_LT,MATCH(B44,NV_MA,0)),0)))</f>
        <v>0</v>
      </c>
      <c r="H44" s="22" t="n">
        <f aca="false">IF(B44="","",BCC!AL44)</f>
        <v>64</v>
      </c>
      <c r="I44" s="23" t="n">
        <f aca="false">IF(B44="","",BCC!AM44)</f>
        <v>8</v>
      </c>
      <c r="J44" s="23" t="n">
        <f aca="false">IF(B44="","",BCC!AN44)</f>
        <v>0</v>
      </c>
      <c r="K44" s="27" t="n">
        <f aca="false">IF(B44="","",IF(E44="Khoán tháng",G44,IF(E44="Lương tháng",G44/INDEX(NH_CHIA,MATCH(D44,NH_TEN,0))*MIN(I44,INDEX(NH_CHIA,MATCH(D44,NH_TEN,0))),I44*F44)))</f>
        <v>2960000</v>
      </c>
      <c r="L44" s="27" t="n">
        <f aca="false">IF(B44="","",(I44-J44)*INDEX(NH_HTN,MATCH(D44,NH_TEN,0)))</f>
        <v>0</v>
      </c>
      <c r="M44" s="27" t="n">
        <f aca="false">IF(B44="","",J44*INDEX(NH_HTD,MATCH(D44,NH_TEN,0)))</f>
        <v>0</v>
      </c>
      <c r="N44" s="27" t="n">
        <f aca="false">IF(B44="","",I44*IF(N(IFERROR(INDEX(NV_AN,MATCH(B44,NV_MA,0)),0))&gt;0,INDEX(NV_AN,MATCH(B44,NV_MA,0)),INDEX(NH_AN,MATCH(D44,NH_TEN,0))))</f>
        <v>0</v>
      </c>
      <c r="O44" s="27" t="n">
        <f aca="false">IF(B44="","",N(KT_NGUOI!AL44))</f>
        <v>485000</v>
      </c>
      <c r="P44" s="27" t="n">
        <f aca="false">IF(OR(B44="",COUNTIF($B$6:B44,B44)&gt;1),0,SUMPRODUCT(((KT_M1=B44)+(KT_M2=B44)+(KT_M3=B44))*(KT_LOAI="Đích danh")*KT_PHAN))</f>
        <v>0</v>
      </c>
      <c r="Q44" s="27" t="n">
        <f aca="false">IF(OR(B44="",COUNTIF($B$6:B44,B44)&gt;1),0,SUMIFS(DC_VND,DC_MA,$B44,DC_LOAI,"Cộng"))</f>
        <v>0</v>
      </c>
      <c r="R44" s="30" t="n">
        <f aca="false">IF(B44="","",SUM(K44:Q44))</f>
        <v>3445000</v>
      </c>
      <c r="S44" s="27" t="n">
        <f aca="false">IF(OR(B44="",COUNTIF($B$6:B44,B44)&gt;1),0,SUMIFS(DC_VND,DC_MA,$B44,DC_LOAI,"Tạm ứng"))</f>
        <v>0</v>
      </c>
      <c r="T44" s="27" t="n">
        <f aca="false">IF(OR(B44="",COUNTIF($B$6:B44,B44)&gt;1),0,SUMIFS(DC_VND,DC_MA,$B44,DC_LOAI,"Trừ"))</f>
        <v>0</v>
      </c>
      <c r="U44" s="27" t="n">
        <f aca="false">IF(B44="","",ROUNDDOWN((R44-S44-T44)/INDEX(NH_LT,MATCH(D44,NH_TEN,0)),0)*INDEX(NH_LT,MATCH(D44,NH_TEN,0)))</f>
        <v>3445000</v>
      </c>
      <c r="V44" s="30" t="n">
        <f aca="false">IF(B44="","",IF(COUNTIF($B$6:B44,B44)&gt;1,"",SUMIFS($U$6:$U$100,$B$6:$B$100,B44)))</f>
        <v>3445000</v>
      </c>
      <c r="W44" s="16"/>
    </row>
    <row r="45" customFormat="false" ht="15" hidden="false" customHeight="false" outlineLevel="0" collapsed="false">
      <c r="A45" s="17" t="n">
        <f aca="false">IF(B45="","",ROW()-5)</f>
        <v>40</v>
      </c>
      <c r="B45" s="29" t="str">
        <f aca="false">IF(BCC!B45="","",BCC!B45)</f>
        <v>QT-14</v>
      </c>
      <c r="C45" s="17" t="str">
        <f aca="false">IF(B45="","",BCC!C45)</f>
        <v>Nguyễn Phước Thành</v>
      </c>
      <c r="D45" s="17" t="str">
        <f aca="false">IF(B45="","",BCC!D45)</f>
        <v>Thời vụ HAQT</v>
      </c>
      <c r="E45" s="17" t="str">
        <f aca="false">IF(B45="","",IFERROR(INDEX(NV_HT,MATCH(B45,NV_MA,0)),""))</f>
        <v>Lương ngày</v>
      </c>
      <c r="F45" s="27" t="n">
        <f aca="false">IF(B45="","",IF(N(BCC!E45)&gt;0,BCC!E45,IF(AND(N(IFERROR(INDEX(NV_DG,MATCH(B45,NV_MA,0)),0))&gt;0,IFERROR(INDEX(NV_NHOM,MATCH(B45,NV_MA,0)),"")=D45),INDEX(NV_DG,MATCH(B45,NV_MA,0)),IFERROR(INDEX(NH_DG,MATCH(D45,NH_TEN,0)),0))))</f>
        <v>370000</v>
      </c>
      <c r="G45" s="27" t="n">
        <f aca="false">IF(B45="","",N(IFERROR(INDEX(NV_LT,MATCH(B45,NV_MA,0)),0)))</f>
        <v>0</v>
      </c>
      <c r="H45" s="22" t="n">
        <f aca="false">IF(B45="","",BCC!AL45)</f>
        <v>16</v>
      </c>
      <c r="I45" s="23" t="n">
        <f aca="false">IF(B45="","",BCC!AM45)</f>
        <v>2</v>
      </c>
      <c r="J45" s="23" t="n">
        <f aca="false">IF(B45="","",BCC!AN45)</f>
        <v>0</v>
      </c>
      <c r="K45" s="27" t="n">
        <f aca="false">IF(B45="","",IF(E45="Khoán tháng",G45,IF(E45="Lương tháng",G45/INDEX(NH_CHIA,MATCH(D45,NH_TEN,0))*MIN(I45,INDEX(NH_CHIA,MATCH(D45,NH_TEN,0))),I45*F45)))</f>
        <v>740000</v>
      </c>
      <c r="L45" s="27" t="n">
        <f aca="false">IF(B45="","",(I45-J45)*INDEX(NH_HTN,MATCH(D45,NH_TEN,0)))</f>
        <v>0</v>
      </c>
      <c r="M45" s="27" t="n">
        <f aca="false">IF(B45="","",J45*INDEX(NH_HTD,MATCH(D45,NH_TEN,0)))</f>
        <v>0</v>
      </c>
      <c r="N45" s="27" t="n">
        <f aca="false">IF(B45="","",I45*IF(N(IFERROR(INDEX(NV_AN,MATCH(B45,NV_MA,0)),0))&gt;0,INDEX(NV_AN,MATCH(B45,NV_MA,0)),INDEX(NH_AN,MATCH(D45,NH_TEN,0))))</f>
        <v>0</v>
      </c>
      <c r="O45" s="27" t="n">
        <f aca="false">IF(B45="","",N(KT_NGUOI!AL45))</f>
        <v>924000</v>
      </c>
      <c r="P45" s="27" t="n">
        <f aca="false">IF(OR(B45="",COUNTIF($B$6:B45,B45)&gt;1),0,SUMPRODUCT(((KT_M1=B45)+(KT_M2=B45)+(KT_M3=B45))*(KT_LOAI="Đích danh")*KT_PHAN))</f>
        <v>0</v>
      </c>
      <c r="Q45" s="27" t="n">
        <f aca="false">IF(OR(B45="",COUNTIF($B$6:B45,B45)&gt;1),0,SUMIFS(DC_VND,DC_MA,$B45,DC_LOAI,"Cộng"))</f>
        <v>0</v>
      </c>
      <c r="R45" s="30" t="n">
        <f aca="false">IF(B45="","",SUM(K45:Q45))</f>
        <v>1664000</v>
      </c>
      <c r="S45" s="27" t="n">
        <f aca="false">IF(OR(B45="",COUNTIF($B$6:B45,B45)&gt;1),0,SUMIFS(DC_VND,DC_MA,$B45,DC_LOAI,"Tạm ứng"))</f>
        <v>0</v>
      </c>
      <c r="T45" s="27" t="n">
        <f aca="false">IF(OR(B45="",COUNTIF($B$6:B45,B45)&gt;1),0,SUMIFS(DC_VND,DC_MA,$B45,DC_LOAI,"Trừ"))</f>
        <v>0</v>
      </c>
      <c r="U45" s="27" t="n">
        <f aca="false">IF(B45="","",ROUNDDOWN((R45-S45-T45)/INDEX(NH_LT,MATCH(D45,NH_TEN,0)),0)*INDEX(NH_LT,MATCH(D45,NH_TEN,0)))</f>
        <v>1664000</v>
      </c>
      <c r="V45" s="30" t="n">
        <f aca="false">IF(B45="","",IF(COUNTIF($B$6:B45,B45)&gt;1,"",SUMIFS($U$6:$U$100,$B$6:$B$100,B45)))</f>
        <v>1664000</v>
      </c>
      <c r="W45" s="16"/>
    </row>
    <row r="46" customFormat="false" ht="15" hidden="false" customHeight="false" outlineLevel="0" collapsed="false">
      <c r="A46" s="17" t="n">
        <f aca="false">IF(B46="","",ROW()-5)</f>
        <v>41</v>
      </c>
      <c r="B46" s="29" t="str">
        <f aca="false">IF(BCC!B46="","",BCC!B46)</f>
        <v>QT-15</v>
      </c>
      <c r="C46" s="17" t="str">
        <f aca="false">IF(B46="","",BCC!C46)</f>
        <v>Nguyễn Thị X Thành</v>
      </c>
      <c r="D46" s="17" t="str">
        <f aca="false">IF(B46="","",BCC!D46)</f>
        <v>Thời vụ HAQT</v>
      </c>
      <c r="E46" s="17" t="str">
        <f aca="false">IF(B46="","",IFERROR(INDEX(NV_HT,MATCH(B46,NV_MA,0)),""))</f>
        <v>Lương ngày</v>
      </c>
      <c r="F46" s="27" t="n">
        <f aca="false">IF(B46="","",IF(N(BCC!E46)&gt;0,BCC!E46,IF(AND(N(IFERROR(INDEX(NV_DG,MATCH(B46,NV_MA,0)),0))&gt;0,IFERROR(INDEX(NV_NHOM,MATCH(B46,NV_MA,0)),"")=D46),INDEX(NV_DG,MATCH(B46,NV_MA,0)),IFERROR(INDEX(NH_DG,MATCH(D46,NH_TEN,0)),0))))</f>
        <v>370000</v>
      </c>
      <c r="G46" s="27" t="n">
        <f aca="false">IF(B46="","",N(IFERROR(INDEX(NV_LT,MATCH(B46,NV_MA,0)),0)))</f>
        <v>0</v>
      </c>
      <c r="H46" s="22" t="n">
        <f aca="false">IF(B46="","",BCC!AL46)</f>
        <v>80</v>
      </c>
      <c r="I46" s="23" t="n">
        <f aca="false">IF(B46="","",BCC!AM46)</f>
        <v>10</v>
      </c>
      <c r="J46" s="23" t="n">
        <f aca="false">IF(B46="","",BCC!AN46)</f>
        <v>0</v>
      </c>
      <c r="K46" s="27" t="n">
        <f aca="false">IF(B46="","",IF(E46="Khoán tháng",G46,IF(E46="Lương tháng",G46/INDEX(NH_CHIA,MATCH(D46,NH_TEN,0))*MIN(I46,INDEX(NH_CHIA,MATCH(D46,NH_TEN,0))),I46*F46)))</f>
        <v>3700000</v>
      </c>
      <c r="L46" s="27" t="n">
        <f aca="false">IF(B46="","",(I46-J46)*INDEX(NH_HTN,MATCH(D46,NH_TEN,0)))</f>
        <v>0</v>
      </c>
      <c r="M46" s="27" t="n">
        <f aca="false">IF(B46="","",J46*INDEX(NH_HTD,MATCH(D46,NH_TEN,0)))</f>
        <v>0</v>
      </c>
      <c r="N46" s="27" t="n">
        <f aca="false">IF(B46="","",I46*IF(N(IFERROR(INDEX(NV_AN,MATCH(B46,NV_MA,0)),0))&gt;0,INDEX(NV_AN,MATCH(B46,NV_MA,0)),INDEX(NH_AN,MATCH(D46,NH_TEN,0))))</f>
        <v>0</v>
      </c>
      <c r="O46" s="27" t="n">
        <f aca="false">IF(B46="","",N(KT_NGUOI!AL46))</f>
        <v>0</v>
      </c>
      <c r="P46" s="27" t="n">
        <f aca="false">IF(OR(B46="",COUNTIF($B$6:B46,B46)&gt;1),0,SUMPRODUCT(((KT_M1=B46)+(KT_M2=B46)+(KT_M3=B46))*(KT_LOAI="Đích danh")*KT_PHAN))</f>
        <v>0</v>
      </c>
      <c r="Q46" s="27" t="n">
        <f aca="false">IF(OR(B46="",COUNTIF($B$6:B46,B46)&gt;1),0,SUMIFS(DC_VND,DC_MA,$B46,DC_LOAI,"Cộng"))</f>
        <v>0</v>
      </c>
      <c r="R46" s="30" t="n">
        <f aca="false">IF(B46="","",SUM(K46:Q46))</f>
        <v>3700000</v>
      </c>
      <c r="S46" s="27" t="n">
        <f aca="false">IF(OR(B46="",COUNTIF($B$6:B46,B46)&gt;1),0,SUMIFS(DC_VND,DC_MA,$B46,DC_LOAI,"Tạm ứng"))</f>
        <v>0</v>
      </c>
      <c r="T46" s="27" t="n">
        <f aca="false">IF(OR(B46="",COUNTIF($B$6:B46,B46)&gt;1),0,SUMIFS(DC_VND,DC_MA,$B46,DC_LOAI,"Trừ"))</f>
        <v>0</v>
      </c>
      <c r="U46" s="27" t="n">
        <f aca="false">IF(B46="","",ROUNDDOWN((R46-S46-T46)/INDEX(NH_LT,MATCH(D46,NH_TEN,0)),0)*INDEX(NH_LT,MATCH(D46,NH_TEN,0)))</f>
        <v>3700000</v>
      </c>
      <c r="V46" s="30" t="n">
        <f aca="false">IF(B46="","",IF(COUNTIF($B$6:B46,B46)&gt;1,"",SUMIFS($U$6:$U$100,$B$6:$B$100,B46)))</f>
        <v>3700000</v>
      </c>
      <c r="W46" s="16"/>
    </row>
    <row r="47" customFormat="false" ht="15" hidden="false" customHeight="false" outlineLevel="0" collapsed="false">
      <c r="A47" s="17" t="n">
        <f aca="false">IF(B47="","",ROW()-5)</f>
        <v>42</v>
      </c>
      <c r="B47" s="29" t="str">
        <f aca="false">IF(BCC!B47="","",BCC!B47)</f>
        <v>QT-16</v>
      </c>
      <c r="C47" s="17" t="str">
        <f aca="false">IF(B47="","",BCC!C47)</f>
        <v>Nguyễn Thị Mai</v>
      </c>
      <c r="D47" s="17" t="str">
        <f aca="false">IF(B47="","",BCC!D47)</f>
        <v>Thời vụ HAQT</v>
      </c>
      <c r="E47" s="17" t="str">
        <f aca="false">IF(B47="","",IFERROR(INDEX(NV_HT,MATCH(B47,NV_MA,0)),""))</f>
        <v>Lương ngày</v>
      </c>
      <c r="F47" s="27" t="n">
        <f aca="false">IF(B47="","",IF(N(BCC!E47)&gt;0,BCC!E47,IF(AND(N(IFERROR(INDEX(NV_DG,MATCH(B47,NV_MA,0)),0))&gt;0,IFERROR(INDEX(NV_NHOM,MATCH(B47,NV_MA,0)),"")=D47),INDEX(NV_DG,MATCH(B47,NV_MA,0)),IFERROR(INDEX(NH_DG,MATCH(D47,NH_TEN,0)),0))))</f>
        <v>370000</v>
      </c>
      <c r="G47" s="27" t="n">
        <f aca="false">IF(B47="","",N(IFERROR(INDEX(NV_LT,MATCH(B47,NV_MA,0)),0)))</f>
        <v>0</v>
      </c>
      <c r="H47" s="22" t="n">
        <f aca="false">IF(B47="","",BCC!AL47)</f>
        <v>56</v>
      </c>
      <c r="I47" s="23" t="n">
        <f aca="false">IF(B47="","",BCC!AM47)</f>
        <v>7</v>
      </c>
      <c r="J47" s="23" t="n">
        <f aca="false">IF(B47="","",BCC!AN47)</f>
        <v>0</v>
      </c>
      <c r="K47" s="27" t="n">
        <f aca="false">IF(B47="","",IF(E47="Khoán tháng",G47,IF(E47="Lương tháng",G47/INDEX(NH_CHIA,MATCH(D47,NH_TEN,0))*MIN(I47,INDEX(NH_CHIA,MATCH(D47,NH_TEN,0))),I47*F47)))</f>
        <v>2590000</v>
      </c>
      <c r="L47" s="27" t="n">
        <f aca="false">IF(B47="","",(I47-J47)*INDEX(NH_HTN,MATCH(D47,NH_TEN,0)))</f>
        <v>0</v>
      </c>
      <c r="M47" s="27" t="n">
        <f aca="false">IF(B47="","",J47*INDEX(NH_HTD,MATCH(D47,NH_TEN,0)))</f>
        <v>0</v>
      </c>
      <c r="N47" s="27" t="n">
        <f aca="false">IF(B47="","",I47*IF(N(IFERROR(INDEX(NV_AN,MATCH(B47,NV_MA,0)),0))&gt;0,INDEX(NV_AN,MATCH(B47,NV_MA,0)),INDEX(NH_AN,MATCH(D47,NH_TEN,0))))</f>
        <v>0</v>
      </c>
      <c r="O47" s="27" t="n">
        <f aca="false">IF(B47="","",N(KT_NGUOI!AL47))</f>
        <v>485000</v>
      </c>
      <c r="P47" s="27" t="n">
        <f aca="false">IF(OR(B47="",COUNTIF($B$6:B47,B47)&gt;1),0,SUMPRODUCT(((KT_M1=B47)+(KT_M2=B47)+(KT_M3=B47))*(KT_LOAI="Đích danh")*KT_PHAN))</f>
        <v>0</v>
      </c>
      <c r="Q47" s="27" t="n">
        <f aca="false">IF(OR(B47="",COUNTIF($B$6:B47,B47)&gt;1),0,SUMIFS(DC_VND,DC_MA,$B47,DC_LOAI,"Cộng"))</f>
        <v>0</v>
      </c>
      <c r="R47" s="30" t="n">
        <f aca="false">IF(B47="","",SUM(K47:Q47))</f>
        <v>3075000</v>
      </c>
      <c r="S47" s="27" t="n">
        <f aca="false">IF(OR(B47="",COUNTIF($B$6:B47,B47)&gt;1),0,SUMIFS(DC_VND,DC_MA,$B47,DC_LOAI,"Tạm ứng"))</f>
        <v>0</v>
      </c>
      <c r="T47" s="27" t="n">
        <f aca="false">IF(OR(B47="",COUNTIF($B$6:B47,B47)&gt;1),0,SUMIFS(DC_VND,DC_MA,$B47,DC_LOAI,"Trừ"))</f>
        <v>0</v>
      </c>
      <c r="U47" s="27" t="n">
        <f aca="false">IF(B47="","",ROUNDDOWN((R47-S47-T47)/INDEX(NH_LT,MATCH(D47,NH_TEN,0)),0)*INDEX(NH_LT,MATCH(D47,NH_TEN,0)))</f>
        <v>3075000</v>
      </c>
      <c r="V47" s="30" t="n">
        <f aca="false">IF(B47="","",IF(COUNTIF($B$6:B47,B47)&gt;1,"",SUMIFS($U$6:$U$100,$B$6:$B$100,B47)))</f>
        <v>3075000</v>
      </c>
      <c r="W47" s="16"/>
    </row>
    <row r="48" customFormat="false" ht="15" hidden="false" customHeight="false" outlineLevel="0" collapsed="false">
      <c r="A48" s="17" t="n">
        <f aca="false">IF(B48="","",ROW()-5)</f>
        <v>43</v>
      </c>
      <c r="B48" s="29" t="str">
        <f aca="false">IF(BCC!B48="","",BCC!B48)</f>
        <v>QT-17</v>
      </c>
      <c r="C48" s="17" t="str">
        <f aca="false">IF(B48="","",BCC!C48)</f>
        <v>Nguyễn Thị Điệp</v>
      </c>
      <c r="D48" s="17" t="str">
        <f aca="false">IF(B48="","",BCC!D48)</f>
        <v>Thời vụ HAQT</v>
      </c>
      <c r="E48" s="17" t="str">
        <f aca="false">IF(B48="","",IFERROR(INDEX(NV_HT,MATCH(B48,NV_MA,0)),""))</f>
        <v>Lương ngày</v>
      </c>
      <c r="F48" s="27" t="n">
        <f aca="false">IF(B48="","",IF(N(BCC!E48)&gt;0,BCC!E48,IF(AND(N(IFERROR(INDEX(NV_DG,MATCH(B48,NV_MA,0)),0))&gt;0,IFERROR(INDEX(NV_NHOM,MATCH(B48,NV_MA,0)),"")=D48),INDEX(NV_DG,MATCH(B48,NV_MA,0)),IFERROR(INDEX(NH_DG,MATCH(D48,NH_TEN,0)),0))))</f>
        <v>370000</v>
      </c>
      <c r="G48" s="27" t="n">
        <f aca="false">IF(B48="","",N(IFERROR(INDEX(NV_LT,MATCH(B48,NV_MA,0)),0)))</f>
        <v>0</v>
      </c>
      <c r="H48" s="22" t="n">
        <f aca="false">IF(B48="","",BCC!AL48)</f>
        <v>72</v>
      </c>
      <c r="I48" s="23" t="n">
        <f aca="false">IF(B48="","",BCC!AM48)</f>
        <v>9</v>
      </c>
      <c r="J48" s="23" t="n">
        <f aca="false">IF(B48="","",BCC!AN48)</f>
        <v>0</v>
      </c>
      <c r="K48" s="27" t="n">
        <f aca="false">IF(B48="","",IF(E48="Khoán tháng",G48,IF(E48="Lương tháng",G48/INDEX(NH_CHIA,MATCH(D48,NH_TEN,0))*MIN(I48,INDEX(NH_CHIA,MATCH(D48,NH_TEN,0))),I48*F48)))</f>
        <v>3330000</v>
      </c>
      <c r="L48" s="27" t="n">
        <f aca="false">IF(B48="","",(I48-J48)*INDEX(NH_HTN,MATCH(D48,NH_TEN,0)))</f>
        <v>0</v>
      </c>
      <c r="M48" s="27" t="n">
        <f aca="false">IF(B48="","",J48*INDEX(NH_HTD,MATCH(D48,NH_TEN,0)))</f>
        <v>0</v>
      </c>
      <c r="N48" s="27" t="n">
        <f aca="false">IF(B48="","",I48*IF(N(IFERROR(INDEX(NV_AN,MATCH(B48,NV_MA,0)),0))&gt;0,INDEX(NV_AN,MATCH(B48,NV_MA,0)),INDEX(NH_AN,MATCH(D48,NH_TEN,0))))</f>
        <v>0</v>
      </c>
      <c r="O48" s="27" t="n">
        <f aca="false">IF(B48="","",N(KT_NGUOI!AL48))</f>
        <v>924000</v>
      </c>
      <c r="P48" s="27" t="n">
        <f aca="false">IF(OR(B48="",COUNTIF($B$6:B48,B48)&gt;1),0,SUMPRODUCT(((KT_M1=B48)+(KT_M2=B48)+(KT_M3=B48))*(KT_LOAI="Đích danh")*KT_PHAN))</f>
        <v>0</v>
      </c>
      <c r="Q48" s="27" t="n">
        <f aca="false">IF(OR(B48="",COUNTIF($B$6:B48,B48)&gt;1),0,SUMIFS(DC_VND,DC_MA,$B48,DC_LOAI,"Cộng"))</f>
        <v>0</v>
      </c>
      <c r="R48" s="30" t="n">
        <f aca="false">IF(B48="","",SUM(K48:Q48))</f>
        <v>4254000</v>
      </c>
      <c r="S48" s="27" t="n">
        <f aca="false">IF(OR(B48="",COUNTIF($B$6:B48,B48)&gt;1),0,SUMIFS(DC_VND,DC_MA,$B48,DC_LOAI,"Tạm ứng"))</f>
        <v>0</v>
      </c>
      <c r="T48" s="27" t="n">
        <f aca="false">IF(OR(B48="",COUNTIF($B$6:B48,B48)&gt;1),0,SUMIFS(DC_VND,DC_MA,$B48,DC_LOAI,"Trừ"))</f>
        <v>0</v>
      </c>
      <c r="U48" s="27" t="n">
        <f aca="false">IF(B48="","",ROUNDDOWN((R48-S48-T48)/INDEX(NH_LT,MATCH(D48,NH_TEN,0)),0)*INDEX(NH_LT,MATCH(D48,NH_TEN,0)))</f>
        <v>4254000</v>
      </c>
      <c r="V48" s="30" t="n">
        <f aca="false">IF(B48="","",IF(COUNTIF($B$6:B48,B48)&gt;1,"",SUMIFS($U$6:$U$100,$B$6:$B$100,B48)))</f>
        <v>4254000</v>
      </c>
      <c r="W48" s="16"/>
    </row>
    <row r="49" customFormat="false" ht="15" hidden="false" customHeight="false" outlineLevel="0" collapsed="false">
      <c r="A49" s="17" t="n">
        <f aca="false">IF(B49="","",ROW()-5)</f>
        <v>44</v>
      </c>
      <c r="B49" s="29" t="str">
        <f aca="false">IF(BCC!B49="","",BCC!B49)</f>
        <v>QT-18</v>
      </c>
      <c r="C49" s="17" t="str">
        <f aca="false">IF(B49="","",BCC!C49)</f>
        <v>Trần Thị Thắm</v>
      </c>
      <c r="D49" s="17" t="str">
        <f aca="false">IF(B49="","",BCC!D49)</f>
        <v>Thời vụ HAQT</v>
      </c>
      <c r="E49" s="17" t="str">
        <f aca="false">IF(B49="","",IFERROR(INDEX(NV_HT,MATCH(B49,NV_MA,0)),""))</f>
        <v>Lương ngày</v>
      </c>
      <c r="F49" s="27" t="n">
        <f aca="false">IF(B49="","",IF(N(BCC!E49)&gt;0,BCC!E49,IF(AND(N(IFERROR(INDEX(NV_DG,MATCH(B49,NV_MA,0)),0))&gt;0,IFERROR(INDEX(NV_NHOM,MATCH(B49,NV_MA,0)),"")=D49),INDEX(NV_DG,MATCH(B49,NV_MA,0)),IFERROR(INDEX(NH_DG,MATCH(D49,NH_TEN,0)),0))))</f>
        <v>370000</v>
      </c>
      <c r="G49" s="27" t="n">
        <f aca="false">IF(B49="","",N(IFERROR(INDEX(NV_LT,MATCH(B49,NV_MA,0)),0)))</f>
        <v>0</v>
      </c>
      <c r="H49" s="22" t="n">
        <f aca="false">IF(B49="","",BCC!AL49)</f>
        <v>32</v>
      </c>
      <c r="I49" s="23" t="n">
        <f aca="false">IF(B49="","",BCC!AM49)</f>
        <v>4</v>
      </c>
      <c r="J49" s="23" t="n">
        <f aca="false">IF(B49="","",BCC!AN49)</f>
        <v>0</v>
      </c>
      <c r="K49" s="27" t="n">
        <f aca="false">IF(B49="","",IF(E49="Khoán tháng",G49,IF(E49="Lương tháng",G49/INDEX(NH_CHIA,MATCH(D49,NH_TEN,0))*MIN(I49,INDEX(NH_CHIA,MATCH(D49,NH_TEN,0))),I49*F49)))</f>
        <v>1480000</v>
      </c>
      <c r="L49" s="27" t="n">
        <f aca="false">IF(B49="","",(I49-J49)*INDEX(NH_HTN,MATCH(D49,NH_TEN,0)))</f>
        <v>0</v>
      </c>
      <c r="M49" s="27" t="n">
        <f aca="false">IF(B49="","",J49*INDEX(NH_HTD,MATCH(D49,NH_TEN,0)))</f>
        <v>0</v>
      </c>
      <c r="N49" s="27" t="n">
        <f aca="false">IF(B49="","",I49*IF(N(IFERROR(INDEX(NV_AN,MATCH(B49,NV_MA,0)),0))&gt;0,INDEX(NV_AN,MATCH(B49,NV_MA,0)),INDEX(NH_AN,MATCH(D49,NH_TEN,0))))</f>
        <v>0</v>
      </c>
      <c r="O49" s="27" t="n">
        <f aca="false">IF(B49="","",N(KT_NGUOI!AL49))</f>
        <v>485000</v>
      </c>
      <c r="P49" s="27" t="n">
        <f aca="false">IF(OR(B49="",COUNTIF($B$6:B49,B49)&gt;1),0,SUMPRODUCT(((KT_M1=B49)+(KT_M2=B49)+(KT_M3=B49))*(KT_LOAI="Đích danh")*KT_PHAN))</f>
        <v>0</v>
      </c>
      <c r="Q49" s="27" t="n">
        <f aca="false">IF(OR(B49="",COUNTIF($B$6:B49,B49)&gt;1),0,SUMIFS(DC_VND,DC_MA,$B49,DC_LOAI,"Cộng"))</f>
        <v>0</v>
      </c>
      <c r="R49" s="30" t="n">
        <f aca="false">IF(B49="","",SUM(K49:Q49))</f>
        <v>1965000</v>
      </c>
      <c r="S49" s="27" t="n">
        <f aca="false">IF(OR(B49="",COUNTIF($B$6:B49,B49)&gt;1),0,SUMIFS(DC_VND,DC_MA,$B49,DC_LOAI,"Tạm ứng"))</f>
        <v>0</v>
      </c>
      <c r="T49" s="27" t="n">
        <f aca="false">IF(OR(B49="",COUNTIF($B$6:B49,B49)&gt;1),0,SUMIFS(DC_VND,DC_MA,$B49,DC_LOAI,"Trừ"))</f>
        <v>0</v>
      </c>
      <c r="U49" s="27" t="n">
        <f aca="false">IF(B49="","",ROUNDDOWN((R49-S49-T49)/INDEX(NH_LT,MATCH(D49,NH_TEN,0)),0)*INDEX(NH_LT,MATCH(D49,NH_TEN,0)))</f>
        <v>1965000</v>
      </c>
      <c r="V49" s="30" t="n">
        <f aca="false">IF(B49="","",IF(COUNTIF($B$6:B49,B49)&gt;1,"",SUMIFS($U$6:$U$100,$B$6:$B$100,B49)))</f>
        <v>1965000</v>
      </c>
      <c r="W49" s="16"/>
    </row>
    <row r="50" customFormat="false" ht="15" hidden="false" customHeight="false" outlineLevel="0" collapsed="false">
      <c r="A50" s="17" t="n">
        <f aca="false">IF(B50="","",ROW()-5)</f>
        <v>45</v>
      </c>
      <c r="B50" s="29" t="str">
        <f aca="false">IF(BCC!B50="","",BCC!B50)</f>
        <v>QT-19</v>
      </c>
      <c r="C50" s="17" t="str">
        <f aca="false">IF(B50="","",BCC!C50)</f>
        <v>Lê Thị Thủy</v>
      </c>
      <c r="D50" s="17" t="str">
        <f aca="false">IF(B50="","",BCC!D50)</f>
        <v>Thời vụ HAQT</v>
      </c>
      <c r="E50" s="17" t="str">
        <f aca="false">IF(B50="","",IFERROR(INDEX(NV_HT,MATCH(B50,NV_MA,0)),""))</f>
        <v>Lương ngày</v>
      </c>
      <c r="F50" s="27" t="n">
        <f aca="false">IF(B50="","",IF(N(BCC!E50)&gt;0,BCC!E50,IF(AND(N(IFERROR(INDEX(NV_DG,MATCH(B50,NV_MA,0)),0))&gt;0,IFERROR(INDEX(NV_NHOM,MATCH(B50,NV_MA,0)),"")=D50),INDEX(NV_DG,MATCH(B50,NV_MA,0)),IFERROR(INDEX(NH_DG,MATCH(D50,NH_TEN,0)),0))))</f>
        <v>370000</v>
      </c>
      <c r="G50" s="27" t="n">
        <f aca="false">IF(B50="","",N(IFERROR(INDEX(NV_LT,MATCH(B50,NV_MA,0)),0)))</f>
        <v>0</v>
      </c>
      <c r="H50" s="22" t="n">
        <f aca="false">IF(B50="","",BCC!AL50)</f>
        <v>40</v>
      </c>
      <c r="I50" s="23" t="n">
        <f aca="false">IF(B50="","",BCC!AM50)</f>
        <v>5</v>
      </c>
      <c r="J50" s="23" t="n">
        <f aca="false">IF(B50="","",BCC!AN50)</f>
        <v>0</v>
      </c>
      <c r="K50" s="27" t="n">
        <f aca="false">IF(B50="","",IF(E50="Khoán tháng",G50,IF(E50="Lương tháng",G50/INDEX(NH_CHIA,MATCH(D50,NH_TEN,0))*MIN(I50,INDEX(NH_CHIA,MATCH(D50,NH_TEN,0))),I50*F50)))</f>
        <v>1850000</v>
      </c>
      <c r="L50" s="27" t="n">
        <f aca="false">IF(B50="","",(I50-J50)*INDEX(NH_HTN,MATCH(D50,NH_TEN,0)))</f>
        <v>0</v>
      </c>
      <c r="M50" s="27" t="n">
        <f aca="false">IF(B50="","",J50*INDEX(NH_HTD,MATCH(D50,NH_TEN,0)))</f>
        <v>0</v>
      </c>
      <c r="N50" s="27" t="n">
        <f aca="false">IF(B50="","",I50*IF(N(IFERROR(INDEX(NV_AN,MATCH(B50,NV_MA,0)),0))&gt;0,INDEX(NV_AN,MATCH(B50,NV_MA,0)),INDEX(NH_AN,MATCH(D50,NH_TEN,0))))</f>
        <v>0</v>
      </c>
      <c r="O50" s="27" t="n">
        <f aca="false">IF(B50="","",N(KT_NGUOI!AL50))</f>
        <v>924000</v>
      </c>
      <c r="P50" s="27" t="n">
        <f aca="false">IF(OR(B50="",COUNTIF($B$6:B50,B50)&gt;1),0,SUMPRODUCT(((KT_M1=B50)+(KT_M2=B50)+(KT_M3=B50))*(KT_LOAI="Đích danh")*KT_PHAN))</f>
        <v>0</v>
      </c>
      <c r="Q50" s="27" t="n">
        <f aca="false">IF(OR(B50="",COUNTIF($B$6:B50,B50)&gt;1),0,SUMIFS(DC_VND,DC_MA,$B50,DC_LOAI,"Cộng"))</f>
        <v>0</v>
      </c>
      <c r="R50" s="30" t="n">
        <f aca="false">IF(B50="","",SUM(K50:Q50))</f>
        <v>2774000</v>
      </c>
      <c r="S50" s="27" t="n">
        <f aca="false">IF(OR(B50="",COUNTIF($B$6:B50,B50)&gt;1),0,SUMIFS(DC_VND,DC_MA,$B50,DC_LOAI,"Tạm ứng"))</f>
        <v>0</v>
      </c>
      <c r="T50" s="27" t="n">
        <f aca="false">IF(OR(B50="",COUNTIF($B$6:B50,B50)&gt;1),0,SUMIFS(DC_VND,DC_MA,$B50,DC_LOAI,"Trừ"))</f>
        <v>0</v>
      </c>
      <c r="U50" s="27" t="n">
        <f aca="false">IF(B50="","",ROUNDDOWN((R50-S50-T50)/INDEX(NH_LT,MATCH(D50,NH_TEN,0)),0)*INDEX(NH_LT,MATCH(D50,NH_TEN,0)))</f>
        <v>2774000</v>
      </c>
      <c r="V50" s="30" t="n">
        <f aca="false">IF(B50="","",IF(COUNTIF($B$6:B50,B50)&gt;1,"",SUMIFS($U$6:$U$100,$B$6:$B$100,B50)))</f>
        <v>2774000</v>
      </c>
      <c r="W50" s="16"/>
    </row>
    <row r="51" customFormat="false" ht="15" hidden="false" customHeight="false" outlineLevel="0" collapsed="false">
      <c r="A51" s="17" t="n">
        <f aca="false">IF(B51="","",ROW()-5)</f>
        <v>46</v>
      </c>
      <c r="B51" s="29" t="str">
        <f aca="false">IF(BCC!B51="","",BCC!B51)</f>
        <v>QT-20</v>
      </c>
      <c r="C51" s="17" t="str">
        <f aca="false">IF(B51="","",BCC!C51)</f>
        <v>Nguyễn Thị Kim Thoa</v>
      </c>
      <c r="D51" s="17" t="str">
        <f aca="false">IF(B51="","",BCC!D51)</f>
        <v>Thời vụ HAQT</v>
      </c>
      <c r="E51" s="17" t="str">
        <f aca="false">IF(B51="","",IFERROR(INDEX(NV_HT,MATCH(B51,NV_MA,0)),""))</f>
        <v>Lương ngày</v>
      </c>
      <c r="F51" s="27" t="n">
        <f aca="false">IF(B51="","",IF(N(BCC!E51)&gt;0,BCC!E51,IF(AND(N(IFERROR(INDEX(NV_DG,MATCH(B51,NV_MA,0)),0))&gt;0,IFERROR(INDEX(NV_NHOM,MATCH(B51,NV_MA,0)),"")=D51),INDEX(NV_DG,MATCH(B51,NV_MA,0)),IFERROR(INDEX(NH_DG,MATCH(D51,NH_TEN,0)),0))))</f>
        <v>370000</v>
      </c>
      <c r="G51" s="27" t="n">
        <f aca="false">IF(B51="","",N(IFERROR(INDEX(NV_LT,MATCH(B51,NV_MA,0)),0)))</f>
        <v>0</v>
      </c>
      <c r="H51" s="22" t="n">
        <f aca="false">IF(B51="","",BCC!AL51)</f>
        <v>48</v>
      </c>
      <c r="I51" s="23" t="n">
        <f aca="false">IF(B51="","",BCC!AM51)</f>
        <v>6</v>
      </c>
      <c r="J51" s="23" t="n">
        <f aca="false">IF(B51="","",BCC!AN51)</f>
        <v>0</v>
      </c>
      <c r="K51" s="27" t="n">
        <f aca="false">IF(B51="","",IF(E51="Khoán tháng",G51,IF(E51="Lương tháng",G51/INDEX(NH_CHIA,MATCH(D51,NH_TEN,0))*MIN(I51,INDEX(NH_CHIA,MATCH(D51,NH_TEN,0))),I51*F51)))</f>
        <v>2220000</v>
      </c>
      <c r="L51" s="27" t="n">
        <f aca="false">IF(B51="","",(I51-J51)*INDEX(NH_HTN,MATCH(D51,NH_TEN,0)))</f>
        <v>0</v>
      </c>
      <c r="M51" s="27" t="n">
        <f aca="false">IF(B51="","",J51*INDEX(NH_HTD,MATCH(D51,NH_TEN,0)))</f>
        <v>0</v>
      </c>
      <c r="N51" s="27" t="n">
        <f aca="false">IF(B51="","",I51*IF(N(IFERROR(INDEX(NV_AN,MATCH(B51,NV_MA,0)),0))&gt;0,INDEX(NV_AN,MATCH(B51,NV_MA,0)),INDEX(NH_AN,MATCH(D51,NH_TEN,0))))</f>
        <v>0</v>
      </c>
      <c r="O51" s="27" t="n">
        <f aca="false">IF(B51="","",N(KT_NGUOI!AL51))</f>
        <v>485000</v>
      </c>
      <c r="P51" s="27" t="n">
        <f aca="false">IF(OR(B51="",COUNTIF($B$6:B51,B51)&gt;1),0,SUMPRODUCT(((KT_M1=B51)+(KT_M2=B51)+(KT_M3=B51))*(KT_LOAI="Đích danh")*KT_PHAN))</f>
        <v>0</v>
      </c>
      <c r="Q51" s="27" t="n">
        <f aca="false">IF(OR(B51="",COUNTIF($B$6:B51,B51)&gt;1),0,SUMIFS(DC_VND,DC_MA,$B51,DC_LOAI,"Cộng"))</f>
        <v>0</v>
      </c>
      <c r="R51" s="30" t="n">
        <f aca="false">IF(B51="","",SUM(K51:Q51))</f>
        <v>2705000</v>
      </c>
      <c r="S51" s="27" t="n">
        <f aca="false">IF(OR(B51="",COUNTIF($B$6:B51,B51)&gt;1),0,SUMIFS(DC_VND,DC_MA,$B51,DC_LOAI,"Tạm ứng"))</f>
        <v>0</v>
      </c>
      <c r="T51" s="27" t="n">
        <f aca="false">IF(OR(B51="",COUNTIF($B$6:B51,B51)&gt;1),0,SUMIFS(DC_VND,DC_MA,$B51,DC_LOAI,"Trừ"))</f>
        <v>0</v>
      </c>
      <c r="U51" s="27" t="n">
        <f aca="false">IF(B51="","",ROUNDDOWN((R51-S51-T51)/INDEX(NH_LT,MATCH(D51,NH_TEN,0)),0)*INDEX(NH_LT,MATCH(D51,NH_TEN,0)))</f>
        <v>2705000</v>
      </c>
      <c r="V51" s="30" t="n">
        <f aca="false">IF(B51="","",IF(COUNTIF($B$6:B51,B51)&gt;1,"",SUMIFS($U$6:$U$100,$B$6:$B$100,B51)))</f>
        <v>2705000</v>
      </c>
      <c r="W51" s="16"/>
    </row>
    <row r="52" customFormat="false" ht="15" hidden="false" customHeight="false" outlineLevel="0" collapsed="false">
      <c r="A52" s="17" t="n">
        <f aca="false">IF(B52="","",ROW()-5)</f>
        <v>47</v>
      </c>
      <c r="B52" s="29" t="str">
        <f aca="false">IF(BCC!B52="","",BCC!B52)</f>
        <v>QT-21</v>
      </c>
      <c r="C52" s="17" t="str">
        <f aca="false">IF(B52="","",BCC!C52)</f>
        <v>Hồ Xuân Đông</v>
      </c>
      <c r="D52" s="17" t="str">
        <f aca="false">IF(B52="","",BCC!D52)</f>
        <v>Thời vụ HAQT</v>
      </c>
      <c r="E52" s="17" t="str">
        <f aca="false">IF(B52="","",IFERROR(INDEX(NV_HT,MATCH(B52,NV_MA,0)),""))</f>
        <v>Lương ngày</v>
      </c>
      <c r="F52" s="27" t="n">
        <f aca="false">IF(B52="","",IF(N(BCC!E52)&gt;0,BCC!E52,IF(AND(N(IFERROR(INDEX(NV_DG,MATCH(B52,NV_MA,0)),0))&gt;0,IFERROR(INDEX(NV_NHOM,MATCH(B52,NV_MA,0)),"")=D52),INDEX(NV_DG,MATCH(B52,NV_MA,0)),IFERROR(INDEX(NH_DG,MATCH(D52,NH_TEN,0)),0))))</f>
        <v>370000</v>
      </c>
      <c r="G52" s="27" t="n">
        <f aca="false">IF(B52="","",N(IFERROR(INDEX(NV_LT,MATCH(B52,NV_MA,0)),0)))</f>
        <v>0</v>
      </c>
      <c r="H52" s="22" t="n">
        <f aca="false">IF(B52="","",BCC!AL52)</f>
        <v>56</v>
      </c>
      <c r="I52" s="23" t="n">
        <f aca="false">IF(B52="","",BCC!AM52)</f>
        <v>7</v>
      </c>
      <c r="J52" s="23" t="n">
        <f aca="false">IF(B52="","",BCC!AN52)</f>
        <v>0</v>
      </c>
      <c r="K52" s="27" t="n">
        <f aca="false">IF(B52="","",IF(E52="Khoán tháng",G52,IF(E52="Lương tháng",G52/INDEX(NH_CHIA,MATCH(D52,NH_TEN,0))*MIN(I52,INDEX(NH_CHIA,MATCH(D52,NH_TEN,0))),I52*F52)))</f>
        <v>2590000</v>
      </c>
      <c r="L52" s="27" t="n">
        <f aca="false">IF(B52="","",(I52-J52)*INDEX(NH_HTN,MATCH(D52,NH_TEN,0)))</f>
        <v>0</v>
      </c>
      <c r="M52" s="27" t="n">
        <f aca="false">IF(B52="","",J52*INDEX(NH_HTD,MATCH(D52,NH_TEN,0)))</f>
        <v>0</v>
      </c>
      <c r="N52" s="27" t="n">
        <f aca="false">IF(B52="","",I52*IF(N(IFERROR(INDEX(NV_AN,MATCH(B52,NV_MA,0)),0))&gt;0,INDEX(NV_AN,MATCH(B52,NV_MA,0)),INDEX(NH_AN,MATCH(D52,NH_TEN,0))))</f>
        <v>0</v>
      </c>
      <c r="O52" s="27" t="n">
        <f aca="false">IF(B52="","",N(KT_NGUOI!AL52))</f>
        <v>868000</v>
      </c>
      <c r="P52" s="27" t="n">
        <f aca="false">IF(OR(B52="",COUNTIF($B$6:B52,B52)&gt;1),0,SUMPRODUCT(((KT_M1=B52)+(KT_M2=B52)+(KT_M3=B52))*(KT_LOAI="Đích danh")*KT_PHAN))</f>
        <v>0</v>
      </c>
      <c r="Q52" s="27" t="n">
        <f aca="false">IF(OR(B52="",COUNTIF($B$6:B52,B52)&gt;1),0,SUMIFS(DC_VND,DC_MA,$B52,DC_LOAI,"Cộng"))</f>
        <v>0</v>
      </c>
      <c r="R52" s="30" t="n">
        <f aca="false">IF(B52="","",SUM(K52:Q52))</f>
        <v>3458000</v>
      </c>
      <c r="S52" s="27" t="n">
        <f aca="false">IF(OR(B52="",COUNTIF($B$6:B52,B52)&gt;1),0,SUMIFS(DC_VND,DC_MA,$B52,DC_LOAI,"Tạm ứng"))</f>
        <v>0</v>
      </c>
      <c r="T52" s="27" t="n">
        <f aca="false">IF(OR(B52="",COUNTIF($B$6:B52,B52)&gt;1),0,SUMIFS(DC_VND,DC_MA,$B52,DC_LOAI,"Trừ"))</f>
        <v>0</v>
      </c>
      <c r="U52" s="27" t="n">
        <f aca="false">IF(B52="","",ROUNDDOWN((R52-S52-T52)/INDEX(NH_LT,MATCH(D52,NH_TEN,0)),0)*INDEX(NH_LT,MATCH(D52,NH_TEN,0)))</f>
        <v>3458000</v>
      </c>
      <c r="V52" s="30" t="n">
        <f aca="false">IF(B52="","",IF(COUNTIF($B$6:B52,B52)&gt;1,"",SUMIFS($U$6:$U$100,$B$6:$B$100,B52)))</f>
        <v>3458000</v>
      </c>
      <c r="W52" s="16"/>
    </row>
    <row r="53" customFormat="false" ht="15" hidden="false" customHeight="false" outlineLevel="0" collapsed="false">
      <c r="A53" s="17" t="n">
        <f aca="false">IF(B53="","",ROW()-5)</f>
        <v>48</v>
      </c>
      <c r="B53" s="29" t="str">
        <f aca="false">IF(BCC!B53="","",BCC!B53)</f>
        <v>QT-22</v>
      </c>
      <c r="C53" s="17" t="str">
        <f aca="false">IF(B53="","",BCC!C53)</f>
        <v>Nguyễn Chí Thành</v>
      </c>
      <c r="D53" s="17" t="str">
        <f aca="false">IF(B53="","",BCC!D53)</f>
        <v>Thời vụ HAQT</v>
      </c>
      <c r="E53" s="17" t="str">
        <f aca="false">IF(B53="","",IFERROR(INDEX(NV_HT,MATCH(B53,NV_MA,0)),""))</f>
        <v>Lương ngày</v>
      </c>
      <c r="F53" s="27" t="n">
        <f aca="false">IF(B53="","",IF(N(BCC!E53)&gt;0,BCC!E53,IF(AND(N(IFERROR(INDEX(NV_DG,MATCH(B53,NV_MA,0)),0))&gt;0,IFERROR(INDEX(NV_NHOM,MATCH(B53,NV_MA,0)),"")=D53),INDEX(NV_DG,MATCH(B53,NV_MA,0)),IFERROR(INDEX(NH_DG,MATCH(D53,NH_TEN,0)),0))))</f>
        <v>370000</v>
      </c>
      <c r="G53" s="27" t="n">
        <f aca="false">IF(B53="","",N(IFERROR(INDEX(NV_LT,MATCH(B53,NV_MA,0)),0)))</f>
        <v>0</v>
      </c>
      <c r="H53" s="22" t="n">
        <f aca="false">IF(B53="","",BCC!AL53)</f>
        <v>96</v>
      </c>
      <c r="I53" s="23" t="n">
        <f aca="false">IF(B53="","",BCC!AM53)</f>
        <v>12</v>
      </c>
      <c r="J53" s="23" t="n">
        <f aca="false">IF(B53="","",BCC!AN53)</f>
        <v>0</v>
      </c>
      <c r="K53" s="27" t="n">
        <f aca="false">IF(B53="","",IF(E53="Khoán tháng",G53,IF(E53="Lương tháng",G53/INDEX(NH_CHIA,MATCH(D53,NH_TEN,0))*MIN(I53,INDEX(NH_CHIA,MATCH(D53,NH_TEN,0))),I53*F53)))</f>
        <v>4440000</v>
      </c>
      <c r="L53" s="27" t="n">
        <f aca="false">IF(B53="","",(I53-J53)*INDEX(NH_HTN,MATCH(D53,NH_TEN,0)))</f>
        <v>0</v>
      </c>
      <c r="M53" s="27" t="n">
        <f aca="false">IF(B53="","",J53*INDEX(NH_HTD,MATCH(D53,NH_TEN,0)))</f>
        <v>0</v>
      </c>
      <c r="N53" s="27" t="n">
        <f aca="false">IF(B53="","",I53*IF(N(IFERROR(INDEX(NV_AN,MATCH(B53,NV_MA,0)),0))&gt;0,INDEX(NV_AN,MATCH(B53,NV_MA,0)),INDEX(NH_AN,MATCH(D53,NH_TEN,0))))</f>
        <v>0</v>
      </c>
      <c r="O53" s="27" t="n">
        <f aca="false">IF(B53="","",N(KT_NGUOI!AL53))</f>
        <v>0</v>
      </c>
      <c r="P53" s="27" t="n">
        <f aca="false">IF(OR(B53="",COUNTIF($B$6:B53,B53)&gt;1),0,SUMPRODUCT(((KT_M1=B53)+(KT_M2=B53)+(KT_M3=B53))*(KT_LOAI="Đích danh")*KT_PHAN))</f>
        <v>0</v>
      </c>
      <c r="Q53" s="27" t="n">
        <f aca="false">IF(OR(B53="",COUNTIF($B$6:B53,B53)&gt;1),0,SUMIFS(DC_VND,DC_MA,$B53,DC_LOAI,"Cộng"))</f>
        <v>0</v>
      </c>
      <c r="R53" s="30" t="n">
        <f aca="false">IF(B53="","",SUM(K53:Q53))</f>
        <v>4440000</v>
      </c>
      <c r="S53" s="27" t="n">
        <f aca="false">IF(OR(B53="",COUNTIF($B$6:B53,B53)&gt;1),0,SUMIFS(DC_VND,DC_MA,$B53,DC_LOAI,"Tạm ứng"))</f>
        <v>0</v>
      </c>
      <c r="T53" s="27" t="n">
        <f aca="false">IF(OR(B53="",COUNTIF($B$6:B53,B53)&gt;1),0,SUMIFS(DC_VND,DC_MA,$B53,DC_LOAI,"Trừ"))</f>
        <v>0</v>
      </c>
      <c r="U53" s="27" t="n">
        <f aca="false">IF(B53="","",ROUNDDOWN((R53-S53-T53)/INDEX(NH_LT,MATCH(D53,NH_TEN,0)),0)*INDEX(NH_LT,MATCH(D53,NH_TEN,0)))</f>
        <v>4440000</v>
      </c>
      <c r="V53" s="30" t="n">
        <f aca="false">IF(B53="","",IF(COUNTIF($B$6:B53,B53)&gt;1,"",SUMIFS($U$6:$U$100,$B$6:$B$100,B53)))</f>
        <v>4440000</v>
      </c>
      <c r="W53" s="16"/>
    </row>
    <row r="54" customFormat="false" ht="15" hidden="false" customHeight="false" outlineLevel="0" collapsed="false">
      <c r="A54" s="17" t="n">
        <f aca="false">IF(B54="","",ROW()-5)</f>
        <v>49</v>
      </c>
      <c r="B54" s="29" t="str">
        <f aca="false">IF(BCC!B54="","",BCC!B54)</f>
        <v>QT-23</v>
      </c>
      <c r="C54" s="17" t="str">
        <f aca="false">IF(B54="","",BCC!C54)</f>
        <v>Nguyễn Thị Vân</v>
      </c>
      <c r="D54" s="17" t="str">
        <f aca="false">IF(B54="","",BCC!D54)</f>
        <v>Thời vụ HAQT</v>
      </c>
      <c r="E54" s="17" t="str">
        <f aca="false">IF(B54="","",IFERROR(INDEX(NV_HT,MATCH(B54,NV_MA,0)),""))</f>
        <v>Lương ngày</v>
      </c>
      <c r="F54" s="27" t="n">
        <f aca="false">IF(B54="","",IF(N(BCC!E54)&gt;0,BCC!E54,IF(AND(N(IFERROR(INDEX(NV_DG,MATCH(B54,NV_MA,0)),0))&gt;0,IFERROR(INDEX(NV_NHOM,MATCH(B54,NV_MA,0)),"")=D54),INDEX(NV_DG,MATCH(B54,NV_MA,0)),IFERROR(INDEX(NH_DG,MATCH(D54,NH_TEN,0)),0))))</f>
        <v>370000</v>
      </c>
      <c r="G54" s="27" t="n">
        <f aca="false">IF(B54="","",N(IFERROR(INDEX(NV_LT,MATCH(B54,NV_MA,0)),0)))</f>
        <v>0</v>
      </c>
      <c r="H54" s="22" t="n">
        <f aca="false">IF(B54="","",BCC!AL54)</f>
        <v>56</v>
      </c>
      <c r="I54" s="23" t="n">
        <f aca="false">IF(B54="","",BCC!AM54)</f>
        <v>7</v>
      </c>
      <c r="J54" s="23" t="n">
        <f aca="false">IF(B54="","",BCC!AN54)</f>
        <v>0</v>
      </c>
      <c r="K54" s="27" t="n">
        <f aca="false">IF(B54="","",IF(E54="Khoán tháng",G54,IF(E54="Lương tháng",G54/INDEX(NH_CHIA,MATCH(D54,NH_TEN,0))*MIN(I54,INDEX(NH_CHIA,MATCH(D54,NH_TEN,0))),I54*F54)))</f>
        <v>2590000</v>
      </c>
      <c r="L54" s="27" t="n">
        <f aca="false">IF(B54="","",(I54-J54)*INDEX(NH_HTN,MATCH(D54,NH_TEN,0)))</f>
        <v>0</v>
      </c>
      <c r="M54" s="27" t="n">
        <f aca="false">IF(B54="","",J54*INDEX(NH_HTD,MATCH(D54,NH_TEN,0)))</f>
        <v>0</v>
      </c>
      <c r="N54" s="27" t="n">
        <f aca="false">IF(B54="","",I54*IF(N(IFERROR(INDEX(NV_AN,MATCH(B54,NV_MA,0)),0))&gt;0,INDEX(NV_AN,MATCH(B54,NV_MA,0)),INDEX(NH_AN,MATCH(D54,NH_TEN,0))))</f>
        <v>0</v>
      </c>
      <c r="O54" s="27" t="n">
        <f aca="false">IF(B54="","",N(KT_NGUOI!AL54))</f>
        <v>865000</v>
      </c>
      <c r="P54" s="27" t="n">
        <f aca="false">IF(OR(B54="",COUNTIF($B$6:B54,B54)&gt;1),0,SUMPRODUCT(((KT_M1=B54)+(KT_M2=B54)+(KT_M3=B54))*(KT_LOAI="Đích danh")*KT_PHAN))</f>
        <v>0</v>
      </c>
      <c r="Q54" s="27" t="n">
        <f aca="false">IF(OR(B54="",COUNTIF($B$6:B54,B54)&gt;1),0,SUMIFS(DC_VND,DC_MA,$B54,DC_LOAI,"Cộng"))</f>
        <v>0</v>
      </c>
      <c r="R54" s="30" t="n">
        <f aca="false">IF(B54="","",SUM(K54:Q54))</f>
        <v>3455000</v>
      </c>
      <c r="S54" s="27" t="n">
        <f aca="false">IF(OR(B54="",COUNTIF($B$6:B54,B54)&gt;1),0,SUMIFS(DC_VND,DC_MA,$B54,DC_LOAI,"Tạm ứng"))</f>
        <v>0</v>
      </c>
      <c r="T54" s="27" t="n">
        <f aca="false">IF(OR(B54="",COUNTIF($B$6:B54,B54)&gt;1),0,SUMIFS(DC_VND,DC_MA,$B54,DC_LOAI,"Trừ"))</f>
        <v>0</v>
      </c>
      <c r="U54" s="27" t="n">
        <f aca="false">IF(B54="","",ROUNDDOWN((R54-S54-T54)/INDEX(NH_LT,MATCH(D54,NH_TEN,0)),0)*INDEX(NH_LT,MATCH(D54,NH_TEN,0)))</f>
        <v>3455000</v>
      </c>
      <c r="V54" s="30" t="n">
        <f aca="false">IF(B54="","",IF(COUNTIF($B$6:B54,B54)&gt;1,"",SUMIFS($U$6:$U$100,$B$6:$B$100,B54)))</f>
        <v>3455000</v>
      </c>
      <c r="W54" s="16"/>
    </row>
    <row r="55" customFormat="false" ht="15" hidden="false" customHeight="false" outlineLevel="0" collapsed="false">
      <c r="A55" s="17" t="n">
        <f aca="false">IF(B55="","",ROW()-5)</f>
        <v>50</v>
      </c>
      <c r="B55" s="29" t="str">
        <f aca="false">IF(BCC!B55="","",BCC!B55)</f>
        <v>QT-24</v>
      </c>
      <c r="C55" s="17" t="str">
        <f aca="false">IF(B55="","",BCC!C55)</f>
        <v>Đào Thị Lương</v>
      </c>
      <c r="D55" s="17" t="str">
        <f aca="false">IF(B55="","",BCC!D55)</f>
        <v>Thời vụ HAQT</v>
      </c>
      <c r="E55" s="17" t="str">
        <f aca="false">IF(B55="","",IFERROR(INDEX(NV_HT,MATCH(B55,NV_MA,0)),""))</f>
        <v>Lương ngày</v>
      </c>
      <c r="F55" s="27" t="n">
        <f aca="false">IF(B55="","",IF(N(BCC!E55)&gt;0,BCC!E55,IF(AND(N(IFERROR(INDEX(NV_DG,MATCH(B55,NV_MA,0)),0))&gt;0,IFERROR(INDEX(NV_NHOM,MATCH(B55,NV_MA,0)),"")=D55),INDEX(NV_DG,MATCH(B55,NV_MA,0)),IFERROR(INDEX(NH_DG,MATCH(D55,NH_TEN,0)),0))))</f>
        <v>370000</v>
      </c>
      <c r="G55" s="27" t="n">
        <f aca="false">IF(B55="","",N(IFERROR(INDEX(NV_LT,MATCH(B55,NV_MA,0)),0)))</f>
        <v>0</v>
      </c>
      <c r="H55" s="22" t="n">
        <f aca="false">IF(B55="","",BCC!AL55)</f>
        <v>32</v>
      </c>
      <c r="I55" s="23" t="n">
        <f aca="false">IF(B55="","",BCC!AM55)</f>
        <v>4</v>
      </c>
      <c r="J55" s="23" t="n">
        <f aca="false">IF(B55="","",BCC!AN55)</f>
        <v>0</v>
      </c>
      <c r="K55" s="27" t="n">
        <f aca="false">IF(B55="","",IF(E55="Khoán tháng",G55,IF(E55="Lương tháng",G55/INDEX(NH_CHIA,MATCH(D55,NH_TEN,0))*MIN(I55,INDEX(NH_CHIA,MATCH(D55,NH_TEN,0))),I55*F55)))</f>
        <v>1480000</v>
      </c>
      <c r="L55" s="27" t="n">
        <f aca="false">IF(B55="","",(I55-J55)*INDEX(NH_HTN,MATCH(D55,NH_TEN,0)))</f>
        <v>0</v>
      </c>
      <c r="M55" s="27" t="n">
        <f aca="false">IF(B55="","",J55*INDEX(NH_HTD,MATCH(D55,NH_TEN,0)))</f>
        <v>0</v>
      </c>
      <c r="N55" s="27" t="n">
        <f aca="false">IF(B55="","",I55*IF(N(IFERROR(INDEX(NV_AN,MATCH(B55,NV_MA,0)),0))&gt;0,INDEX(NV_AN,MATCH(B55,NV_MA,0)),INDEX(NH_AN,MATCH(D55,NH_TEN,0))))</f>
        <v>0</v>
      </c>
      <c r="O55" s="27" t="n">
        <f aca="false">IF(B55="","",N(KT_NGUOI!AL55))</f>
        <v>485000</v>
      </c>
      <c r="P55" s="27" t="n">
        <f aca="false">IF(OR(B55="",COUNTIF($B$6:B55,B55)&gt;1),0,SUMPRODUCT(((KT_M1=B55)+(KT_M2=B55)+(KT_M3=B55))*(KT_LOAI="Đích danh")*KT_PHAN))</f>
        <v>0</v>
      </c>
      <c r="Q55" s="27" t="n">
        <f aca="false">IF(OR(B55="",COUNTIF($B$6:B55,B55)&gt;1),0,SUMIFS(DC_VND,DC_MA,$B55,DC_LOAI,"Cộng"))</f>
        <v>0</v>
      </c>
      <c r="R55" s="30" t="n">
        <f aca="false">IF(B55="","",SUM(K55:Q55))</f>
        <v>1965000</v>
      </c>
      <c r="S55" s="27" t="n">
        <f aca="false">IF(OR(B55="",COUNTIF($B$6:B55,B55)&gt;1),0,SUMIFS(DC_VND,DC_MA,$B55,DC_LOAI,"Tạm ứng"))</f>
        <v>0</v>
      </c>
      <c r="T55" s="27" t="n">
        <f aca="false">IF(OR(B55="",COUNTIF($B$6:B55,B55)&gt;1),0,SUMIFS(DC_VND,DC_MA,$B55,DC_LOAI,"Trừ"))</f>
        <v>0</v>
      </c>
      <c r="U55" s="27" t="n">
        <f aca="false">IF(B55="","",ROUNDDOWN((R55-S55-T55)/INDEX(NH_LT,MATCH(D55,NH_TEN,0)),0)*INDEX(NH_LT,MATCH(D55,NH_TEN,0)))</f>
        <v>1965000</v>
      </c>
      <c r="V55" s="30" t="n">
        <f aca="false">IF(B55="","",IF(COUNTIF($B$6:B55,B55)&gt;1,"",SUMIFS($U$6:$U$100,$B$6:$B$100,B55)))</f>
        <v>1965000</v>
      </c>
      <c r="W55" s="16"/>
    </row>
    <row r="56" customFormat="false" ht="15" hidden="false" customHeight="false" outlineLevel="0" collapsed="false">
      <c r="A56" s="17" t="n">
        <f aca="false">IF(B56="","",ROW()-5)</f>
        <v>51</v>
      </c>
      <c r="B56" s="29" t="str">
        <f aca="false">IF(BCC!B56="","",BCC!B56)</f>
        <v>QT-25</v>
      </c>
      <c r="C56" s="17" t="str">
        <f aca="false">IF(B56="","",BCC!C56)</f>
        <v>Trần Thị Anh</v>
      </c>
      <c r="D56" s="17" t="str">
        <f aca="false">IF(B56="","",BCC!D56)</f>
        <v>Thời vụ HAQT</v>
      </c>
      <c r="E56" s="17" t="str">
        <f aca="false">IF(B56="","",IFERROR(INDEX(NV_HT,MATCH(B56,NV_MA,0)),""))</f>
        <v>Lương ngày</v>
      </c>
      <c r="F56" s="27" t="n">
        <f aca="false">IF(B56="","",IF(N(BCC!E56)&gt;0,BCC!E56,IF(AND(N(IFERROR(INDEX(NV_DG,MATCH(B56,NV_MA,0)),0))&gt;0,IFERROR(INDEX(NV_NHOM,MATCH(B56,NV_MA,0)),"")=D56),INDEX(NV_DG,MATCH(B56,NV_MA,0)),IFERROR(INDEX(NH_DG,MATCH(D56,NH_TEN,0)),0))))</f>
        <v>370000</v>
      </c>
      <c r="G56" s="27" t="n">
        <f aca="false">IF(B56="","",N(IFERROR(INDEX(NV_LT,MATCH(B56,NV_MA,0)),0)))</f>
        <v>0</v>
      </c>
      <c r="H56" s="22" t="n">
        <f aca="false">IF(B56="","",BCC!AL56)</f>
        <v>32</v>
      </c>
      <c r="I56" s="23" t="n">
        <f aca="false">IF(B56="","",BCC!AM56)</f>
        <v>4</v>
      </c>
      <c r="J56" s="23" t="n">
        <f aca="false">IF(B56="","",BCC!AN56)</f>
        <v>0</v>
      </c>
      <c r="K56" s="27" t="n">
        <f aca="false">IF(B56="","",IF(E56="Khoán tháng",G56,IF(E56="Lương tháng",G56/INDEX(NH_CHIA,MATCH(D56,NH_TEN,0))*MIN(I56,INDEX(NH_CHIA,MATCH(D56,NH_TEN,0))),I56*F56)))</f>
        <v>1480000</v>
      </c>
      <c r="L56" s="27" t="n">
        <f aca="false">IF(B56="","",(I56-J56)*INDEX(NH_HTN,MATCH(D56,NH_TEN,0)))</f>
        <v>0</v>
      </c>
      <c r="M56" s="27" t="n">
        <f aca="false">IF(B56="","",J56*INDEX(NH_HTD,MATCH(D56,NH_TEN,0)))</f>
        <v>0</v>
      </c>
      <c r="N56" s="27" t="n">
        <f aca="false">IF(B56="","",I56*IF(N(IFERROR(INDEX(NV_AN,MATCH(B56,NV_MA,0)),0))&gt;0,INDEX(NV_AN,MATCH(B56,NV_MA,0)),INDEX(NH_AN,MATCH(D56,NH_TEN,0))))</f>
        <v>0</v>
      </c>
      <c r="O56" s="27" t="n">
        <f aca="false">IF(B56="","",N(KT_NGUOI!AL56))</f>
        <v>865000</v>
      </c>
      <c r="P56" s="27" t="n">
        <f aca="false">IF(OR(B56="",COUNTIF($B$6:B56,B56)&gt;1),0,SUMPRODUCT(((KT_M1=B56)+(KT_M2=B56)+(KT_M3=B56))*(KT_LOAI="Đích danh")*KT_PHAN))</f>
        <v>0</v>
      </c>
      <c r="Q56" s="27" t="n">
        <f aca="false">IF(OR(B56="",COUNTIF($B$6:B56,B56)&gt;1),0,SUMIFS(DC_VND,DC_MA,$B56,DC_LOAI,"Cộng"))</f>
        <v>0</v>
      </c>
      <c r="R56" s="30" t="n">
        <f aca="false">IF(B56="","",SUM(K56:Q56))</f>
        <v>2345000</v>
      </c>
      <c r="S56" s="27" t="n">
        <f aca="false">IF(OR(B56="",COUNTIF($B$6:B56,B56)&gt;1),0,SUMIFS(DC_VND,DC_MA,$B56,DC_LOAI,"Tạm ứng"))</f>
        <v>0</v>
      </c>
      <c r="T56" s="27" t="n">
        <f aca="false">IF(OR(B56="",COUNTIF($B$6:B56,B56)&gt;1),0,SUMIFS(DC_VND,DC_MA,$B56,DC_LOAI,"Trừ"))</f>
        <v>0</v>
      </c>
      <c r="U56" s="27" t="n">
        <f aca="false">IF(B56="","",ROUNDDOWN((R56-S56-T56)/INDEX(NH_LT,MATCH(D56,NH_TEN,0)),0)*INDEX(NH_LT,MATCH(D56,NH_TEN,0)))</f>
        <v>2345000</v>
      </c>
      <c r="V56" s="30" t="n">
        <f aca="false">IF(B56="","",IF(COUNTIF($B$6:B56,B56)&gt;1,"",SUMIFS($U$6:$U$100,$B$6:$B$100,B56)))</f>
        <v>2345000</v>
      </c>
      <c r="W56" s="16"/>
    </row>
    <row r="57" customFormat="false" ht="15" hidden="false" customHeight="false" outlineLevel="0" collapsed="false">
      <c r="A57" s="17" t="n">
        <f aca="false">IF(B57="","",ROW()-5)</f>
        <v>52</v>
      </c>
      <c r="B57" s="29" t="str">
        <f aca="false">IF(BCC!B57="","",BCC!B57)</f>
        <v>QT-26</v>
      </c>
      <c r="C57" s="17" t="str">
        <f aca="false">IF(B57="","",BCC!C57)</f>
        <v>Nguyễn Thị Kim Duyên</v>
      </c>
      <c r="D57" s="17" t="str">
        <f aca="false">IF(B57="","",BCC!D57)</f>
        <v>Thời vụ HAQT</v>
      </c>
      <c r="E57" s="17" t="str">
        <f aca="false">IF(B57="","",IFERROR(INDEX(NV_HT,MATCH(B57,NV_MA,0)),""))</f>
        <v>Lương ngày</v>
      </c>
      <c r="F57" s="27" t="n">
        <f aca="false">IF(B57="","",IF(N(BCC!E57)&gt;0,BCC!E57,IF(AND(N(IFERROR(INDEX(NV_DG,MATCH(B57,NV_MA,0)),0))&gt;0,IFERROR(INDEX(NV_NHOM,MATCH(B57,NV_MA,0)),"")=D57),INDEX(NV_DG,MATCH(B57,NV_MA,0)),IFERROR(INDEX(NH_DG,MATCH(D57,NH_TEN,0)),0))))</f>
        <v>370000</v>
      </c>
      <c r="G57" s="27" t="n">
        <f aca="false">IF(B57="","",N(IFERROR(INDEX(NV_LT,MATCH(B57,NV_MA,0)),0)))</f>
        <v>0</v>
      </c>
      <c r="H57" s="22" t="n">
        <f aca="false">IF(B57="","",BCC!AL57)</f>
        <v>56</v>
      </c>
      <c r="I57" s="23" t="n">
        <f aca="false">IF(B57="","",BCC!AM57)</f>
        <v>7</v>
      </c>
      <c r="J57" s="23" t="n">
        <f aca="false">IF(B57="","",BCC!AN57)</f>
        <v>0</v>
      </c>
      <c r="K57" s="27" t="n">
        <f aca="false">IF(B57="","",IF(E57="Khoán tháng",G57,IF(E57="Lương tháng",G57/INDEX(NH_CHIA,MATCH(D57,NH_TEN,0))*MIN(I57,INDEX(NH_CHIA,MATCH(D57,NH_TEN,0))),I57*F57)))</f>
        <v>2590000</v>
      </c>
      <c r="L57" s="27" t="n">
        <f aca="false">IF(B57="","",(I57-J57)*INDEX(NH_HTN,MATCH(D57,NH_TEN,0)))</f>
        <v>0</v>
      </c>
      <c r="M57" s="27" t="n">
        <f aca="false">IF(B57="","",J57*INDEX(NH_HTD,MATCH(D57,NH_TEN,0)))</f>
        <v>0</v>
      </c>
      <c r="N57" s="27" t="n">
        <f aca="false">IF(B57="","",I57*IF(N(IFERROR(INDEX(NV_AN,MATCH(B57,NV_MA,0)),0))&gt;0,INDEX(NV_AN,MATCH(B57,NV_MA,0)),INDEX(NH_AN,MATCH(D57,NH_TEN,0))))</f>
        <v>0</v>
      </c>
      <c r="O57" s="27" t="n">
        <f aca="false">IF(B57="","",N(KT_NGUOI!AL57))</f>
        <v>485000</v>
      </c>
      <c r="P57" s="27" t="n">
        <f aca="false">IF(OR(B57="",COUNTIF($B$6:B57,B57)&gt;1),0,SUMPRODUCT(((KT_M1=B57)+(KT_M2=B57)+(KT_M3=B57))*(KT_LOAI="Đích danh")*KT_PHAN))</f>
        <v>0</v>
      </c>
      <c r="Q57" s="27" t="n">
        <f aca="false">IF(OR(B57="",COUNTIF($B$6:B57,B57)&gt;1),0,SUMIFS(DC_VND,DC_MA,$B57,DC_LOAI,"Cộng"))</f>
        <v>0</v>
      </c>
      <c r="R57" s="30" t="n">
        <f aca="false">IF(B57="","",SUM(K57:Q57))</f>
        <v>3075000</v>
      </c>
      <c r="S57" s="27" t="n">
        <f aca="false">IF(OR(B57="",COUNTIF($B$6:B57,B57)&gt;1),0,SUMIFS(DC_VND,DC_MA,$B57,DC_LOAI,"Tạm ứng"))</f>
        <v>0</v>
      </c>
      <c r="T57" s="27" t="n">
        <f aca="false">IF(OR(B57="",COUNTIF($B$6:B57,B57)&gt;1),0,SUMIFS(DC_VND,DC_MA,$B57,DC_LOAI,"Trừ"))</f>
        <v>0</v>
      </c>
      <c r="U57" s="27" t="n">
        <f aca="false">IF(B57="","",ROUNDDOWN((R57-S57-T57)/INDEX(NH_LT,MATCH(D57,NH_TEN,0)),0)*INDEX(NH_LT,MATCH(D57,NH_TEN,0)))</f>
        <v>3075000</v>
      </c>
      <c r="V57" s="30" t="n">
        <f aca="false">IF(B57="","",IF(COUNTIF($B$6:B57,B57)&gt;1,"",SUMIFS($U$6:$U$100,$B$6:$B$100,B57)))</f>
        <v>3075000</v>
      </c>
      <c r="W57" s="16"/>
    </row>
    <row r="58" customFormat="false" ht="15" hidden="false" customHeight="false" outlineLevel="0" collapsed="false">
      <c r="A58" s="17" t="n">
        <f aca="false">IF(B58="","",ROW()-5)</f>
        <v>53</v>
      </c>
      <c r="B58" s="29" t="str">
        <f aca="false">IF(BCC!B58="","",BCC!B58)</f>
        <v>QT-27</v>
      </c>
      <c r="C58" s="17" t="str">
        <f aca="false">IF(B58="","",BCC!C58)</f>
        <v>Trần Thị Gái</v>
      </c>
      <c r="D58" s="17" t="str">
        <f aca="false">IF(B58="","",BCC!D58)</f>
        <v>Thời vụ HAQT</v>
      </c>
      <c r="E58" s="17" t="str">
        <f aca="false">IF(B58="","",IFERROR(INDEX(NV_HT,MATCH(B58,NV_MA,0)),""))</f>
        <v>Lương ngày</v>
      </c>
      <c r="F58" s="27" t="n">
        <f aca="false">IF(B58="","",IF(N(BCC!E58)&gt;0,BCC!E58,IF(AND(N(IFERROR(INDEX(NV_DG,MATCH(B58,NV_MA,0)),0))&gt;0,IFERROR(INDEX(NV_NHOM,MATCH(B58,NV_MA,0)),"")=D58),INDEX(NV_DG,MATCH(B58,NV_MA,0)),IFERROR(INDEX(NH_DG,MATCH(D58,NH_TEN,0)),0))))</f>
        <v>370000</v>
      </c>
      <c r="G58" s="27" t="n">
        <f aca="false">IF(B58="","",N(IFERROR(INDEX(NV_LT,MATCH(B58,NV_MA,0)),0)))</f>
        <v>0</v>
      </c>
      <c r="H58" s="22" t="n">
        <f aca="false">IF(B58="","",BCC!AL58)</f>
        <v>40</v>
      </c>
      <c r="I58" s="23" t="n">
        <f aca="false">IF(B58="","",BCC!AM58)</f>
        <v>5</v>
      </c>
      <c r="J58" s="23" t="n">
        <f aca="false">IF(B58="","",BCC!AN58)</f>
        <v>0</v>
      </c>
      <c r="K58" s="27" t="n">
        <f aca="false">IF(B58="","",IF(E58="Khoán tháng",G58,IF(E58="Lương tháng",G58/INDEX(NH_CHIA,MATCH(D58,NH_TEN,0))*MIN(I58,INDEX(NH_CHIA,MATCH(D58,NH_TEN,0))),I58*F58)))</f>
        <v>1850000</v>
      </c>
      <c r="L58" s="27" t="n">
        <f aca="false">IF(B58="","",(I58-J58)*INDEX(NH_HTN,MATCH(D58,NH_TEN,0)))</f>
        <v>0</v>
      </c>
      <c r="M58" s="27" t="n">
        <f aca="false">IF(B58="","",J58*INDEX(NH_HTD,MATCH(D58,NH_TEN,0)))</f>
        <v>0</v>
      </c>
      <c r="N58" s="27" t="n">
        <f aca="false">IF(B58="","",I58*IF(N(IFERROR(INDEX(NV_AN,MATCH(B58,NV_MA,0)),0))&gt;0,INDEX(NV_AN,MATCH(B58,NV_MA,0)),INDEX(NH_AN,MATCH(D58,NH_TEN,0))))</f>
        <v>0</v>
      </c>
      <c r="O58" s="27" t="n">
        <f aca="false">IF(B58="","",N(KT_NGUOI!AL58))</f>
        <v>865000</v>
      </c>
      <c r="P58" s="27" t="n">
        <f aca="false">IF(OR(B58="",COUNTIF($B$6:B58,B58)&gt;1),0,SUMPRODUCT(((KT_M1=B58)+(KT_M2=B58)+(KT_M3=B58))*(KT_LOAI="Đích danh")*KT_PHAN))</f>
        <v>0</v>
      </c>
      <c r="Q58" s="27" t="n">
        <f aca="false">IF(OR(B58="",COUNTIF($B$6:B58,B58)&gt;1),0,SUMIFS(DC_VND,DC_MA,$B58,DC_LOAI,"Cộng"))</f>
        <v>0</v>
      </c>
      <c r="R58" s="30" t="n">
        <f aca="false">IF(B58="","",SUM(K58:Q58))</f>
        <v>2715000</v>
      </c>
      <c r="S58" s="27" t="n">
        <f aca="false">IF(OR(B58="",COUNTIF($B$6:B58,B58)&gt;1),0,SUMIFS(DC_VND,DC_MA,$B58,DC_LOAI,"Tạm ứng"))</f>
        <v>0</v>
      </c>
      <c r="T58" s="27" t="n">
        <f aca="false">IF(OR(B58="",COUNTIF($B$6:B58,B58)&gt;1),0,SUMIFS(DC_VND,DC_MA,$B58,DC_LOAI,"Trừ"))</f>
        <v>0</v>
      </c>
      <c r="U58" s="27" t="n">
        <f aca="false">IF(B58="","",ROUNDDOWN((R58-S58-T58)/INDEX(NH_LT,MATCH(D58,NH_TEN,0)),0)*INDEX(NH_LT,MATCH(D58,NH_TEN,0)))</f>
        <v>2715000</v>
      </c>
      <c r="V58" s="30" t="n">
        <f aca="false">IF(B58="","",IF(COUNTIF($B$6:B58,B58)&gt;1,"",SUMIFS($U$6:$U$100,$B$6:$B$100,B58)))</f>
        <v>2715000</v>
      </c>
      <c r="W58" s="16"/>
    </row>
    <row r="59" customFormat="false" ht="15" hidden="false" customHeight="false" outlineLevel="0" collapsed="false">
      <c r="A59" s="17" t="n">
        <f aca="false">IF(B59="","",ROW()-5)</f>
        <v>54</v>
      </c>
      <c r="B59" s="29" t="str">
        <f aca="false">IF(BCC!B59="","",BCC!B59)</f>
        <v>QT-28</v>
      </c>
      <c r="C59" s="17" t="str">
        <f aca="false">IF(B59="","",BCC!C59)</f>
        <v>Phạm Thị Thu</v>
      </c>
      <c r="D59" s="17" t="str">
        <f aca="false">IF(B59="","",BCC!D59)</f>
        <v>Thời vụ HAQT</v>
      </c>
      <c r="E59" s="17" t="str">
        <f aca="false">IF(B59="","",IFERROR(INDEX(NV_HT,MATCH(B59,NV_MA,0)),""))</f>
        <v>Lương ngày</v>
      </c>
      <c r="F59" s="27" t="n">
        <f aca="false">IF(B59="","",IF(N(BCC!E59)&gt;0,BCC!E59,IF(AND(N(IFERROR(INDEX(NV_DG,MATCH(B59,NV_MA,0)),0))&gt;0,IFERROR(INDEX(NV_NHOM,MATCH(B59,NV_MA,0)),"")=D59),INDEX(NV_DG,MATCH(B59,NV_MA,0)),IFERROR(INDEX(NH_DG,MATCH(D59,NH_TEN,0)),0))))</f>
        <v>370000</v>
      </c>
      <c r="G59" s="27" t="n">
        <f aca="false">IF(B59="","",N(IFERROR(INDEX(NV_LT,MATCH(B59,NV_MA,0)),0)))</f>
        <v>0</v>
      </c>
      <c r="H59" s="22" t="n">
        <f aca="false">IF(B59="","",BCC!AL59)</f>
        <v>16</v>
      </c>
      <c r="I59" s="23" t="n">
        <f aca="false">IF(B59="","",BCC!AM59)</f>
        <v>2</v>
      </c>
      <c r="J59" s="23" t="n">
        <f aca="false">IF(B59="","",BCC!AN59)</f>
        <v>0</v>
      </c>
      <c r="K59" s="27" t="n">
        <f aca="false">IF(B59="","",IF(E59="Khoán tháng",G59,IF(E59="Lương tháng",G59/INDEX(NH_CHIA,MATCH(D59,NH_TEN,0))*MIN(I59,INDEX(NH_CHIA,MATCH(D59,NH_TEN,0))),I59*F59)))</f>
        <v>740000</v>
      </c>
      <c r="L59" s="27" t="n">
        <f aca="false">IF(B59="","",(I59-J59)*INDEX(NH_HTN,MATCH(D59,NH_TEN,0)))</f>
        <v>0</v>
      </c>
      <c r="M59" s="27" t="n">
        <f aca="false">IF(B59="","",J59*INDEX(NH_HTD,MATCH(D59,NH_TEN,0)))</f>
        <v>0</v>
      </c>
      <c r="N59" s="27" t="n">
        <f aca="false">IF(B59="","",I59*IF(N(IFERROR(INDEX(NV_AN,MATCH(B59,NV_MA,0)),0))&gt;0,INDEX(NV_AN,MATCH(B59,NV_MA,0)),INDEX(NH_AN,MATCH(D59,NH_TEN,0))))</f>
        <v>0</v>
      </c>
      <c r="O59" s="27" t="n">
        <f aca="false">IF(B59="","",N(KT_NGUOI!AL59))</f>
        <v>0</v>
      </c>
      <c r="P59" s="27" t="n">
        <f aca="false">IF(OR(B59="",COUNTIF($B$6:B59,B59)&gt;1),0,SUMPRODUCT(((KT_M1=B59)+(KT_M2=B59)+(KT_M3=B59))*(KT_LOAI="Đích danh")*KT_PHAN))</f>
        <v>0</v>
      </c>
      <c r="Q59" s="27" t="n">
        <f aca="false">IF(OR(B59="",COUNTIF($B$6:B59,B59)&gt;1),0,SUMIFS(DC_VND,DC_MA,$B59,DC_LOAI,"Cộng"))</f>
        <v>0</v>
      </c>
      <c r="R59" s="30" t="n">
        <f aca="false">IF(B59="","",SUM(K59:Q59))</f>
        <v>740000</v>
      </c>
      <c r="S59" s="27" t="n">
        <f aca="false">IF(OR(B59="",COUNTIF($B$6:B59,B59)&gt;1),0,SUMIFS(DC_VND,DC_MA,$B59,DC_LOAI,"Tạm ứng"))</f>
        <v>0</v>
      </c>
      <c r="T59" s="27" t="n">
        <f aca="false">IF(OR(B59="",COUNTIF($B$6:B59,B59)&gt;1),0,SUMIFS(DC_VND,DC_MA,$B59,DC_LOAI,"Trừ"))</f>
        <v>0</v>
      </c>
      <c r="U59" s="27" t="n">
        <f aca="false">IF(B59="","",ROUNDDOWN((R59-S59-T59)/INDEX(NH_LT,MATCH(D59,NH_TEN,0)),0)*INDEX(NH_LT,MATCH(D59,NH_TEN,0)))</f>
        <v>740000</v>
      </c>
      <c r="V59" s="30" t="n">
        <f aca="false">IF(B59="","",IF(COUNTIF($B$6:B59,B59)&gt;1,"",SUMIFS($U$6:$U$100,$B$6:$B$100,B59)))</f>
        <v>740000</v>
      </c>
      <c r="W59" s="16"/>
    </row>
    <row r="60" customFormat="false" ht="15" hidden="false" customHeight="false" outlineLevel="0" collapsed="false">
      <c r="A60" s="17" t="n">
        <f aca="false">IF(B60="","",ROW()-5)</f>
        <v>55</v>
      </c>
      <c r="B60" s="29" t="str">
        <f aca="false">IF(BCC!B60="","",BCC!B60)</f>
        <v>QT-29</v>
      </c>
      <c r="C60" s="17" t="str">
        <f aca="false">IF(B60="","",BCC!C60)</f>
        <v>La Trọng Sơn</v>
      </c>
      <c r="D60" s="17" t="str">
        <f aca="false">IF(B60="","",BCC!D60)</f>
        <v>Thời vụ HAQT</v>
      </c>
      <c r="E60" s="17" t="str">
        <f aca="false">IF(B60="","",IFERROR(INDEX(NV_HT,MATCH(B60,NV_MA,0)),""))</f>
        <v>Lương ngày</v>
      </c>
      <c r="F60" s="27" t="n">
        <f aca="false">IF(B60="","",IF(N(BCC!E60)&gt;0,BCC!E60,IF(AND(N(IFERROR(INDEX(NV_DG,MATCH(B60,NV_MA,0)),0))&gt;0,IFERROR(INDEX(NV_NHOM,MATCH(B60,NV_MA,0)),"")=D60),INDEX(NV_DG,MATCH(B60,NV_MA,0)),IFERROR(INDEX(NH_DG,MATCH(D60,NH_TEN,0)),0))))</f>
        <v>370000</v>
      </c>
      <c r="G60" s="27" t="n">
        <f aca="false">IF(B60="","",N(IFERROR(INDEX(NV_LT,MATCH(B60,NV_MA,0)),0)))</f>
        <v>0</v>
      </c>
      <c r="H60" s="22" t="n">
        <f aca="false">IF(B60="","",BCC!AL60)</f>
        <v>180</v>
      </c>
      <c r="I60" s="23" t="n">
        <f aca="false">IF(B60="","",BCC!AM60)</f>
        <v>22.5</v>
      </c>
      <c r="J60" s="23" t="n">
        <f aca="false">IF(B60="","",BCC!AN60)</f>
        <v>0</v>
      </c>
      <c r="K60" s="27" t="n">
        <f aca="false">IF(B60="","",IF(E60="Khoán tháng",G60,IF(E60="Lương tháng",G60/INDEX(NH_CHIA,MATCH(D60,NH_TEN,0))*MIN(I60,INDEX(NH_CHIA,MATCH(D60,NH_TEN,0))),I60*F60)))</f>
        <v>8325000</v>
      </c>
      <c r="L60" s="27" t="n">
        <f aca="false">IF(B60="","",(I60-J60)*INDEX(NH_HTN,MATCH(D60,NH_TEN,0)))</f>
        <v>0</v>
      </c>
      <c r="M60" s="27" t="n">
        <f aca="false">IF(B60="","",J60*INDEX(NH_HTD,MATCH(D60,NH_TEN,0)))</f>
        <v>0</v>
      </c>
      <c r="N60" s="27" t="n">
        <f aca="false">IF(B60="","",I60*IF(N(IFERROR(INDEX(NV_AN,MATCH(B60,NV_MA,0)),0))&gt;0,INDEX(NV_AN,MATCH(B60,NV_MA,0)),INDEX(NH_AN,MATCH(D60,NH_TEN,0))))</f>
        <v>0</v>
      </c>
      <c r="O60" s="27" t="n">
        <f aca="false">IF(B60="","",N(KT_NGUOI!AL60))</f>
        <v>2911000</v>
      </c>
      <c r="P60" s="27" t="n">
        <f aca="false">IF(OR(B60="",COUNTIF($B$6:B60,B60)&gt;1),0,SUMPRODUCT(((KT_M1=B60)+(KT_M2=B60)+(KT_M3=B60))*(KT_LOAI="Đích danh")*KT_PHAN))</f>
        <v>501000</v>
      </c>
      <c r="Q60" s="27" t="n">
        <f aca="false">IF(OR(B60="",COUNTIF($B$6:B60,B60)&gt;1),0,SUMIFS(DC_VND,DC_MA,$B60,DC_LOAI,"Cộng"))</f>
        <v>0</v>
      </c>
      <c r="R60" s="30" t="n">
        <f aca="false">IF(B60="","",SUM(K60:Q60))</f>
        <v>11737000</v>
      </c>
      <c r="S60" s="27" t="n">
        <f aca="false">IF(OR(B60="",COUNTIF($B$6:B60,B60)&gt;1),0,SUMIFS(DC_VND,DC_MA,$B60,DC_LOAI,"Tạm ứng"))</f>
        <v>0</v>
      </c>
      <c r="T60" s="27" t="n">
        <f aca="false">IF(OR(B60="",COUNTIF($B$6:B60,B60)&gt;1),0,SUMIFS(DC_VND,DC_MA,$B60,DC_LOAI,"Trừ"))</f>
        <v>0</v>
      </c>
      <c r="U60" s="27" t="n">
        <f aca="false">IF(B60="","",ROUNDDOWN((R60-S60-T60)/INDEX(NH_LT,MATCH(D60,NH_TEN,0)),0)*INDEX(NH_LT,MATCH(D60,NH_TEN,0)))</f>
        <v>11737000</v>
      </c>
      <c r="V60" s="30" t="n">
        <f aca="false">IF(B60="","",IF(COUNTIF($B$6:B60,B60)&gt;1,"",SUMIFS($U$6:$U$100,$B$6:$B$100,B60)))</f>
        <v>11737000</v>
      </c>
      <c r="W60" s="16"/>
    </row>
    <row r="61" customFormat="false" ht="15" hidden="false" customHeight="false" outlineLevel="0" collapsed="false">
      <c r="A61" s="17" t="n">
        <f aca="false">IF(B61="","",ROW()-5)</f>
        <v>56</v>
      </c>
      <c r="B61" s="29" t="str">
        <f aca="false">IF(BCC!B61="","",BCC!B61)</f>
        <v>QT-30</v>
      </c>
      <c r="C61" s="17" t="str">
        <f aca="false">IF(B61="","",BCC!C61)</f>
        <v>Nguyễn Đình Bình</v>
      </c>
      <c r="D61" s="17" t="str">
        <f aca="false">IF(B61="","",BCC!D61)</f>
        <v>Thời vụ HAQT</v>
      </c>
      <c r="E61" s="17" t="str">
        <f aca="false">IF(B61="","",IFERROR(INDEX(NV_HT,MATCH(B61,NV_MA,0)),""))</f>
        <v>Lương ngày</v>
      </c>
      <c r="F61" s="27" t="n">
        <f aca="false">IF(B61="","",IF(N(BCC!E61)&gt;0,BCC!E61,IF(AND(N(IFERROR(INDEX(NV_DG,MATCH(B61,NV_MA,0)),0))&gt;0,IFERROR(INDEX(NV_NHOM,MATCH(B61,NV_MA,0)),"")=D61),INDEX(NV_DG,MATCH(B61,NV_MA,0)),IFERROR(INDEX(NH_DG,MATCH(D61,NH_TEN,0)),0))))</f>
        <v>370000</v>
      </c>
      <c r="G61" s="27" t="n">
        <f aca="false">IF(B61="","",N(IFERROR(INDEX(NV_LT,MATCH(B61,NV_MA,0)),0)))</f>
        <v>0</v>
      </c>
      <c r="H61" s="22" t="n">
        <f aca="false">IF(B61="","",BCC!AL61)</f>
        <v>172</v>
      </c>
      <c r="I61" s="23" t="n">
        <f aca="false">IF(B61="","",BCC!AM61)</f>
        <v>21.5</v>
      </c>
      <c r="J61" s="23" t="n">
        <f aca="false">IF(B61="","",BCC!AN61)</f>
        <v>0</v>
      </c>
      <c r="K61" s="27" t="n">
        <f aca="false">IF(B61="","",IF(E61="Khoán tháng",G61,IF(E61="Lương tháng",G61/INDEX(NH_CHIA,MATCH(D61,NH_TEN,0))*MIN(I61,INDEX(NH_CHIA,MATCH(D61,NH_TEN,0))),I61*F61)))</f>
        <v>7955000</v>
      </c>
      <c r="L61" s="27" t="n">
        <f aca="false">IF(B61="","",(I61-J61)*INDEX(NH_HTN,MATCH(D61,NH_TEN,0)))</f>
        <v>0</v>
      </c>
      <c r="M61" s="27" t="n">
        <f aca="false">IF(B61="","",J61*INDEX(NH_HTD,MATCH(D61,NH_TEN,0)))</f>
        <v>0</v>
      </c>
      <c r="N61" s="27" t="n">
        <f aca="false">IF(B61="","",I61*IF(N(IFERROR(INDEX(NV_AN,MATCH(B61,NV_MA,0)),0))&gt;0,INDEX(NV_AN,MATCH(B61,NV_MA,0)),INDEX(NH_AN,MATCH(D61,NH_TEN,0))))</f>
        <v>0</v>
      </c>
      <c r="O61" s="27" t="n">
        <f aca="false">IF(B61="","",N(KT_NGUOI!AL61))</f>
        <v>2911000</v>
      </c>
      <c r="P61" s="27" t="n">
        <f aca="false">IF(OR(B61="",COUNTIF($B$6:B61,B61)&gt;1),0,SUMPRODUCT(((KT_M1=B61)+(KT_M2=B61)+(KT_M3=B61))*(KT_LOAI="Đích danh")*KT_PHAN))</f>
        <v>1496750</v>
      </c>
      <c r="Q61" s="27" t="n">
        <f aca="false">IF(OR(B61="",COUNTIF($B$6:B61,B61)&gt;1),0,SUMIFS(DC_VND,DC_MA,$B61,DC_LOAI,"Cộng"))</f>
        <v>0</v>
      </c>
      <c r="R61" s="30" t="n">
        <f aca="false">IF(B61="","",SUM(K61:Q61))</f>
        <v>12362750</v>
      </c>
      <c r="S61" s="27" t="n">
        <f aca="false">IF(OR(B61="",COUNTIF($B$6:B61,B61)&gt;1),0,SUMIFS(DC_VND,DC_MA,$B61,DC_LOAI,"Tạm ứng"))</f>
        <v>0</v>
      </c>
      <c r="T61" s="27" t="n">
        <f aca="false">IF(OR(B61="",COUNTIF($B$6:B61,B61)&gt;1),0,SUMIFS(DC_VND,DC_MA,$B61,DC_LOAI,"Trừ"))</f>
        <v>0</v>
      </c>
      <c r="U61" s="27" t="n">
        <f aca="false">IF(B61="","",ROUNDDOWN((R61-S61-T61)/INDEX(NH_LT,MATCH(D61,NH_TEN,0)),0)*INDEX(NH_LT,MATCH(D61,NH_TEN,0)))</f>
        <v>12362750</v>
      </c>
      <c r="V61" s="30" t="n">
        <f aca="false">IF(B61="","",IF(COUNTIF($B$6:B61,B61)&gt;1,"",SUMIFS($U$6:$U$100,$B$6:$B$100,B61)))</f>
        <v>12362750</v>
      </c>
      <c r="W61" s="16"/>
    </row>
    <row r="62" customFormat="false" ht="15" hidden="false" customHeight="false" outlineLevel="0" collapsed="false">
      <c r="A62" s="17" t="n">
        <f aca="false">IF(B62="","",ROW()-5)</f>
        <v>57</v>
      </c>
      <c r="B62" s="29" t="str">
        <f aca="false">IF(BCC!B62="","",BCC!B62)</f>
        <v>LAO-002</v>
      </c>
      <c r="C62" s="17" t="str">
        <f aca="false">IF(B62="","",BCC!C62)</f>
        <v>Nghen</v>
      </c>
      <c r="D62" s="17" t="str">
        <f aca="false">IF(B62="","",BCC!D62)</f>
        <v>Lào</v>
      </c>
      <c r="E62" s="17" t="str">
        <f aca="false">IF(B62="","",IFERROR(INDEX(NV_HT,MATCH(B62,NV_MA,0)),""))</f>
        <v>Lương tháng</v>
      </c>
      <c r="F62" s="27" t="n">
        <f aca="false">IF(B62="","",IF(N(BCC!E62)&gt;0,BCC!E62,IF(AND(N(IFERROR(INDEX(NV_DG,MATCH(B62,NV_MA,0)),0))&gt;0,IFERROR(INDEX(NV_NHOM,MATCH(B62,NV_MA,0)),"")=D62),INDEX(NV_DG,MATCH(B62,NV_MA,0)),IFERROR(INDEX(NH_DG,MATCH(D62,NH_TEN,0)),0))))</f>
        <v>0</v>
      </c>
      <c r="G62" s="27" t="n">
        <f aca="false">IF(B62="","",N(IFERROR(INDEX(NV_LT,MATCH(B62,NV_MA,0)),0)))</f>
        <v>4500000</v>
      </c>
      <c r="H62" s="22" t="n">
        <f aca="false">IF(B62="","",BCC!AL62)</f>
        <v>248</v>
      </c>
      <c r="I62" s="23" t="n">
        <f aca="false">IF(B62="","",BCC!AM62)</f>
        <v>31</v>
      </c>
      <c r="J62" s="23" t="n">
        <f aca="false">IF(B62="","",BCC!AN62)</f>
        <v>0</v>
      </c>
      <c r="K62" s="27" t="n">
        <f aca="false">IF(B62="","",IF(E62="Khoán tháng",G62,IF(E62="Lương tháng",G62/INDEX(NH_CHIA,MATCH(D62,NH_TEN,0))*MIN(I62,INDEX(NH_CHIA,MATCH(D62,NH_TEN,0))),I62*F62)))</f>
        <v>4500000</v>
      </c>
      <c r="L62" s="27" t="n">
        <f aca="false">IF(B62="","",(I62-J62)*INDEX(NH_HTN,MATCH(D62,NH_TEN,0)))</f>
        <v>0</v>
      </c>
      <c r="M62" s="27" t="n">
        <f aca="false">IF(B62="","",J62*INDEX(NH_HTD,MATCH(D62,NH_TEN,0)))</f>
        <v>0</v>
      </c>
      <c r="N62" s="27" t="n">
        <f aca="false">IF(B62="","",I62*IF(N(IFERROR(INDEX(NV_AN,MATCH(B62,NV_MA,0)),0))&gt;0,INDEX(NV_AN,MATCH(B62,NV_MA,0)),INDEX(NH_AN,MATCH(D62,NH_TEN,0))))</f>
        <v>2790000</v>
      </c>
      <c r="O62" s="27" t="n">
        <f aca="false">IF(B62="","",N(KT_NGUOI!AL62))</f>
        <v>0</v>
      </c>
      <c r="P62" s="27" t="n">
        <f aca="false">IF(OR(B62="",COUNTIF($B$6:B62,B62)&gt;1),0,SUMPRODUCT(((KT_M1=B62)+(KT_M2=B62)+(KT_M3=B62))*(KT_LOAI="Đích danh")*KT_PHAN))</f>
        <v>0</v>
      </c>
      <c r="Q62" s="27" t="n">
        <f aca="false">IF(OR(B62="",COUNTIF($B$6:B62,B62)&gt;1),0,SUMIFS(DC_VND,DC_MA,$B62,DC_LOAI,"Cộng"))</f>
        <v>92000</v>
      </c>
      <c r="R62" s="30" t="n">
        <f aca="false">IF(B62="","",SUM(K62:Q62))</f>
        <v>7382000</v>
      </c>
      <c r="S62" s="27" t="n">
        <f aca="false">IF(OR(B62="",COUNTIF($B$6:B62,B62)&gt;1),0,SUMIFS(DC_VND,DC_MA,$B62,DC_LOAI,"Tạm ứng"))</f>
        <v>0</v>
      </c>
      <c r="T62" s="27" t="n">
        <f aca="false">IF(OR(B62="",COUNTIF($B$6:B62,B62)&gt;1),0,SUMIFS(DC_VND,DC_MA,$B62,DC_LOAI,"Trừ"))</f>
        <v>0</v>
      </c>
      <c r="U62" s="27" t="n">
        <f aca="false">IF(B62="","",ROUNDDOWN((R62-S62-T62)/INDEX(NH_LT,MATCH(D62,NH_TEN,0)),0)*INDEX(NH_LT,MATCH(D62,NH_TEN,0)))</f>
        <v>7382000</v>
      </c>
      <c r="V62" s="30" t="n">
        <f aca="false">IF(B62="","",IF(COUNTIF($B$6:B62,B62)&gt;1,"",SUMIFS($U$6:$U$100,$B$6:$B$100,B62)))</f>
        <v>7382000</v>
      </c>
      <c r="W62" s="16"/>
    </row>
    <row r="63" customFormat="false" ht="15" hidden="false" customHeight="false" outlineLevel="0" collapsed="false">
      <c r="A63" s="17" t="n">
        <f aca="false">IF(B63="","",ROW()-5)</f>
        <v>58</v>
      </c>
      <c r="B63" s="29" t="str">
        <f aca="false">IF(BCC!B63="","",BCC!B63)</f>
        <v>LAO-003</v>
      </c>
      <c r="C63" s="17" t="str">
        <f aca="false">IF(B63="","",BCC!C63)</f>
        <v>Ken</v>
      </c>
      <c r="D63" s="17" t="str">
        <f aca="false">IF(B63="","",BCC!D63)</f>
        <v>Lào</v>
      </c>
      <c r="E63" s="17" t="str">
        <f aca="false">IF(B63="","",IFERROR(INDEX(NV_HT,MATCH(B63,NV_MA,0)),""))</f>
        <v>Lương tháng</v>
      </c>
      <c r="F63" s="27" t="n">
        <f aca="false">IF(B63="","",IF(N(BCC!E63)&gt;0,BCC!E63,IF(AND(N(IFERROR(INDEX(NV_DG,MATCH(B63,NV_MA,0)),0))&gt;0,IFERROR(INDEX(NV_NHOM,MATCH(B63,NV_MA,0)),"")=D63),INDEX(NV_DG,MATCH(B63,NV_MA,0)),IFERROR(INDEX(NH_DG,MATCH(D63,NH_TEN,0)),0))))</f>
        <v>0</v>
      </c>
      <c r="G63" s="27" t="n">
        <f aca="false">IF(B63="","",N(IFERROR(INDEX(NV_LT,MATCH(B63,NV_MA,0)),0)))</f>
        <v>3000000</v>
      </c>
      <c r="H63" s="22" t="n">
        <f aca="false">IF(B63="","",BCC!AL63)</f>
        <v>152</v>
      </c>
      <c r="I63" s="23" t="n">
        <f aca="false">IF(B63="","",BCC!AM63)</f>
        <v>19</v>
      </c>
      <c r="J63" s="23" t="n">
        <f aca="false">IF(B63="","",BCC!AN63)</f>
        <v>0</v>
      </c>
      <c r="K63" s="27" t="n">
        <f aca="false">IF(B63="","",IF(E63="Khoán tháng",G63,IF(E63="Lương tháng",G63/INDEX(NH_CHIA,MATCH(D63,NH_TEN,0))*MIN(I63,INDEX(NH_CHIA,MATCH(D63,NH_TEN,0))),I63*F63)))</f>
        <v>1900000</v>
      </c>
      <c r="L63" s="27" t="n">
        <f aca="false">IF(B63="","",(I63-J63)*INDEX(NH_HTN,MATCH(D63,NH_TEN,0)))</f>
        <v>0</v>
      </c>
      <c r="M63" s="27" t="n">
        <f aca="false">IF(B63="","",J63*INDEX(NH_HTD,MATCH(D63,NH_TEN,0)))</f>
        <v>0</v>
      </c>
      <c r="N63" s="27" t="n">
        <f aca="false">IF(B63="","",I63*IF(N(IFERROR(INDEX(NV_AN,MATCH(B63,NV_MA,0)),0))&gt;0,INDEX(NV_AN,MATCH(B63,NV_MA,0)),INDEX(NH_AN,MATCH(D63,NH_TEN,0))))</f>
        <v>0</v>
      </c>
      <c r="O63" s="27" t="n">
        <f aca="false">IF(B63="","",N(KT_NGUOI!AL63))</f>
        <v>0</v>
      </c>
      <c r="P63" s="27" t="n">
        <f aca="false">IF(OR(B63="",COUNTIF($B$6:B63,B63)&gt;1),0,SUMPRODUCT(((KT_M1=B63)+(KT_M2=B63)+(KT_M3=B63))*(KT_LOAI="Đích danh")*KT_PHAN))</f>
        <v>0</v>
      </c>
      <c r="Q63" s="27" t="n">
        <f aca="false">IF(OR(B63="",COUNTIF($B$6:B63,B63)&gt;1),0,SUMIFS(DC_VND,DC_MA,$B63,DC_LOAI,"Cộng"))</f>
        <v>0</v>
      </c>
      <c r="R63" s="30" t="n">
        <f aca="false">IF(B63="","",SUM(K63:Q63))</f>
        <v>1900000</v>
      </c>
      <c r="S63" s="27" t="n">
        <f aca="false">IF(OR(B63="",COUNTIF($B$6:B63,B63)&gt;1),0,SUMIFS(DC_VND,DC_MA,$B63,DC_LOAI,"Tạm ứng"))</f>
        <v>0</v>
      </c>
      <c r="T63" s="27" t="n">
        <f aca="false">IF(OR(B63="",COUNTIF($B$6:B63,B63)&gt;1),0,SUMIFS(DC_VND,DC_MA,$B63,DC_LOAI,"Trừ"))</f>
        <v>0</v>
      </c>
      <c r="U63" s="27" t="n">
        <f aca="false">IF(B63="","",ROUNDDOWN((R63-S63-T63)/INDEX(NH_LT,MATCH(D63,NH_TEN,0)),0)*INDEX(NH_LT,MATCH(D63,NH_TEN,0)))</f>
        <v>1900000</v>
      </c>
      <c r="V63" s="30" t="n">
        <f aca="false">IF(B63="","",IF(COUNTIF($B$6:B63,B63)&gt;1,"",SUMIFS($U$6:$U$100,$B$6:$B$100,B63)))</f>
        <v>1900000</v>
      </c>
      <c r="W63" s="16"/>
    </row>
    <row r="64" customFormat="false" ht="15" hidden="false" customHeight="false" outlineLevel="0" collapsed="false">
      <c r="A64" s="17" t="n">
        <f aca="false">IF(B64="","",ROW()-5)</f>
        <v>59</v>
      </c>
      <c r="B64" s="29" t="str">
        <f aca="false">IF(BCC!B64="","",BCC!B64)</f>
        <v>LAO-004</v>
      </c>
      <c r="C64" s="17" t="str">
        <f aca="false">IF(B64="","",BCC!C64)</f>
        <v>Dương</v>
      </c>
      <c r="D64" s="17" t="str">
        <f aca="false">IF(B64="","",BCC!D64)</f>
        <v>Lào</v>
      </c>
      <c r="E64" s="17" t="str">
        <f aca="false">IF(B64="","",IFERROR(INDEX(NV_HT,MATCH(B64,NV_MA,0)),""))</f>
        <v>Khoán tháng</v>
      </c>
      <c r="F64" s="27" t="n">
        <f aca="false">IF(B64="","",IF(N(BCC!E64)&gt;0,BCC!E64,IF(AND(N(IFERROR(INDEX(NV_DG,MATCH(B64,NV_MA,0)),0))&gt;0,IFERROR(INDEX(NV_NHOM,MATCH(B64,NV_MA,0)),"")=D64),INDEX(NV_DG,MATCH(B64,NV_MA,0)),IFERROR(INDEX(NH_DG,MATCH(D64,NH_TEN,0)),0))))</f>
        <v>0</v>
      </c>
      <c r="G64" s="27" t="n">
        <f aca="false">IF(B64="","",N(IFERROR(INDEX(NV_LT,MATCH(B64,NV_MA,0)),0)))</f>
        <v>2000000</v>
      </c>
      <c r="H64" s="22" t="n">
        <f aca="false">IF(B64="","",BCC!AL64)</f>
        <v>248</v>
      </c>
      <c r="I64" s="23" t="n">
        <f aca="false">IF(B64="","",BCC!AM64)</f>
        <v>31</v>
      </c>
      <c r="J64" s="23" t="n">
        <f aca="false">IF(B64="","",BCC!AN64)</f>
        <v>0</v>
      </c>
      <c r="K64" s="27" t="n">
        <f aca="false">IF(B64="","",IF(E64="Khoán tháng",G64,IF(E64="Lương tháng",G64/INDEX(NH_CHIA,MATCH(D64,NH_TEN,0))*MIN(I64,INDEX(NH_CHIA,MATCH(D64,NH_TEN,0))),I64*F64)))</f>
        <v>2000000</v>
      </c>
      <c r="L64" s="27" t="n">
        <f aca="false">IF(B64="","",(I64-J64)*INDEX(NH_HTN,MATCH(D64,NH_TEN,0)))</f>
        <v>0</v>
      </c>
      <c r="M64" s="27" t="n">
        <f aca="false">IF(B64="","",J64*INDEX(NH_HTD,MATCH(D64,NH_TEN,0)))</f>
        <v>0</v>
      </c>
      <c r="N64" s="27" t="n">
        <f aca="false">IF(B64="","",I64*IF(N(IFERROR(INDEX(NV_AN,MATCH(B64,NV_MA,0)),0))&gt;0,INDEX(NV_AN,MATCH(B64,NV_MA,0)),INDEX(NH_AN,MATCH(D64,NH_TEN,0))))</f>
        <v>0</v>
      </c>
      <c r="O64" s="27" t="n">
        <f aca="false">IF(B64="","",N(KT_NGUOI!AL64))</f>
        <v>0</v>
      </c>
      <c r="P64" s="27" t="n">
        <f aca="false">IF(OR(B64="",COUNTIF($B$6:B64,B64)&gt;1),0,SUMPRODUCT(((KT_M1=B64)+(KT_M2=B64)+(KT_M3=B64))*(KT_LOAI="Đích danh")*KT_PHAN))</f>
        <v>0</v>
      </c>
      <c r="Q64" s="27" t="n">
        <f aca="false">IF(OR(B64="",COUNTIF($B$6:B64,B64)&gt;1),0,SUMIFS(DC_VND,DC_MA,$B64,DC_LOAI,"Cộng"))</f>
        <v>0</v>
      </c>
      <c r="R64" s="30" t="n">
        <f aca="false">IF(B64="","",SUM(K64:Q64))</f>
        <v>2000000</v>
      </c>
      <c r="S64" s="27" t="n">
        <f aca="false">IF(OR(B64="",COUNTIF($B$6:B64,B64)&gt;1),0,SUMIFS(DC_VND,DC_MA,$B64,DC_LOAI,"Tạm ứng"))</f>
        <v>0</v>
      </c>
      <c r="T64" s="27" t="n">
        <f aca="false">IF(OR(B64="",COUNTIF($B$6:B64,B64)&gt;1),0,SUMIFS(DC_VND,DC_MA,$B64,DC_LOAI,"Trừ"))</f>
        <v>0</v>
      </c>
      <c r="U64" s="27" t="n">
        <f aca="false">IF(B64="","",ROUNDDOWN((R64-S64-T64)/INDEX(NH_LT,MATCH(D64,NH_TEN,0)),0)*INDEX(NH_LT,MATCH(D64,NH_TEN,0)))</f>
        <v>2000000</v>
      </c>
      <c r="V64" s="30" t="n">
        <f aca="false">IF(B64="","",IF(COUNTIF($B$6:B64,B64)&gt;1,"",SUMIFS($U$6:$U$100,$B$6:$B$100,B64)))</f>
        <v>2000000</v>
      </c>
      <c r="W64" s="16"/>
    </row>
    <row r="65" customFormat="false" ht="15" hidden="false" customHeight="false" outlineLevel="0" collapsed="false">
      <c r="A65" s="17" t="str">
        <f aca="false">IF(B65="","",ROW()-5)</f>
        <v/>
      </c>
      <c r="B65" s="29" t="str">
        <f aca="false">IF(BCC!B65="","",BCC!B65)</f>
        <v/>
      </c>
      <c r="C65" s="17" t="str">
        <f aca="false">IF(B65="","",BCC!C65)</f>
        <v/>
      </c>
      <c r="D65" s="17" t="str">
        <f aca="false">IF(B65="","",BCC!D65)</f>
        <v/>
      </c>
      <c r="E65" s="17" t="str">
        <f aca="false">IF(B65="","",IFERROR(INDEX(NV_HT,MATCH(B65,NV_MA,0)),""))</f>
        <v/>
      </c>
      <c r="F65" s="27" t="str">
        <f aca="false">IF(B65="","",IF(N(BCC!E65)&gt;0,BCC!E65,IF(AND(N(IFERROR(INDEX(NV_DG,MATCH(B65,NV_MA,0)),0))&gt;0,IFERROR(INDEX(NV_NHOM,MATCH(B65,NV_MA,0)),"")=D65),INDEX(NV_DG,MATCH(B65,NV_MA,0)),IFERROR(INDEX(NH_DG,MATCH(D65,NH_TEN,0)),0))))</f>
        <v/>
      </c>
      <c r="G65" s="27" t="str">
        <f aca="false">IF(B65="","",N(IFERROR(INDEX(NV_LT,MATCH(B65,NV_MA,0)),0)))</f>
        <v/>
      </c>
      <c r="H65" s="22" t="str">
        <f aca="false">IF(B65="","",BCC!AL65)</f>
        <v/>
      </c>
      <c r="I65" s="23" t="str">
        <f aca="false">IF(B65="","",BCC!AM65)</f>
        <v/>
      </c>
      <c r="J65" s="23" t="str">
        <f aca="false">IF(B65="","",BCC!AN65)</f>
        <v/>
      </c>
      <c r="K65" s="27" t="str">
        <f aca="false">IF(B65="","",IF(E65="Khoán tháng",G65,IF(E65="Lương tháng",G65/INDEX(NH_CHIA,MATCH(D65,NH_TEN,0))*MIN(I65,INDEX(NH_CHIA,MATCH(D65,NH_TEN,0))),I65*F65)))</f>
        <v/>
      </c>
      <c r="L65" s="27" t="str">
        <f aca="false">IF(B65="","",(I65-J65)*INDEX(NH_HTN,MATCH(D65,NH_TEN,0)))</f>
        <v/>
      </c>
      <c r="M65" s="27" t="str">
        <f aca="false">IF(B65="","",J65*INDEX(NH_HTD,MATCH(D65,NH_TEN,0)))</f>
        <v/>
      </c>
      <c r="N65" s="27" t="str">
        <f aca="false">IF(B65="","",I65*IF(N(IFERROR(INDEX(NV_AN,MATCH(B65,NV_MA,0)),0))&gt;0,INDEX(NV_AN,MATCH(B65,NV_MA,0)),INDEX(NH_AN,MATCH(D65,NH_TEN,0))))</f>
        <v/>
      </c>
      <c r="O65" s="27" t="str">
        <f aca="false">IF(B65="","",N(KT_NGUOI!AL65))</f>
        <v/>
      </c>
      <c r="P65" s="27" t="n">
        <f aca="false">IF(OR(B65="",COUNTIF($B$6:B65,B65)&gt;1),0,SUMPRODUCT(((KT_M1=B65)+(KT_M2=B65)+(KT_M3=B65))*(KT_LOAI="Đích danh")*KT_PHAN))</f>
        <v>0</v>
      </c>
      <c r="Q65" s="27" t="n">
        <f aca="false">IF(OR(B65="",COUNTIF($B$6:B65,B65)&gt;1),0,SUMIFS(DC_VND,DC_MA,$B65,DC_LOAI,"Cộng"))</f>
        <v>0</v>
      </c>
      <c r="R65" s="30" t="str">
        <f aca="false">IF(B65="","",SUM(K65:Q65))</f>
        <v/>
      </c>
      <c r="S65" s="27" t="n">
        <f aca="false">IF(OR(B65="",COUNTIF($B$6:B65,B65)&gt;1),0,SUMIFS(DC_VND,DC_MA,$B65,DC_LOAI,"Tạm ứng"))</f>
        <v>0</v>
      </c>
      <c r="T65" s="27" t="n">
        <f aca="false">IF(OR(B65="",COUNTIF($B$6:B65,B65)&gt;1),0,SUMIFS(DC_VND,DC_MA,$B65,DC_LOAI,"Trừ"))</f>
        <v>0</v>
      </c>
      <c r="U65" s="27" t="str">
        <f aca="false">IF(B65="","",ROUNDDOWN((R65-S65-T65)/INDEX(NH_LT,MATCH(D65,NH_TEN,0)),0)*INDEX(NH_LT,MATCH(D65,NH_TEN,0)))</f>
        <v/>
      </c>
      <c r="V65" s="30" t="str">
        <f aca="false">IF(B65="","",IF(COUNTIF($B$6:B65,B65)&gt;1,"",SUMIFS($U$6:$U$100,$B$6:$B$100,B65)))</f>
        <v/>
      </c>
      <c r="W65" s="16"/>
    </row>
    <row r="66" customFormat="false" ht="15" hidden="false" customHeight="false" outlineLevel="0" collapsed="false">
      <c r="A66" s="17" t="str">
        <f aca="false">IF(B66="","",ROW()-5)</f>
        <v/>
      </c>
      <c r="B66" s="29" t="str">
        <f aca="false">IF(BCC!B66="","",BCC!B66)</f>
        <v/>
      </c>
      <c r="C66" s="17" t="str">
        <f aca="false">IF(B66="","",BCC!C66)</f>
        <v/>
      </c>
      <c r="D66" s="17" t="str">
        <f aca="false">IF(B66="","",BCC!D66)</f>
        <v/>
      </c>
      <c r="E66" s="17" t="str">
        <f aca="false">IF(B66="","",IFERROR(INDEX(NV_HT,MATCH(B66,NV_MA,0)),""))</f>
        <v/>
      </c>
      <c r="F66" s="27" t="str">
        <f aca="false">IF(B66="","",IF(N(BCC!E66)&gt;0,BCC!E66,IF(AND(N(IFERROR(INDEX(NV_DG,MATCH(B66,NV_MA,0)),0))&gt;0,IFERROR(INDEX(NV_NHOM,MATCH(B66,NV_MA,0)),"")=D66),INDEX(NV_DG,MATCH(B66,NV_MA,0)),IFERROR(INDEX(NH_DG,MATCH(D66,NH_TEN,0)),0))))</f>
        <v/>
      </c>
      <c r="G66" s="27" t="str">
        <f aca="false">IF(B66="","",N(IFERROR(INDEX(NV_LT,MATCH(B66,NV_MA,0)),0)))</f>
        <v/>
      </c>
      <c r="H66" s="22" t="str">
        <f aca="false">IF(B66="","",BCC!AL66)</f>
        <v/>
      </c>
      <c r="I66" s="23" t="str">
        <f aca="false">IF(B66="","",BCC!AM66)</f>
        <v/>
      </c>
      <c r="J66" s="23" t="str">
        <f aca="false">IF(B66="","",BCC!AN66)</f>
        <v/>
      </c>
      <c r="K66" s="27" t="str">
        <f aca="false">IF(B66="","",IF(E66="Khoán tháng",G66,IF(E66="Lương tháng",G66/INDEX(NH_CHIA,MATCH(D66,NH_TEN,0))*MIN(I66,INDEX(NH_CHIA,MATCH(D66,NH_TEN,0))),I66*F66)))</f>
        <v/>
      </c>
      <c r="L66" s="27" t="str">
        <f aca="false">IF(B66="","",(I66-J66)*INDEX(NH_HTN,MATCH(D66,NH_TEN,0)))</f>
        <v/>
      </c>
      <c r="M66" s="27" t="str">
        <f aca="false">IF(B66="","",J66*INDEX(NH_HTD,MATCH(D66,NH_TEN,0)))</f>
        <v/>
      </c>
      <c r="N66" s="27" t="str">
        <f aca="false">IF(B66="","",I66*IF(N(IFERROR(INDEX(NV_AN,MATCH(B66,NV_MA,0)),0))&gt;0,INDEX(NV_AN,MATCH(B66,NV_MA,0)),INDEX(NH_AN,MATCH(D66,NH_TEN,0))))</f>
        <v/>
      </c>
      <c r="O66" s="27" t="str">
        <f aca="false">IF(B66="","",N(KT_NGUOI!AL66))</f>
        <v/>
      </c>
      <c r="P66" s="27" t="n">
        <f aca="false">IF(OR(B66="",COUNTIF($B$6:B66,B66)&gt;1),0,SUMPRODUCT(((KT_M1=B66)+(KT_M2=B66)+(KT_M3=B66))*(KT_LOAI="Đích danh")*KT_PHAN))</f>
        <v>0</v>
      </c>
      <c r="Q66" s="27" t="n">
        <f aca="false">IF(OR(B66="",COUNTIF($B$6:B66,B66)&gt;1),0,SUMIFS(DC_VND,DC_MA,$B66,DC_LOAI,"Cộng"))</f>
        <v>0</v>
      </c>
      <c r="R66" s="30" t="str">
        <f aca="false">IF(B66="","",SUM(K66:Q66))</f>
        <v/>
      </c>
      <c r="S66" s="27" t="n">
        <f aca="false">IF(OR(B66="",COUNTIF($B$6:B66,B66)&gt;1),0,SUMIFS(DC_VND,DC_MA,$B66,DC_LOAI,"Tạm ứng"))</f>
        <v>0</v>
      </c>
      <c r="T66" s="27" t="n">
        <f aca="false">IF(OR(B66="",COUNTIF($B$6:B66,B66)&gt;1),0,SUMIFS(DC_VND,DC_MA,$B66,DC_LOAI,"Trừ"))</f>
        <v>0</v>
      </c>
      <c r="U66" s="27" t="str">
        <f aca="false">IF(B66="","",ROUNDDOWN((R66-S66-T66)/INDEX(NH_LT,MATCH(D66,NH_TEN,0)),0)*INDEX(NH_LT,MATCH(D66,NH_TEN,0)))</f>
        <v/>
      </c>
      <c r="V66" s="30" t="str">
        <f aca="false">IF(B66="","",IF(COUNTIF($B$6:B66,B66)&gt;1,"",SUMIFS($U$6:$U$100,$B$6:$B$100,B66)))</f>
        <v/>
      </c>
      <c r="W66" s="16"/>
    </row>
    <row r="67" customFormat="false" ht="15" hidden="false" customHeight="false" outlineLevel="0" collapsed="false">
      <c r="A67" s="17" t="str">
        <f aca="false">IF(B67="","",ROW()-5)</f>
        <v/>
      </c>
      <c r="B67" s="29" t="str">
        <f aca="false">IF(BCC!B67="","",BCC!B67)</f>
        <v/>
      </c>
      <c r="C67" s="17" t="str">
        <f aca="false">IF(B67="","",BCC!C67)</f>
        <v/>
      </c>
      <c r="D67" s="17" t="str">
        <f aca="false">IF(B67="","",BCC!D67)</f>
        <v/>
      </c>
      <c r="E67" s="17" t="str">
        <f aca="false">IF(B67="","",IFERROR(INDEX(NV_HT,MATCH(B67,NV_MA,0)),""))</f>
        <v/>
      </c>
      <c r="F67" s="27" t="str">
        <f aca="false">IF(B67="","",IF(N(BCC!E67)&gt;0,BCC!E67,IF(AND(N(IFERROR(INDEX(NV_DG,MATCH(B67,NV_MA,0)),0))&gt;0,IFERROR(INDEX(NV_NHOM,MATCH(B67,NV_MA,0)),"")=D67),INDEX(NV_DG,MATCH(B67,NV_MA,0)),IFERROR(INDEX(NH_DG,MATCH(D67,NH_TEN,0)),0))))</f>
        <v/>
      </c>
      <c r="G67" s="27" t="str">
        <f aca="false">IF(B67="","",N(IFERROR(INDEX(NV_LT,MATCH(B67,NV_MA,0)),0)))</f>
        <v/>
      </c>
      <c r="H67" s="22" t="str">
        <f aca="false">IF(B67="","",BCC!AL67)</f>
        <v/>
      </c>
      <c r="I67" s="23" t="str">
        <f aca="false">IF(B67="","",BCC!AM67)</f>
        <v/>
      </c>
      <c r="J67" s="23" t="str">
        <f aca="false">IF(B67="","",BCC!AN67)</f>
        <v/>
      </c>
      <c r="K67" s="27" t="str">
        <f aca="false">IF(B67="","",IF(E67="Khoán tháng",G67,IF(E67="Lương tháng",G67/INDEX(NH_CHIA,MATCH(D67,NH_TEN,0))*MIN(I67,INDEX(NH_CHIA,MATCH(D67,NH_TEN,0))),I67*F67)))</f>
        <v/>
      </c>
      <c r="L67" s="27" t="str">
        <f aca="false">IF(B67="","",(I67-J67)*INDEX(NH_HTN,MATCH(D67,NH_TEN,0)))</f>
        <v/>
      </c>
      <c r="M67" s="27" t="str">
        <f aca="false">IF(B67="","",J67*INDEX(NH_HTD,MATCH(D67,NH_TEN,0)))</f>
        <v/>
      </c>
      <c r="N67" s="27" t="str">
        <f aca="false">IF(B67="","",I67*IF(N(IFERROR(INDEX(NV_AN,MATCH(B67,NV_MA,0)),0))&gt;0,INDEX(NV_AN,MATCH(B67,NV_MA,0)),INDEX(NH_AN,MATCH(D67,NH_TEN,0))))</f>
        <v/>
      </c>
      <c r="O67" s="27" t="str">
        <f aca="false">IF(B67="","",N(KT_NGUOI!AL67))</f>
        <v/>
      </c>
      <c r="P67" s="27" t="n">
        <f aca="false">IF(OR(B67="",COUNTIF($B$6:B67,B67)&gt;1),0,SUMPRODUCT(((KT_M1=B67)+(KT_M2=B67)+(KT_M3=B67))*(KT_LOAI="Đích danh")*KT_PHAN))</f>
        <v>0</v>
      </c>
      <c r="Q67" s="27" t="n">
        <f aca="false">IF(OR(B67="",COUNTIF($B$6:B67,B67)&gt;1),0,SUMIFS(DC_VND,DC_MA,$B67,DC_LOAI,"Cộng"))</f>
        <v>0</v>
      </c>
      <c r="R67" s="30" t="str">
        <f aca="false">IF(B67="","",SUM(K67:Q67))</f>
        <v/>
      </c>
      <c r="S67" s="27" t="n">
        <f aca="false">IF(OR(B67="",COUNTIF($B$6:B67,B67)&gt;1),0,SUMIFS(DC_VND,DC_MA,$B67,DC_LOAI,"Tạm ứng"))</f>
        <v>0</v>
      </c>
      <c r="T67" s="27" t="n">
        <f aca="false">IF(OR(B67="",COUNTIF($B$6:B67,B67)&gt;1),0,SUMIFS(DC_VND,DC_MA,$B67,DC_LOAI,"Trừ"))</f>
        <v>0</v>
      </c>
      <c r="U67" s="27" t="str">
        <f aca="false">IF(B67="","",ROUNDDOWN((R67-S67-T67)/INDEX(NH_LT,MATCH(D67,NH_TEN,0)),0)*INDEX(NH_LT,MATCH(D67,NH_TEN,0)))</f>
        <v/>
      </c>
      <c r="V67" s="30" t="str">
        <f aca="false">IF(B67="","",IF(COUNTIF($B$6:B67,B67)&gt;1,"",SUMIFS($U$6:$U$100,$B$6:$B$100,B67)))</f>
        <v/>
      </c>
      <c r="W67" s="16"/>
    </row>
    <row r="68" customFormat="false" ht="15" hidden="false" customHeight="false" outlineLevel="0" collapsed="false">
      <c r="A68" s="17" t="str">
        <f aca="false">IF(B68="","",ROW()-5)</f>
        <v/>
      </c>
      <c r="B68" s="29" t="str">
        <f aca="false">IF(BCC!B68="","",BCC!B68)</f>
        <v/>
      </c>
      <c r="C68" s="17" t="str">
        <f aca="false">IF(B68="","",BCC!C68)</f>
        <v/>
      </c>
      <c r="D68" s="17" t="str">
        <f aca="false">IF(B68="","",BCC!D68)</f>
        <v/>
      </c>
      <c r="E68" s="17" t="str">
        <f aca="false">IF(B68="","",IFERROR(INDEX(NV_HT,MATCH(B68,NV_MA,0)),""))</f>
        <v/>
      </c>
      <c r="F68" s="27" t="str">
        <f aca="false">IF(B68="","",IF(N(BCC!E68)&gt;0,BCC!E68,IF(AND(N(IFERROR(INDEX(NV_DG,MATCH(B68,NV_MA,0)),0))&gt;0,IFERROR(INDEX(NV_NHOM,MATCH(B68,NV_MA,0)),"")=D68),INDEX(NV_DG,MATCH(B68,NV_MA,0)),IFERROR(INDEX(NH_DG,MATCH(D68,NH_TEN,0)),0))))</f>
        <v/>
      </c>
      <c r="G68" s="27" t="str">
        <f aca="false">IF(B68="","",N(IFERROR(INDEX(NV_LT,MATCH(B68,NV_MA,0)),0)))</f>
        <v/>
      </c>
      <c r="H68" s="22" t="str">
        <f aca="false">IF(B68="","",BCC!AL68)</f>
        <v/>
      </c>
      <c r="I68" s="23" t="str">
        <f aca="false">IF(B68="","",BCC!AM68)</f>
        <v/>
      </c>
      <c r="J68" s="23" t="str">
        <f aca="false">IF(B68="","",BCC!AN68)</f>
        <v/>
      </c>
      <c r="K68" s="27" t="str">
        <f aca="false">IF(B68="","",IF(E68="Khoán tháng",G68,IF(E68="Lương tháng",G68/INDEX(NH_CHIA,MATCH(D68,NH_TEN,0))*MIN(I68,INDEX(NH_CHIA,MATCH(D68,NH_TEN,0))),I68*F68)))</f>
        <v/>
      </c>
      <c r="L68" s="27" t="str">
        <f aca="false">IF(B68="","",(I68-J68)*INDEX(NH_HTN,MATCH(D68,NH_TEN,0)))</f>
        <v/>
      </c>
      <c r="M68" s="27" t="str">
        <f aca="false">IF(B68="","",J68*INDEX(NH_HTD,MATCH(D68,NH_TEN,0)))</f>
        <v/>
      </c>
      <c r="N68" s="27" t="str">
        <f aca="false">IF(B68="","",I68*IF(N(IFERROR(INDEX(NV_AN,MATCH(B68,NV_MA,0)),0))&gt;0,INDEX(NV_AN,MATCH(B68,NV_MA,0)),INDEX(NH_AN,MATCH(D68,NH_TEN,0))))</f>
        <v/>
      </c>
      <c r="O68" s="27" t="str">
        <f aca="false">IF(B68="","",N(KT_NGUOI!AL68))</f>
        <v/>
      </c>
      <c r="P68" s="27" t="n">
        <f aca="false">IF(OR(B68="",COUNTIF($B$6:B68,B68)&gt;1),0,SUMPRODUCT(((KT_M1=B68)+(KT_M2=B68)+(KT_M3=B68))*(KT_LOAI="Đích danh")*KT_PHAN))</f>
        <v>0</v>
      </c>
      <c r="Q68" s="27" t="n">
        <f aca="false">IF(OR(B68="",COUNTIF($B$6:B68,B68)&gt;1),0,SUMIFS(DC_VND,DC_MA,$B68,DC_LOAI,"Cộng"))</f>
        <v>0</v>
      </c>
      <c r="R68" s="30" t="str">
        <f aca="false">IF(B68="","",SUM(K68:Q68))</f>
        <v/>
      </c>
      <c r="S68" s="27" t="n">
        <f aca="false">IF(OR(B68="",COUNTIF($B$6:B68,B68)&gt;1),0,SUMIFS(DC_VND,DC_MA,$B68,DC_LOAI,"Tạm ứng"))</f>
        <v>0</v>
      </c>
      <c r="T68" s="27" t="n">
        <f aca="false">IF(OR(B68="",COUNTIF($B$6:B68,B68)&gt;1),0,SUMIFS(DC_VND,DC_MA,$B68,DC_LOAI,"Trừ"))</f>
        <v>0</v>
      </c>
      <c r="U68" s="27" t="str">
        <f aca="false">IF(B68="","",ROUNDDOWN((R68-S68-T68)/INDEX(NH_LT,MATCH(D68,NH_TEN,0)),0)*INDEX(NH_LT,MATCH(D68,NH_TEN,0)))</f>
        <v/>
      </c>
      <c r="V68" s="30" t="str">
        <f aca="false">IF(B68="","",IF(COUNTIF($B$6:B68,B68)&gt;1,"",SUMIFS($U$6:$U$100,$B$6:$B$100,B68)))</f>
        <v/>
      </c>
      <c r="W68" s="16"/>
    </row>
    <row r="69" customFormat="false" ht="15" hidden="false" customHeight="false" outlineLevel="0" collapsed="false">
      <c r="A69" s="17" t="str">
        <f aca="false">IF(B69="","",ROW()-5)</f>
        <v/>
      </c>
      <c r="B69" s="29" t="str">
        <f aca="false">IF(BCC!B69="","",BCC!B69)</f>
        <v/>
      </c>
      <c r="C69" s="17" t="str">
        <f aca="false">IF(B69="","",BCC!C69)</f>
        <v/>
      </c>
      <c r="D69" s="17" t="str">
        <f aca="false">IF(B69="","",BCC!D69)</f>
        <v/>
      </c>
      <c r="E69" s="17" t="str">
        <f aca="false">IF(B69="","",IFERROR(INDEX(NV_HT,MATCH(B69,NV_MA,0)),""))</f>
        <v/>
      </c>
      <c r="F69" s="27" t="str">
        <f aca="false">IF(B69="","",IF(N(BCC!E69)&gt;0,BCC!E69,IF(AND(N(IFERROR(INDEX(NV_DG,MATCH(B69,NV_MA,0)),0))&gt;0,IFERROR(INDEX(NV_NHOM,MATCH(B69,NV_MA,0)),"")=D69),INDEX(NV_DG,MATCH(B69,NV_MA,0)),IFERROR(INDEX(NH_DG,MATCH(D69,NH_TEN,0)),0))))</f>
        <v/>
      </c>
      <c r="G69" s="27" t="str">
        <f aca="false">IF(B69="","",N(IFERROR(INDEX(NV_LT,MATCH(B69,NV_MA,0)),0)))</f>
        <v/>
      </c>
      <c r="H69" s="22" t="str">
        <f aca="false">IF(B69="","",BCC!AL69)</f>
        <v/>
      </c>
      <c r="I69" s="23" t="str">
        <f aca="false">IF(B69="","",BCC!AM69)</f>
        <v/>
      </c>
      <c r="J69" s="23" t="str">
        <f aca="false">IF(B69="","",BCC!AN69)</f>
        <v/>
      </c>
      <c r="K69" s="27" t="str">
        <f aca="false">IF(B69="","",IF(E69="Khoán tháng",G69,IF(E69="Lương tháng",G69/INDEX(NH_CHIA,MATCH(D69,NH_TEN,0))*MIN(I69,INDEX(NH_CHIA,MATCH(D69,NH_TEN,0))),I69*F69)))</f>
        <v/>
      </c>
      <c r="L69" s="27" t="str">
        <f aca="false">IF(B69="","",(I69-J69)*INDEX(NH_HTN,MATCH(D69,NH_TEN,0)))</f>
        <v/>
      </c>
      <c r="M69" s="27" t="str">
        <f aca="false">IF(B69="","",J69*INDEX(NH_HTD,MATCH(D69,NH_TEN,0)))</f>
        <v/>
      </c>
      <c r="N69" s="27" t="str">
        <f aca="false">IF(B69="","",I69*IF(N(IFERROR(INDEX(NV_AN,MATCH(B69,NV_MA,0)),0))&gt;0,INDEX(NV_AN,MATCH(B69,NV_MA,0)),INDEX(NH_AN,MATCH(D69,NH_TEN,0))))</f>
        <v/>
      </c>
      <c r="O69" s="27" t="str">
        <f aca="false">IF(B69="","",N(KT_NGUOI!AL69))</f>
        <v/>
      </c>
      <c r="P69" s="27" t="n">
        <f aca="false">IF(OR(B69="",COUNTIF($B$6:B69,B69)&gt;1),0,SUMPRODUCT(((KT_M1=B69)+(KT_M2=B69)+(KT_M3=B69))*(KT_LOAI="Đích danh")*KT_PHAN))</f>
        <v>0</v>
      </c>
      <c r="Q69" s="27" t="n">
        <f aca="false">IF(OR(B69="",COUNTIF($B$6:B69,B69)&gt;1),0,SUMIFS(DC_VND,DC_MA,$B69,DC_LOAI,"Cộng"))</f>
        <v>0</v>
      </c>
      <c r="R69" s="30" t="str">
        <f aca="false">IF(B69="","",SUM(K69:Q69))</f>
        <v/>
      </c>
      <c r="S69" s="27" t="n">
        <f aca="false">IF(OR(B69="",COUNTIF($B$6:B69,B69)&gt;1),0,SUMIFS(DC_VND,DC_MA,$B69,DC_LOAI,"Tạm ứng"))</f>
        <v>0</v>
      </c>
      <c r="T69" s="27" t="n">
        <f aca="false">IF(OR(B69="",COUNTIF($B$6:B69,B69)&gt;1),0,SUMIFS(DC_VND,DC_MA,$B69,DC_LOAI,"Trừ"))</f>
        <v>0</v>
      </c>
      <c r="U69" s="27" t="str">
        <f aca="false">IF(B69="","",ROUNDDOWN((R69-S69-T69)/INDEX(NH_LT,MATCH(D69,NH_TEN,0)),0)*INDEX(NH_LT,MATCH(D69,NH_TEN,0)))</f>
        <v/>
      </c>
      <c r="V69" s="30" t="str">
        <f aca="false">IF(B69="","",IF(COUNTIF($B$6:B69,B69)&gt;1,"",SUMIFS($U$6:$U$100,$B$6:$B$100,B69)))</f>
        <v/>
      </c>
      <c r="W69" s="16"/>
    </row>
    <row r="70" customFormat="false" ht="15" hidden="false" customHeight="false" outlineLevel="0" collapsed="false">
      <c r="A70" s="17" t="str">
        <f aca="false">IF(B70="","",ROW()-5)</f>
        <v/>
      </c>
      <c r="B70" s="29" t="str">
        <f aca="false">IF(BCC!B70="","",BCC!B70)</f>
        <v/>
      </c>
      <c r="C70" s="17" t="str">
        <f aca="false">IF(B70="","",BCC!C70)</f>
        <v/>
      </c>
      <c r="D70" s="17" t="str">
        <f aca="false">IF(B70="","",BCC!D70)</f>
        <v/>
      </c>
      <c r="E70" s="17" t="str">
        <f aca="false">IF(B70="","",IFERROR(INDEX(NV_HT,MATCH(B70,NV_MA,0)),""))</f>
        <v/>
      </c>
      <c r="F70" s="27" t="str">
        <f aca="false">IF(B70="","",IF(N(BCC!E70)&gt;0,BCC!E70,IF(AND(N(IFERROR(INDEX(NV_DG,MATCH(B70,NV_MA,0)),0))&gt;0,IFERROR(INDEX(NV_NHOM,MATCH(B70,NV_MA,0)),"")=D70),INDEX(NV_DG,MATCH(B70,NV_MA,0)),IFERROR(INDEX(NH_DG,MATCH(D70,NH_TEN,0)),0))))</f>
        <v/>
      </c>
      <c r="G70" s="27" t="str">
        <f aca="false">IF(B70="","",N(IFERROR(INDEX(NV_LT,MATCH(B70,NV_MA,0)),0)))</f>
        <v/>
      </c>
      <c r="H70" s="22" t="str">
        <f aca="false">IF(B70="","",BCC!AL70)</f>
        <v/>
      </c>
      <c r="I70" s="23" t="str">
        <f aca="false">IF(B70="","",BCC!AM70)</f>
        <v/>
      </c>
      <c r="J70" s="23" t="str">
        <f aca="false">IF(B70="","",BCC!AN70)</f>
        <v/>
      </c>
      <c r="K70" s="27" t="str">
        <f aca="false">IF(B70="","",IF(E70="Khoán tháng",G70,IF(E70="Lương tháng",G70/INDEX(NH_CHIA,MATCH(D70,NH_TEN,0))*MIN(I70,INDEX(NH_CHIA,MATCH(D70,NH_TEN,0))),I70*F70)))</f>
        <v/>
      </c>
      <c r="L70" s="27" t="str">
        <f aca="false">IF(B70="","",(I70-J70)*INDEX(NH_HTN,MATCH(D70,NH_TEN,0)))</f>
        <v/>
      </c>
      <c r="M70" s="27" t="str">
        <f aca="false">IF(B70="","",J70*INDEX(NH_HTD,MATCH(D70,NH_TEN,0)))</f>
        <v/>
      </c>
      <c r="N70" s="27" t="str">
        <f aca="false">IF(B70="","",I70*IF(N(IFERROR(INDEX(NV_AN,MATCH(B70,NV_MA,0)),0))&gt;0,INDEX(NV_AN,MATCH(B70,NV_MA,0)),INDEX(NH_AN,MATCH(D70,NH_TEN,0))))</f>
        <v/>
      </c>
      <c r="O70" s="27" t="str">
        <f aca="false">IF(B70="","",N(KT_NGUOI!AL70))</f>
        <v/>
      </c>
      <c r="P70" s="27" t="n">
        <f aca="false">IF(OR(B70="",COUNTIF($B$6:B70,B70)&gt;1),0,SUMPRODUCT(((KT_M1=B70)+(KT_M2=B70)+(KT_M3=B70))*(KT_LOAI="Đích danh")*KT_PHAN))</f>
        <v>0</v>
      </c>
      <c r="Q70" s="27" t="n">
        <f aca="false">IF(OR(B70="",COUNTIF($B$6:B70,B70)&gt;1),0,SUMIFS(DC_VND,DC_MA,$B70,DC_LOAI,"Cộng"))</f>
        <v>0</v>
      </c>
      <c r="R70" s="30" t="str">
        <f aca="false">IF(B70="","",SUM(K70:Q70))</f>
        <v/>
      </c>
      <c r="S70" s="27" t="n">
        <f aca="false">IF(OR(B70="",COUNTIF($B$6:B70,B70)&gt;1),0,SUMIFS(DC_VND,DC_MA,$B70,DC_LOAI,"Tạm ứng"))</f>
        <v>0</v>
      </c>
      <c r="T70" s="27" t="n">
        <f aca="false">IF(OR(B70="",COUNTIF($B$6:B70,B70)&gt;1),0,SUMIFS(DC_VND,DC_MA,$B70,DC_LOAI,"Trừ"))</f>
        <v>0</v>
      </c>
      <c r="U70" s="27" t="str">
        <f aca="false">IF(B70="","",ROUNDDOWN((R70-S70-T70)/INDEX(NH_LT,MATCH(D70,NH_TEN,0)),0)*INDEX(NH_LT,MATCH(D70,NH_TEN,0)))</f>
        <v/>
      </c>
      <c r="V70" s="30" t="str">
        <f aca="false">IF(B70="","",IF(COUNTIF($B$6:B70,B70)&gt;1,"",SUMIFS($U$6:$U$100,$B$6:$B$100,B70)))</f>
        <v/>
      </c>
      <c r="W70" s="16"/>
    </row>
    <row r="71" customFormat="false" ht="15" hidden="false" customHeight="false" outlineLevel="0" collapsed="false">
      <c r="A71" s="17" t="str">
        <f aca="false">IF(B71="","",ROW()-5)</f>
        <v/>
      </c>
      <c r="B71" s="29" t="str">
        <f aca="false">IF(BCC!B71="","",BCC!B71)</f>
        <v/>
      </c>
      <c r="C71" s="17" t="str">
        <f aca="false">IF(B71="","",BCC!C71)</f>
        <v/>
      </c>
      <c r="D71" s="17" t="str">
        <f aca="false">IF(B71="","",BCC!D71)</f>
        <v/>
      </c>
      <c r="E71" s="17" t="str">
        <f aca="false">IF(B71="","",IFERROR(INDEX(NV_HT,MATCH(B71,NV_MA,0)),""))</f>
        <v/>
      </c>
      <c r="F71" s="27" t="str">
        <f aca="false">IF(B71="","",IF(N(BCC!E71)&gt;0,BCC!E71,IF(AND(N(IFERROR(INDEX(NV_DG,MATCH(B71,NV_MA,0)),0))&gt;0,IFERROR(INDEX(NV_NHOM,MATCH(B71,NV_MA,0)),"")=D71),INDEX(NV_DG,MATCH(B71,NV_MA,0)),IFERROR(INDEX(NH_DG,MATCH(D71,NH_TEN,0)),0))))</f>
        <v/>
      </c>
      <c r="G71" s="27" t="str">
        <f aca="false">IF(B71="","",N(IFERROR(INDEX(NV_LT,MATCH(B71,NV_MA,0)),0)))</f>
        <v/>
      </c>
      <c r="H71" s="22" t="str">
        <f aca="false">IF(B71="","",BCC!AL71)</f>
        <v/>
      </c>
      <c r="I71" s="23" t="str">
        <f aca="false">IF(B71="","",BCC!AM71)</f>
        <v/>
      </c>
      <c r="J71" s="23" t="str">
        <f aca="false">IF(B71="","",BCC!AN71)</f>
        <v/>
      </c>
      <c r="K71" s="27" t="str">
        <f aca="false">IF(B71="","",IF(E71="Khoán tháng",G71,IF(E71="Lương tháng",G71/INDEX(NH_CHIA,MATCH(D71,NH_TEN,0))*MIN(I71,INDEX(NH_CHIA,MATCH(D71,NH_TEN,0))),I71*F71)))</f>
        <v/>
      </c>
      <c r="L71" s="27" t="str">
        <f aca="false">IF(B71="","",(I71-J71)*INDEX(NH_HTN,MATCH(D71,NH_TEN,0)))</f>
        <v/>
      </c>
      <c r="M71" s="27" t="str">
        <f aca="false">IF(B71="","",J71*INDEX(NH_HTD,MATCH(D71,NH_TEN,0)))</f>
        <v/>
      </c>
      <c r="N71" s="27" t="str">
        <f aca="false">IF(B71="","",I71*IF(N(IFERROR(INDEX(NV_AN,MATCH(B71,NV_MA,0)),0))&gt;0,INDEX(NV_AN,MATCH(B71,NV_MA,0)),INDEX(NH_AN,MATCH(D71,NH_TEN,0))))</f>
        <v/>
      </c>
      <c r="O71" s="27" t="str">
        <f aca="false">IF(B71="","",N(KT_NGUOI!AL71))</f>
        <v/>
      </c>
      <c r="P71" s="27" t="n">
        <f aca="false">IF(OR(B71="",COUNTIF($B$6:B71,B71)&gt;1),0,SUMPRODUCT(((KT_M1=B71)+(KT_M2=B71)+(KT_M3=B71))*(KT_LOAI="Đích danh")*KT_PHAN))</f>
        <v>0</v>
      </c>
      <c r="Q71" s="27" t="n">
        <f aca="false">IF(OR(B71="",COUNTIF($B$6:B71,B71)&gt;1),0,SUMIFS(DC_VND,DC_MA,$B71,DC_LOAI,"Cộng"))</f>
        <v>0</v>
      </c>
      <c r="R71" s="30" t="str">
        <f aca="false">IF(B71="","",SUM(K71:Q71))</f>
        <v/>
      </c>
      <c r="S71" s="27" t="n">
        <f aca="false">IF(OR(B71="",COUNTIF($B$6:B71,B71)&gt;1),0,SUMIFS(DC_VND,DC_MA,$B71,DC_LOAI,"Tạm ứng"))</f>
        <v>0</v>
      </c>
      <c r="T71" s="27" t="n">
        <f aca="false">IF(OR(B71="",COUNTIF($B$6:B71,B71)&gt;1),0,SUMIFS(DC_VND,DC_MA,$B71,DC_LOAI,"Trừ"))</f>
        <v>0</v>
      </c>
      <c r="U71" s="27" t="str">
        <f aca="false">IF(B71="","",ROUNDDOWN((R71-S71-T71)/INDEX(NH_LT,MATCH(D71,NH_TEN,0)),0)*INDEX(NH_LT,MATCH(D71,NH_TEN,0)))</f>
        <v/>
      </c>
      <c r="V71" s="30" t="str">
        <f aca="false">IF(B71="","",IF(COUNTIF($B$6:B71,B71)&gt;1,"",SUMIFS($U$6:$U$100,$B$6:$B$100,B71)))</f>
        <v/>
      </c>
      <c r="W71" s="16"/>
    </row>
    <row r="72" customFormat="false" ht="15" hidden="false" customHeight="false" outlineLevel="0" collapsed="false">
      <c r="A72" s="17" t="str">
        <f aca="false">IF(B72="","",ROW()-5)</f>
        <v/>
      </c>
      <c r="B72" s="29" t="str">
        <f aca="false">IF(BCC!B72="","",BCC!B72)</f>
        <v/>
      </c>
      <c r="C72" s="17" t="str">
        <f aca="false">IF(B72="","",BCC!C72)</f>
        <v/>
      </c>
      <c r="D72" s="17" t="str">
        <f aca="false">IF(B72="","",BCC!D72)</f>
        <v/>
      </c>
      <c r="E72" s="17" t="str">
        <f aca="false">IF(B72="","",IFERROR(INDEX(NV_HT,MATCH(B72,NV_MA,0)),""))</f>
        <v/>
      </c>
      <c r="F72" s="27" t="str">
        <f aca="false">IF(B72="","",IF(N(BCC!E72)&gt;0,BCC!E72,IF(AND(N(IFERROR(INDEX(NV_DG,MATCH(B72,NV_MA,0)),0))&gt;0,IFERROR(INDEX(NV_NHOM,MATCH(B72,NV_MA,0)),"")=D72),INDEX(NV_DG,MATCH(B72,NV_MA,0)),IFERROR(INDEX(NH_DG,MATCH(D72,NH_TEN,0)),0))))</f>
        <v/>
      </c>
      <c r="G72" s="27" t="str">
        <f aca="false">IF(B72="","",N(IFERROR(INDEX(NV_LT,MATCH(B72,NV_MA,0)),0)))</f>
        <v/>
      </c>
      <c r="H72" s="22" t="str">
        <f aca="false">IF(B72="","",BCC!AL72)</f>
        <v/>
      </c>
      <c r="I72" s="23" t="str">
        <f aca="false">IF(B72="","",BCC!AM72)</f>
        <v/>
      </c>
      <c r="J72" s="23" t="str">
        <f aca="false">IF(B72="","",BCC!AN72)</f>
        <v/>
      </c>
      <c r="K72" s="27" t="str">
        <f aca="false">IF(B72="","",IF(E72="Khoán tháng",G72,IF(E72="Lương tháng",G72/INDEX(NH_CHIA,MATCH(D72,NH_TEN,0))*MIN(I72,INDEX(NH_CHIA,MATCH(D72,NH_TEN,0))),I72*F72)))</f>
        <v/>
      </c>
      <c r="L72" s="27" t="str">
        <f aca="false">IF(B72="","",(I72-J72)*INDEX(NH_HTN,MATCH(D72,NH_TEN,0)))</f>
        <v/>
      </c>
      <c r="M72" s="27" t="str">
        <f aca="false">IF(B72="","",J72*INDEX(NH_HTD,MATCH(D72,NH_TEN,0)))</f>
        <v/>
      </c>
      <c r="N72" s="27" t="str">
        <f aca="false">IF(B72="","",I72*IF(N(IFERROR(INDEX(NV_AN,MATCH(B72,NV_MA,0)),0))&gt;0,INDEX(NV_AN,MATCH(B72,NV_MA,0)),INDEX(NH_AN,MATCH(D72,NH_TEN,0))))</f>
        <v/>
      </c>
      <c r="O72" s="27" t="str">
        <f aca="false">IF(B72="","",N(KT_NGUOI!AL72))</f>
        <v/>
      </c>
      <c r="P72" s="27" t="n">
        <f aca="false">IF(OR(B72="",COUNTIF($B$6:B72,B72)&gt;1),0,SUMPRODUCT(((KT_M1=B72)+(KT_M2=B72)+(KT_M3=B72))*(KT_LOAI="Đích danh")*KT_PHAN))</f>
        <v>0</v>
      </c>
      <c r="Q72" s="27" t="n">
        <f aca="false">IF(OR(B72="",COUNTIF($B$6:B72,B72)&gt;1),0,SUMIFS(DC_VND,DC_MA,$B72,DC_LOAI,"Cộng"))</f>
        <v>0</v>
      </c>
      <c r="R72" s="30" t="str">
        <f aca="false">IF(B72="","",SUM(K72:Q72))</f>
        <v/>
      </c>
      <c r="S72" s="27" t="n">
        <f aca="false">IF(OR(B72="",COUNTIF($B$6:B72,B72)&gt;1),0,SUMIFS(DC_VND,DC_MA,$B72,DC_LOAI,"Tạm ứng"))</f>
        <v>0</v>
      </c>
      <c r="T72" s="27" t="n">
        <f aca="false">IF(OR(B72="",COUNTIF($B$6:B72,B72)&gt;1),0,SUMIFS(DC_VND,DC_MA,$B72,DC_LOAI,"Trừ"))</f>
        <v>0</v>
      </c>
      <c r="U72" s="27" t="str">
        <f aca="false">IF(B72="","",ROUNDDOWN((R72-S72-T72)/INDEX(NH_LT,MATCH(D72,NH_TEN,0)),0)*INDEX(NH_LT,MATCH(D72,NH_TEN,0)))</f>
        <v/>
      </c>
      <c r="V72" s="30" t="str">
        <f aca="false">IF(B72="","",IF(COUNTIF($B$6:B72,B72)&gt;1,"",SUMIFS($U$6:$U$100,$B$6:$B$100,B72)))</f>
        <v/>
      </c>
      <c r="W72" s="16"/>
    </row>
    <row r="73" customFormat="false" ht="15" hidden="false" customHeight="false" outlineLevel="0" collapsed="false">
      <c r="A73" s="17" t="str">
        <f aca="false">IF(B73="","",ROW()-5)</f>
        <v/>
      </c>
      <c r="B73" s="29" t="str">
        <f aca="false">IF(BCC!B73="","",BCC!B73)</f>
        <v/>
      </c>
      <c r="C73" s="17" t="str">
        <f aca="false">IF(B73="","",BCC!C73)</f>
        <v/>
      </c>
      <c r="D73" s="17" t="str">
        <f aca="false">IF(B73="","",BCC!D73)</f>
        <v/>
      </c>
      <c r="E73" s="17" t="str">
        <f aca="false">IF(B73="","",IFERROR(INDEX(NV_HT,MATCH(B73,NV_MA,0)),""))</f>
        <v/>
      </c>
      <c r="F73" s="27" t="str">
        <f aca="false">IF(B73="","",IF(N(BCC!E73)&gt;0,BCC!E73,IF(AND(N(IFERROR(INDEX(NV_DG,MATCH(B73,NV_MA,0)),0))&gt;0,IFERROR(INDEX(NV_NHOM,MATCH(B73,NV_MA,0)),"")=D73),INDEX(NV_DG,MATCH(B73,NV_MA,0)),IFERROR(INDEX(NH_DG,MATCH(D73,NH_TEN,0)),0))))</f>
        <v/>
      </c>
      <c r="G73" s="27" t="str">
        <f aca="false">IF(B73="","",N(IFERROR(INDEX(NV_LT,MATCH(B73,NV_MA,0)),0)))</f>
        <v/>
      </c>
      <c r="H73" s="22" t="str">
        <f aca="false">IF(B73="","",BCC!AL73)</f>
        <v/>
      </c>
      <c r="I73" s="23" t="str">
        <f aca="false">IF(B73="","",BCC!AM73)</f>
        <v/>
      </c>
      <c r="J73" s="23" t="str">
        <f aca="false">IF(B73="","",BCC!AN73)</f>
        <v/>
      </c>
      <c r="K73" s="27" t="str">
        <f aca="false">IF(B73="","",IF(E73="Khoán tháng",G73,IF(E73="Lương tháng",G73/INDEX(NH_CHIA,MATCH(D73,NH_TEN,0))*MIN(I73,INDEX(NH_CHIA,MATCH(D73,NH_TEN,0))),I73*F73)))</f>
        <v/>
      </c>
      <c r="L73" s="27" t="str">
        <f aca="false">IF(B73="","",(I73-J73)*INDEX(NH_HTN,MATCH(D73,NH_TEN,0)))</f>
        <v/>
      </c>
      <c r="M73" s="27" t="str">
        <f aca="false">IF(B73="","",J73*INDEX(NH_HTD,MATCH(D73,NH_TEN,0)))</f>
        <v/>
      </c>
      <c r="N73" s="27" t="str">
        <f aca="false">IF(B73="","",I73*IF(N(IFERROR(INDEX(NV_AN,MATCH(B73,NV_MA,0)),0))&gt;0,INDEX(NV_AN,MATCH(B73,NV_MA,0)),INDEX(NH_AN,MATCH(D73,NH_TEN,0))))</f>
        <v/>
      </c>
      <c r="O73" s="27" t="str">
        <f aca="false">IF(B73="","",N(KT_NGUOI!AL73))</f>
        <v/>
      </c>
      <c r="P73" s="27" t="n">
        <f aca="false">IF(OR(B73="",COUNTIF($B$6:B73,B73)&gt;1),0,SUMPRODUCT(((KT_M1=B73)+(KT_M2=B73)+(KT_M3=B73))*(KT_LOAI="Đích danh")*KT_PHAN))</f>
        <v>0</v>
      </c>
      <c r="Q73" s="27" t="n">
        <f aca="false">IF(OR(B73="",COUNTIF($B$6:B73,B73)&gt;1),0,SUMIFS(DC_VND,DC_MA,$B73,DC_LOAI,"Cộng"))</f>
        <v>0</v>
      </c>
      <c r="R73" s="30" t="str">
        <f aca="false">IF(B73="","",SUM(K73:Q73))</f>
        <v/>
      </c>
      <c r="S73" s="27" t="n">
        <f aca="false">IF(OR(B73="",COUNTIF($B$6:B73,B73)&gt;1),0,SUMIFS(DC_VND,DC_MA,$B73,DC_LOAI,"Tạm ứng"))</f>
        <v>0</v>
      </c>
      <c r="T73" s="27" t="n">
        <f aca="false">IF(OR(B73="",COUNTIF($B$6:B73,B73)&gt;1),0,SUMIFS(DC_VND,DC_MA,$B73,DC_LOAI,"Trừ"))</f>
        <v>0</v>
      </c>
      <c r="U73" s="27" t="str">
        <f aca="false">IF(B73="","",ROUNDDOWN((R73-S73-T73)/INDEX(NH_LT,MATCH(D73,NH_TEN,0)),0)*INDEX(NH_LT,MATCH(D73,NH_TEN,0)))</f>
        <v/>
      </c>
      <c r="V73" s="30" t="str">
        <f aca="false">IF(B73="","",IF(COUNTIF($B$6:B73,B73)&gt;1,"",SUMIFS($U$6:$U$100,$B$6:$B$100,B73)))</f>
        <v/>
      </c>
      <c r="W73" s="16"/>
    </row>
    <row r="74" customFormat="false" ht="15" hidden="false" customHeight="false" outlineLevel="0" collapsed="false">
      <c r="A74" s="17" t="str">
        <f aca="false">IF(B74="","",ROW()-5)</f>
        <v/>
      </c>
      <c r="B74" s="29" t="str">
        <f aca="false">IF(BCC!B74="","",BCC!B74)</f>
        <v/>
      </c>
      <c r="C74" s="17" t="str">
        <f aca="false">IF(B74="","",BCC!C74)</f>
        <v/>
      </c>
      <c r="D74" s="17" t="str">
        <f aca="false">IF(B74="","",BCC!D74)</f>
        <v/>
      </c>
      <c r="E74" s="17" t="str">
        <f aca="false">IF(B74="","",IFERROR(INDEX(NV_HT,MATCH(B74,NV_MA,0)),""))</f>
        <v/>
      </c>
      <c r="F74" s="27" t="str">
        <f aca="false">IF(B74="","",IF(N(BCC!E74)&gt;0,BCC!E74,IF(AND(N(IFERROR(INDEX(NV_DG,MATCH(B74,NV_MA,0)),0))&gt;0,IFERROR(INDEX(NV_NHOM,MATCH(B74,NV_MA,0)),"")=D74),INDEX(NV_DG,MATCH(B74,NV_MA,0)),IFERROR(INDEX(NH_DG,MATCH(D74,NH_TEN,0)),0))))</f>
        <v/>
      </c>
      <c r="G74" s="27" t="str">
        <f aca="false">IF(B74="","",N(IFERROR(INDEX(NV_LT,MATCH(B74,NV_MA,0)),0)))</f>
        <v/>
      </c>
      <c r="H74" s="22" t="str">
        <f aca="false">IF(B74="","",BCC!AL74)</f>
        <v/>
      </c>
      <c r="I74" s="23" t="str">
        <f aca="false">IF(B74="","",BCC!AM74)</f>
        <v/>
      </c>
      <c r="J74" s="23" t="str">
        <f aca="false">IF(B74="","",BCC!AN74)</f>
        <v/>
      </c>
      <c r="K74" s="27" t="str">
        <f aca="false">IF(B74="","",IF(E74="Khoán tháng",G74,IF(E74="Lương tháng",G74/INDEX(NH_CHIA,MATCH(D74,NH_TEN,0))*MIN(I74,INDEX(NH_CHIA,MATCH(D74,NH_TEN,0))),I74*F74)))</f>
        <v/>
      </c>
      <c r="L74" s="27" t="str">
        <f aca="false">IF(B74="","",(I74-J74)*INDEX(NH_HTN,MATCH(D74,NH_TEN,0)))</f>
        <v/>
      </c>
      <c r="M74" s="27" t="str">
        <f aca="false">IF(B74="","",J74*INDEX(NH_HTD,MATCH(D74,NH_TEN,0)))</f>
        <v/>
      </c>
      <c r="N74" s="27" t="str">
        <f aca="false">IF(B74="","",I74*IF(N(IFERROR(INDEX(NV_AN,MATCH(B74,NV_MA,0)),0))&gt;0,INDEX(NV_AN,MATCH(B74,NV_MA,0)),INDEX(NH_AN,MATCH(D74,NH_TEN,0))))</f>
        <v/>
      </c>
      <c r="O74" s="27" t="str">
        <f aca="false">IF(B74="","",N(KT_NGUOI!AL74))</f>
        <v/>
      </c>
      <c r="P74" s="27" t="n">
        <f aca="false">IF(OR(B74="",COUNTIF($B$6:B74,B74)&gt;1),0,SUMPRODUCT(((KT_M1=B74)+(KT_M2=B74)+(KT_M3=B74))*(KT_LOAI="Đích danh")*KT_PHAN))</f>
        <v>0</v>
      </c>
      <c r="Q74" s="27" t="n">
        <f aca="false">IF(OR(B74="",COUNTIF($B$6:B74,B74)&gt;1),0,SUMIFS(DC_VND,DC_MA,$B74,DC_LOAI,"Cộng"))</f>
        <v>0</v>
      </c>
      <c r="R74" s="30" t="str">
        <f aca="false">IF(B74="","",SUM(K74:Q74))</f>
        <v/>
      </c>
      <c r="S74" s="27" t="n">
        <f aca="false">IF(OR(B74="",COUNTIF($B$6:B74,B74)&gt;1),0,SUMIFS(DC_VND,DC_MA,$B74,DC_LOAI,"Tạm ứng"))</f>
        <v>0</v>
      </c>
      <c r="T74" s="27" t="n">
        <f aca="false">IF(OR(B74="",COUNTIF($B$6:B74,B74)&gt;1),0,SUMIFS(DC_VND,DC_MA,$B74,DC_LOAI,"Trừ"))</f>
        <v>0</v>
      </c>
      <c r="U74" s="27" t="str">
        <f aca="false">IF(B74="","",ROUNDDOWN((R74-S74-T74)/INDEX(NH_LT,MATCH(D74,NH_TEN,0)),0)*INDEX(NH_LT,MATCH(D74,NH_TEN,0)))</f>
        <v/>
      </c>
      <c r="V74" s="30" t="str">
        <f aca="false">IF(B74="","",IF(COUNTIF($B$6:B74,B74)&gt;1,"",SUMIFS($U$6:$U$100,$B$6:$B$100,B74)))</f>
        <v/>
      </c>
      <c r="W74" s="16"/>
    </row>
    <row r="75" customFormat="false" ht="15" hidden="false" customHeight="false" outlineLevel="0" collapsed="false">
      <c r="A75" s="17" t="str">
        <f aca="false">IF(B75="","",ROW()-5)</f>
        <v/>
      </c>
      <c r="B75" s="29" t="str">
        <f aca="false">IF(BCC!B75="","",BCC!B75)</f>
        <v/>
      </c>
      <c r="C75" s="17" t="str">
        <f aca="false">IF(B75="","",BCC!C75)</f>
        <v/>
      </c>
      <c r="D75" s="17" t="str">
        <f aca="false">IF(B75="","",BCC!D75)</f>
        <v/>
      </c>
      <c r="E75" s="17" t="str">
        <f aca="false">IF(B75="","",IFERROR(INDEX(NV_HT,MATCH(B75,NV_MA,0)),""))</f>
        <v/>
      </c>
      <c r="F75" s="27" t="str">
        <f aca="false">IF(B75="","",IF(N(BCC!E75)&gt;0,BCC!E75,IF(AND(N(IFERROR(INDEX(NV_DG,MATCH(B75,NV_MA,0)),0))&gt;0,IFERROR(INDEX(NV_NHOM,MATCH(B75,NV_MA,0)),"")=D75),INDEX(NV_DG,MATCH(B75,NV_MA,0)),IFERROR(INDEX(NH_DG,MATCH(D75,NH_TEN,0)),0))))</f>
        <v/>
      </c>
      <c r="G75" s="27" t="str">
        <f aca="false">IF(B75="","",N(IFERROR(INDEX(NV_LT,MATCH(B75,NV_MA,0)),0)))</f>
        <v/>
      </c>
      <c r="H75" s="22" t="str">
        <f aca="false">IF(B75="","",BCC!AL75)</f>
        <v/>
      </c>
      <c r="I75" s="23" t="str">
        <f aca="false">IF(B75="","",BCC!AM75)</f>
        <v/>
      </c>
      <c r="J75" s="23" t="str">
        <f aca="false">IF(B75="","",BCC!AN75)</f>
        <v/>
      </c>
      <c r="K75" s="27" t="str">
        <f aca="false">IF(B75="","",IF(E75="Khoán tháng",G75,IF(E75="Lương tháng",G75/INDEX(NH_CHIA,MATCH(D75,NH_TEN,0))*MIN(I75,INDEX(NH_CHIA,MATCH(D75,NH_TEN,0))),I75*F75)))</f>
        <v/>
      </c>
      <c r="L75" s="27" t="str">
        <f aca="false">IF(B75="","",(I75-J75)*INDEX(NH_HTN,MATCH(D75,NH_TEN,0)))</f>
        <v/>
      </c>
      <c r="M75" s="27" t="str">
        <f aca="false">IF(B75="","",J75*INDEX(NH_HTD,MATCH(D75,NH_TEN,0)))</f>
        <v/>
      </c>
      <c r="N75" s="27" t="str">
        <f aca="false">IF(B75="","",I75*IF(N(IFERROR(INDEX(NV_AN,MATCH(B75,NV_MA,0)),0))&gt;0,INDEX(NV_AN,MATCH(B75,NV_MA,0)),INDEX(NH_AN,MATCH(D75,NH_TEN,0))))</f>
        <v/>
      </c>
      <c r="O75" s="27" t="str">
        <f aca="false">IF(B75="","",N(KT_NGUOI!AL75))</f>
        <v/>
      </c>
      <c r="P75" s="27" t="n">
        <f aca="false">IF(OR(B75="",COUNTIF($B$6:B75,B75)&gt;1),0,SUMPRODUCT(((KT_M1=B75)+(KT_M2=B75)+(KT_M3=B75))*(KT_LOAI="Đích danh")*KT_PHAN))</f>
        <v>0</v>
      </c>
      <c r="Q75" s="27" t="n">
        <f aca="false">IF(OR(B75="",COUNTIF($B$6:B75,B75)&gt;1),0,SUMIFS(DC_VND,DC_MA,$B75,DC_LOAI,"Cộng"))</f>
        <v>0</v>
      </c>
      <c r="R75" s="30" t="str">
        <f aca="false">IF(B75="","",SUM(K75:Q75))</f>
        <v/>
      </c>
      <c r="S75" s="27" t="n">
        <f aca="false">IF(OR(B75="",COUNTIF($B$6:B75,B75)&gt;1),0,SUMIFS(DC_VND,DC_MA,$B75,DC_LOAI,"Tạm ứng"))</f>
        <v>0</v>
      </c>
      <c r="T75" s="27" t="n">
        <f aca="false">IF(OR(B75="",COUNTIF($B$6:B75,B75)&gt;1),0,SUMIFS(DC_VND,DC_MA,$B75,DC_LOAI,"Trừ"))</f>
        <v>0</v>
      </c>
      <c r="U75" s="27" t="str">
        <f aca="false">IF(B75="","",ROUNDDOWN((R75-S75-T75)/INDEX(NH_LT,MATCH(D75,NH_TEN,0)),0)*INDEX(NH_LT,MATCH(D75,NH_TEN,0)))</f>
        <v/>
      </c>
      <c r="V75" s="30" t="str">
        <f aca="false">IF(B75="","",IF(COUNTIF($B$6:B75,B75)&gt;1,"",SUMIFS($U$6:$U$100,$B$6:$B$100,B75)))</f>
        <v/>
      </c>
      <c r="W75" s="16"/>
    </row>
    <row r="76" customFormat="false" ht="15" hidden="false" customHeight="false" outlineLevel="0" collapsed="false">
      <c r="A76" s="17" t="str">
        <f aca="false">IF(B76="","",ROW()-5)</f>
        <v/>
      </c>
      <c r="B76" s="29" t="str">
        <f aca="false">IF(BCC!B76="","",BCC!B76)</f>
        <v/>
      </c>
      <c r="C76" s="17" t="str">
        <f aca="false">IF(B76="","",BCC!C76)</f>
        <v/>
      </c>
      <c r="D76" s="17" t="str">
        <f aca="false">IF(B76="","",BCC!D76)</f>
        <v/>
      </c>
      <c r="E76" s="17" t="str">
        <f aca="false">IF(B76="","",IFERROR(INDEX(NV_HT,MATCH(B76,NV_MA,0)),""))</f>
        <v/>
      </c>
      <c r="F76" s="27" t="str">
        <f aca="false">IF(B76="","",IF(N(BCC!E76)&gt;0,BCC!E76,IF(AND(N(IFERROR(INDEX(NV_DG,MATCH(B76,NV_MA,0)),0))&gt;0,IFERROR(INDEX(NV_NHOM,MATCH(B76,NV_MA,0)),"")=D76),INDEX(NV_DG,MATCH(B76,NV_MA,0)),IFERROR(INDEX(NH_DG,MATCH(D76,NH_TEN,0)),0))))</f>
        <v/>
      </c>
      <c r="G76" s="27" t="str">
        <f aca="false">IF(B76="","",N(IFERROR(INDEX(NV_LT,MATCH(B76,NV_MA,0)),0)))</f>
        <v/>
      </c>
      <c r="H76" s="22" t="str">
        <f aca="false">IF(B76="","",BCC!AL76)</f>
        <v/>
      </c>
      <c r="I76" s="23" t="str">
        <f aca="false">IF(B76="","",BCC!AM76)</f>
        <v/>
      </c>
      <c r="J76" s="23" t="str">
        <f aca="false">IF(B76="","",BCC!AN76)</f>
        <v/>
      </c>
      <c r="K76" s="27" t="str">
        <f aca="false">IF(B76="","",IF(E76="Khoán tháng",G76,IF(E76="Lương tháng",G76/INDEX(NH_CHIA,MATCH(D76,NH_TEN,0))*MIN(I76,INDEX(NH_CHIA,MATCH(D76,NH_TEN,0))),I76*F76)))</f>
        <v/>
      </c>
      <c r="L76" s="27" t="str">
        <f aca="false">IF(B76="","",(I76-J76)*INDEX(NH_HTN,MATCH(D76,NH_TEN,0)))</f>
        <v/>
      </c>
      <c r="M76" s="27" t="str">
        <f aca="false">IF(B76="","",J76*INDEX(NH_HTD,MATCH(D76,NH_TEN,0)))</f>
        <v/>
      </c>
      <c r="N76" s="27" t="str">
        <f aca="false">IF(B76="","",I76*IF(N(IFERROR(INDEX(NV_AN,MATCH(B76,NV_MA,0)),0))&gt;0,INDEX(NV_AN,MATCH(B76,NV_MA,0)),INDEX(NH_AN,MATCH(D76,NH_TEN,0))))</f>
        <v/>
      </c>
      <c r="O76" s="27" t="str">
        <f aca="false">IF(B76="","",N(KT_NGUOI!AL76))</f>
        <v/>
      </c>
      <c r="P76" s="27" t="n">
        <f aca="false">IF(OR(B76="",COUNTIF($B$6:B76,B76)&gt;1),0,SUMPRODUCT(((KT_M1=B76)+(KT_M2=B76)+(KT_M3=B76))*(KT_LOAI="Đích danh")*KT_PHAN))</f>
        <v>0</v>
      </c>
      <c r="Q76" s="27" t="n">
        <f aca="false">IF(OR(B76="",COUNTIF($B$6:B76,B76)&gt;1),0,SUMIFS(DC_VND,DC_MA,$B76,DC_LOAI,"Cộng"))</f>
        <v>0</v>
      </c>
      <c r="R76" s="30" t="str">
        <f aca="false">IF(B76="","",SUM(K76:Q76))</f>
        <v/>
      </c>
      <c r="S76" s="27" t="n">
        <f aca="false">IF(OR(B76="",COUNTIF($B$6:B76,B76)&gt;1),0,SUMIFS(DC_VND,DC_MA,$B76,DC_LOAI,"Tạm ứng"))</f>
        <v>0</v>
      </c>
      <c r="T76" s="27" t="n">
        <f aca="false">IF(OR(B76="",COUNTIF($B$6:B76,B76)&gt;1),0,SUMIFS(DC_VND,DC_MA,$B76,DC_LOAI,"Trừ"))</f>
        <v>0</v>
      </c>
      <c r="U76" s="27" t="str">
        <f aca="false">IF(B76="","",ROUNDDOWN((R76-S76-T76)/INDEX(NH_LT,MATCH(D76,NH_TEN,0)),0)*INDEX(NH_LT,MATCH(D76,NH_TEN,0)))</f>
        <v/>
      </c>
      <c r="V76" s="30" t="str">
        <f aca="false">IF(B76="","",IF(COUNTIF($B$6:B76,B76)&gt;1,"",SUMIFS($U$6:$U$100,$B$6:$B$100,B76)))</f>
        <v/>
      </c>
      <c r="W76" s="16"/>
    </row>
    <row r="77" customFormat="false" ht="15" hidden="false" customHeight="false" outlineLevel="0" collapsed="false">
      <c r="A77" s="17" t="str">
        <f aca="false">IF(B77="","",ROW()-5)</f>
        <v/>
      </c>
      <c r="B77" s="29" t="str">
        <f aca="false">IF(BCC!B77="","",BCC!B77)</f>
        <v/>
      </c>
      <c r="C77" s="17" t="str">
        <f aca="false">IF(B77="","",BCC!C77)</f>
        <v/>
      </c>
      <c r="D77" s="17" t="str">
        <f aca="false">IF(B77="","",BCC!D77)</f>
        <v/>
      </c>
      <c r="E77" s="17" t="str">
        <f aca="false">IF(B77="","",IFERROR(INDEX(NV_HT,MATCH(B77,NV_MA,0)),""))</f>
        <v/>
      </c>
      <c r="F77" s="27" t="str">
        <f aca="false">IF(B77="","",IF(N(BCC!E77)&gt;0,BCC!E77,IF(AND(N(IFERROR(INDEX(NV_DG,MATCH(B77,NV_MA,0)),0))&gt;0,IFERROR(INDEX(NV_NHOM,MATCH(B77,NV_MA,0)),"")=D77),INDEX(NV_DG,MATCH(B77,NV_MA,0)),IFERROR(INDEX(NH_DG,MATCH(D77,NH_TEN,0)),0))))</f>
        <v/>
      </c>
      <c r="G77" s="27" t="str">
        <f aca="false">IF(B77="","",N(IFERROR(INDEX(NV_LT,MATCH(B77,NV_MA,0)),0)))</f>
        <v/>
      </c>
      <c r="H77" s="22" t="str">
        <f aca="false">IF(B77="","",BCC!AL77)</f>
        <v/>
      </c>
      <c r="I77" s="23" t="str">
        <f aca="false">IF(B77="","",BCC!AM77)</f>
        <v/>
      </c>
      <c r="J77" s="23" t="str">
        <f aca="false">IF(B77="","",BCC!AN77)</f>
        <v/>
      </c>
      <c r="K77" s="27" t="str">
        <f aca="false">IF(B77="","",IF(E77="Khoán tháng",G77,IF(E77="Lương tháng",G77/INDEX(NH_CHIA,MATCH(D77,NH_TEN,0))*MIN(I77,INDEX(NH_CHIA,MATCH(D77,NH_TEN,0))),I77*F77)))</f>
        <v/>
      </c>
      <c r="L77" s="27" t="str">
        <f aca="false">IF(B77="","",(I77-J77)*INDEX(NH_HTN,MATCH(D77,NH_TEN,0)))</f>
        <v/>
      </c>
      <c r="M77" s="27" t="str">
        <f aca="false">IF(B77="","",J77*INDEX(NH_HTD,MATCH(D77,NH_TEN,0)))</f>
        <v/>
      </c>
      <c r="N77" s="27" t="str">
        <f aca="false">IF(B77="","",I77*IF(N(IFERROR(INDEX(NV_AN,MATCH(B77,NV_MA,0)),0))&gt;0,INDEX(NV_AN,MATCH(B77,NV_MA,0)),INDEX(NH_AN,MATCH(D77,NH_TEN,0))))</f>
        <v/>
      </c>
      <c r="O77" s="27" t="str">
        <f aca="false">IF(B77="","",N(KT_NGUOI!AL77))</f>
        <v/>
      </c>
      <c r="P77" s="27" t="n">
        <f aca="false">IF(OR(B77="",COUNTIF($B$6:B77,B77)&gt;1),0,SUMPRODUCT(((KT_M1=B77)+(KT_M2=B77)+(KT_M3=B77))*(KT_LOAI="Đích danh")*KT_PHAN))</f>
        <v>0</v>
      </c>
      <c r="Q77" s="27" t="n">
        <f aca="false">IF(OR(B77="",COUNTIF($B$6:B77,B77)&gt;1),0,SUMIFS(DC_VND,DC_MA,$B77,DC_LOAI,"Cộng"))</f>
        <v>0</v>
      </c>
      <c r="R77" s="30" t="str">
        <f aca="false">IF(B77="","",SUM(K77:Q77))</f>
        <v/>
      </c>
      <c r="S77" s="27" t="n">
        <f aca="false">IF(OR(B77="",COUNTIF($B$6:B77,B77)&gt;1),0,SUMIFS(DC_VND,DC_MA,$B77,DC_LOAI,"Tạm ứng"))</f>
        <v>0</v>
      </c>
      <c r="T77" s="27" t="n">
        <f aca="false">IF(OR(B77="",COUNTIF($B$6:B77,B77)&gt;1),0,SUMIFS(DC_VND,DC_MA,$B77,DC_LOAI,"Trừ"))</f>
        <v>0</v>
      </c>
      <c r="U77" s="27" t="str">
        <f aca="false">IF(B77="","",ROUNDDOWN((R77-S77-T77)/INDEX(NH_LT,MATCH(D77,NH_TEN,0)),0)*INDEX(NH_LT,MATCH(D77,NH_TEN,0)))</f>
        <v/>
      </c>
      <c r="V77" s="30" t="str">
        <f aca="false">IF(B77="","",IF(COUNTIF($B$6:B77,B77)&gt;1,"",SUMIFS($U$6:$U$100,$B$6:$B$100,B77)))</f>
        <v/>
      </c>
      <c r="W77" s="16"/>
    </row>
    <row r="78" customFormat="false" ht="15" hidden="false" customHeight="false" outlineLevel="0" collapsed="false">
      <c r="A78" s="17" t="str">
        <f aca="false">IF(B78="","",ROW()-5)</f>
        <v/>
      </c>
      <c r="B78" s="29" t="str">
        <f aca="false">IF(BCC!B78="","",BCC!B78)</f>
        <v/>
      </c>
      <c r="C78" s="17" t="str">
        <f aca="false">IF(B78="","",BCC!C78)</f>
        <v/>
      </c>
      <c r="D78" s="17" t="str">
        <f aca="false">IF(B78="","",BCC!D78)</f>
        <v/>
      </c>
      <c r="E78" s="17" t="str">
        <f aca="false">IF(B78="","",IFERROR(INDEX(NV_HT,MATCH(B78,NV_MA,0)),""))</f>
        <v/>
      </c>
      <c r="F78" s="27" t="str">
        <f aca="false">IF(B78="","",IF(N(BCC!E78)&gt;0,BCC!E78,IF(AND(N(IFERROR(INDEX(NV_DG,MATCH(B78,NV_MA,0)),0))&gt;0,IFERROR(INDEX(NV_NHOM,MATCH(B78,NV_MA,0)),"")=D78),INDEX(NV_DG,MATCH(B78,NV_MA,0)),IFERROR(INDEX(NH_DG,MATCH(D78,NH_TEN,0)),0))))</f>
        <v/>
      </c>
      <c r="G78" s="27" t="str">
        <f aca="false">IF(B78="","",N(IFERROR(INDEX(NV_LT,MATCH(B78,NV_MA,0)),0)))</f>
        <v/>
      </c>
      <c r="H78" s="22" t="str">
        <f aca="false">IF(B78="","",BCC!AL78)</f>
        <v/>
      </c>
      <c r="I78" s="23" t="str">
        <f aca="false">IF(B78="","",BCC!AM78)</f>
        <v/>
      </c>
      <c r="J78" s="23" t="str">
        <f aca="false">IF(B78="","",BCC!AN78)</f>
        <v/>
      </c>
      <c r="K78" s="27" t="str">
        <f aca="false">IF(B78="","",IF(E78="Khoán tháng",G78,IF(E78="Lương tháng",G78/INDEX(NH_CHIA,MATCH(D78,NH_TEN,0))*MIN(I78,INDEX(NH_CHIA,MATCH(D78,NH_TEN,0))),I78*F78)))</f>
        <v/>
      </c>
      <c r="L78" s="27" t="str">
        <f aca="false">IF(B78="","",(I78-J78)*INDEX(NH_HTN,MATCH(D78,NH_TEN,0)))</f>
        <v/>
      </c>
      <c r="M78" s="27" t="str">
        <f aca="false">IF(B78="","",J78*INDEX(NH_HTD,MATCH(D78,NH_TEN,0)))</f>
        <v/>
      </c>
      <c r="N78" s="27" t="str">
        <f aca="false">IF(B78="","",I78*IF(N(IFERROR(INDEX(NV_AN,MATCH(B78,NV_MA,0)),0))&gt;0,INDEX(NV_AN,MATCH(B78,NV_MA,0)),INDEX(NH_AN,MATCH(D78,NH_TEN,0))))</f>
        <v/>
      </c>
      <c r="O78" s="27" t="str">
        <f aca="false">IF(B78="","",N(KT_NGUOI!AL78))</f>
        <v/>
      </c>
      <c r="P78" s="27" t="n">
        <f aca="false">IF(OR(B78="",COUNTIF($B$6:B78,B78)&gt;1),0,SUMPRODUCT(((KT_M1=B78)+(KT_M2=B78)+(KT_M3=B78))*(KT_LOAI="Đích danh")*KT_PHAN))</f>
        <v>0</v>
      </c>
      <c r="Q78" s="27" t="n">
        <f aca="false">IF(OR(B78="",COUNTIF($B$6:B78,B78)&gt;1),0,SUMIFS(DC_VND,DC_MA,$B78,DC_LOAI,"Cộng"))</f>
        <v>0</v>
      </c>
      <c r="R78" s="30" t="str">
        <f aca="false">IF(B78="","",SUM(K78:Q78))</f>
        <v/>
      </c>
      <c r="S78" s="27" t="n">
        <f aca="false">IF(OR(B78="",COUNTIF($B$6:B78,B78)&gt;1),0,SUMIFS(DC_VND,DC_MA,$B78,DC_LOAI,"Tạm ứng"))</f>
        <v>0</v>
      </c>
      <c r="T78" s="27" t="n">
        <f aca="false">IF(OR(B78="",COUNTIF($B$6:B78,B78)&gt;1),0,SUMIFS(DC_VND,DC_MA,$B78,DC_LOAI,"Trừ"))</f>
        <v>0</v>
      </c>
      <c r="U78" s="27" t="str">
        <f aca="false">IF(B78="","",ROUNDDOWN((R78-S78-T78)/INDEX(NH_LT,MATCH(D78,NH_TEN,0)),0)*INDEX(NH_LT,MATCH(D78,NH_TEN,0)))</f>
        <v/>
      </c>
      <c r="V78" s="30" t="str">
        <f aca="false">IF(B78="","",IF(COUNTIF($B$6:B78,B78)&gt;1,"",SUMIFS($U$6:$U$100,$B$6:$B$100,B78)))</f>
        <v/>
      </c>
      <c r="W78" s="16"/>
    </row>
    <row r="79" customFormat="false" ht="15" hidden="false" customHeight="false" outlineLevel="0" collapsed="false">
      <c r="A79" s="17" t="str">
        <f aca="false">IF(B79="","",ROW()-5)</f>
        <v/>
      </c>
      <c r="B79" s="29" t="str">
        <f aca="false">IF(BCC!B79="","",BCC!B79)</f>
        <v/>
      </c>
      <c r="C79" s="17" t="str">
        <f aca="false">IF(B79="","",BCC!C79)</f>
        <v/>
      </c>
      <c r="D79" s="17" t="str">
        <f aca="false">IF(B79="","",BCC!D79)</f>
        <v/>
      </c>
      <c r="E79" s="17" t="str">
        <f aca="false">IF(B79="","",IFERROR(INDEX(NV_HT,MATCH(B79,NV_MA,0)),""))</f>
        <v/>
      </c>
      <c r="F79" s="27" t="str">
        <f aca="false">IF(B79="","",IF(N(BCC!E79)&gt;0,BCC!E79,IF(AND(N(IFERROR(INDEX(NV_DG,MATCH(B79,NV_MA,0)),0))&gt;0,IFERROR(INDEX(NV_NHOM,MATCH(B79,NV_MA,0)),"")=D79),INDEX(NV_DG,MATCH(B79,NV_MA,0)),IFERROR(INDEX(NH_DG,MATCH(D79,NH_TEN,0)),0))))</f>
        <v/>
      </c>
      <c r="G79" s="27" t="str">
        <f aca="false">IF(B79="","",N(IFERROR(INDEX(NV_LT,MATCH(B79,NV_MA,0)),0)))</f>
        <v/>
      </c>
      <c r="H79" s="22" t="str">
        <f aca="false">IF(B79="","",BCC!AL79)</f>
        <v/>
      </c>
      <c r="I79" s="23" t="str">
        <f aca="false">IF(B79="","",BCC!AM79)</f>
        <v/>
      </c>
      <c r="J79" s="23" t="str">
        <f aca="false">IF(B79="","",BCC!AN79)</f>
        <v/>
      </c>
      <c r="K79" s="27" t="str">
        <f aca="false">IF(B79="","",IF(E79="Khoán tháng",G79,IF(E79="Lương tháng",G79/INDEX(NH_CHIA,MATCH(D79,NH_TEN,0))*MIN(I79,INDEX(NH_CHIA,MATCH(D79,NH_TEN,0))),I79*F79)))</f>
        <v/>
      </c>
      <c r="L79" s="27" t="str">
        <f aca="false">IF(B79="","",(I79-J79)*INDEX(NH_HTN,MATCH(D79,NH_TEN,0)))</f>
        <v/>
      </c>
      <c r="M79" s="27" t="str">
        <f aca="false">IF(B79="","",J79*INDEX(NH_HTD,MATCH(D79,NH_TEN,0)))</f>
        <v/>
      </c>
      <c r="N79" s="27" t="str">
        <f aca="false">IF(B79="","",I79*IF(N(IFERROR(INDEX(NV_AN,MATCH(B79,NV_MA,0)),0))&gt;0,INDEX(NV_AN,MATCH(B79,NV_MA,0)),INDEX(NH_AN,MATCH(D79,NH_TEN,0))))</f>
        <v/>
      </c>
      <c r="O79" s="27" t="str">
        <f aca="false">IF(B79="","",N(KT_NGUOI!AL79))</f>
        <v/>
      </c>
      <c r="P79" s="27" t="n">
        <f aca="false">IF(OR(B79="",COUNTIF($B$6:B79,B79)&gt;1),0,SUMPRODUCT(((KT_M1=B79)+(KT_M2=B79)+(KT_M3=B79))*(KT_LOAI="Đích danh")*KT_PHAN))</f>
        <v>0</v>
      </c>
      <c r="Q79" s="27" t="n">
        <f aca="false">IF(OR(B79="",COUNTIF($B$6:B79,B79)&gt;1),0,SUMIFS(DC_VND,DC_MA,$B79,DC_LOAI,"Cộng"))</f>
        <v>0</v>
      </c>
      <c r="R79" s="30" t="str">
        <f aca="false">IF(B79="","",SUM(K79:Q79))</f>
        <v/>
      </c>
      <c r="S79" s="27" t="n">
        <f aca="false">IF(OR(B79="",COUNTIF($B$6:B79,B79)&gt;1),0,SUMIFS(DC_VND,DC_MA,$B79,DC_LOAI,"Tạm ứng"))</f>
        <v>0</v>
      </c>
      <c r="T79" s="27" t="n">
        <f aca="false">IF(OR(B79="",COUNTIF($B$6:B79,B79)&gt;1),0,SUMIFS(DC_VND,DC_MA,$B79,DC_LOAI,"Trừ"))</f>
        <v>0</v>
      </c>
      <c r="U79" s="27" t="str">
        <f aca="false">IF(B79="","",ROUNDDOWN((R79-S79-T79)/INDEX(NH_LT,MATCH(D79,NH_TEN,0)),0)*INDEX(NH_LT,MATCH(D79,NH_TEN,0)))</f>
        <v/>
      </c>
      <c r="V79" s="30" t="str">
        <f aca="false">IF(B79="","",IF(COUNTIF($B$6:B79,B79)&gt;1,"",SUMIFS($U$6:$U$100,$B$6:$B$100,B79)))</f>
        <v/>
      </c>
      <c r="W79" s="16"/>
    </row>
    <row r="80" customFormat="false" ht="15" hidden="false" customHeight="false" outlineLevel="0" collapsed="false">
      <c r="A80" s="17" t="str">
        <f aca="false">IF(B80="","",ROW()-5)</f>
        <v/>
      </c>
      <c r="B80" s="29" t="str">
        <f aca="false">IF(BCC!B80="","",BCC!B80)</f>
        <v/>
      </c>
      <c r="C80" s="17" t="str">
        <f aca="false">IF(B80="","",BCC!C80)</f>
        <v/>
      </c>
      <c r="D80" s="17" t="str">
        <f aca="false">IF(B80="","",BCC!D80)</f>
        <v/>
      </c>
      <c r="E80" s="17" t="str">
        <f aca="false">IF(B80="","",IFERROR(INDEX(NV_HT,MATCH(B80,NV_MA,0)),""))</f>
        <v/>
      </c>
      <c r="F80" s="27" t="str">
        <f aca="false">IF(B80="","",IF(N(BCC!E80)&gt;0,BCC!E80,IF(AND(N(IFERROR(INDEX(NV_DG,MATCH(B80,NV_MA,0)),0))&gt;0,IFERROR(INDEX(NV_NHOM,MATCH(B80,NV_MA,0)),"")=D80),INDEX(NV_DG,MATCH(B80,NV_MA,0)),IFERROR(INDEX(NH_DG,MATCH(D80,NH_TEN,0)),0))))</f>
        <v/>
      </c>
      <c r="G80" s="27" t="str">
        <f aca="false">IF(B80="","",N(IFERROR(INDEX(NV_LT,MATCH(B80,NV_MA,0)),0)))</f>
        <v/>
      </c>
      <c r="H80" s="22" t="str">
        <f aca="false">IF(B80="","",BCC!AL80)</f>
        <v/>
      </c>
      <c r="I80" s="23" t="str">
        <f aca="false">IF(B80="","",BCC!AM80)</f>
        <v/>
      </c>
      <c r="J80" s="23" t="str">
        <f aca="false">IF(B80="","",BCC!AN80)</f>
        <v/>
      </c>
      <c r="K80" s="27" t="str">
        <f aca="false">IF(B80="","",IF(E80="Khoán tháng",G80,IF(E80="Lương tháng",G80/INDEX(NH_CHIA,MATCH(D80,NH_TEN,0))*MIN(I80,INDEX(NH_CHIA,MATCH(D80,NH_TEN,0))),I80*F80)))</f>
        <v/>
      </c>
      <c r="L80" s="27" t="str">
        <f aca="false">IF(B80="","",(I80-J80)*INDEX(NH_HTN,MATCH(D80,NH_TEN,0)))</f>
        <v/>
      </c>
      <c r="M80" s="27" t="str">
        <f aca="false">IF(B80="","",J80*INDEX(NH_HTD,MATCH(D80,NH_TEN,0)))</f>
        <v/>
      </c>
      <c r="N80" s="27" t="str">
        <f aca="false">IF(B80="","",I80*IF(N(IFERROR(INDEX(NV_AN,MATCH(B80,NV_MA,0)),0))&gt;0,INDEX(NV_AN,MATCH(B80,NV_MA,0)),INDEX(NH_AN,MATCH(D80,NH_TEN,0))))</f>
        <v/>
      </c>
      <c r="O80" s="27" t="str">
        <f aca="false">IF(B80="","",N(KT_NGUOI!AL80))</f>
        <v/>
      </c>
      <c r="P80" s="27" t="n">
        <f aca="false">IF(OR(B80="",COUNTIF($B$6:B80,B80)&gt;1),0,SUMPRODUCT(((KT_M1=B80)+(KT_M2=B80)+(KT_M3=B80))*(KT_LOAI="Đích danh")*KT_PHAN))</f>
        <v>0</v>
      </c>
      <c r="Q80" s="27" t="n">
        <f aca="false">IF(OR(B80="",COUNTIF($B$6:B80,B80)&gt;1),0,SUMIFS(DC_VND,DC_MA,$B80,DC_LOAI,"Cộng"))</f>
        <v>0</v>
      </c>
      <c r="R80" s="30" t="str">
        <f aca="false">IF(B80="","",SUM(K80:Q80))</f>
        <v/>
      </c>
      <c r="S80" s="27" t="n">
        <f aca="false">IF(OR(B80="",COUNTIF($B$6:B80,B80)&gt;1),0,SUMIFS(DC_VND,DC_MA,$B80,DC_LOAI,"Tạm ứng"))</f>
        <v>0</v>
      </c>
      <c r="T80" s="27" t="n">
        <f aca="false">IF(OR(B80="",COUNTIF($B$6:B80,B80)&gt;1),0,SUMIFS(DC_VND,DC_MA,$B80,DC_LOAI,"Trừ"))</f>
        <v>0</v>
      </c>
      <c r="U80" s="27" t="str">
        <f aca="false">IF(B80="","",ROUNDDOWN((R80-S80-T80)/INDEX(NH_LT,MATCH(D80,NH_TEN,0)),0)*INDEX(NH_LT,MATCH(D80,NH_TEN,0)))</f>
        <v/>
      </c>
      <c r="V80" s="30" t="str">
        <f aca="false">IF(B80="","",IF(COUNTIF($B$6:B80,B80)&gt;1,"",SUMIFS($U$6:$U$100,$B$6:$B$100,B80)))</f>
        <v/>
      </c>
      <c r="W80" s="16"/>
    </row>
    <row r="81" customFormat="false" ht="15" hidden="false" customHeight="false" outlineLevel="0" collapsed="false">
      <c r="A81" s="17" t="str">
        <f aca="false">IF(B81="","",ROW()-5)</f>
        <v/>
      </c>
      <c r="B81" s="29" t="str">
        <f aca="false">IF(BCC!B81="","",BCC!B81)</f>
        <v/>
      </c>
      <c r="C81" s="17" t="str">
        <f aca="false">IF(B81="","",BCC!C81)</f>
        <v/>
      </c>
      <c r="D81" s="17" t="str">
        <f aca="false">IF(B81="","",BCC!D81)</f>
        <v/>
      </c>
      <c r="E81" s="17" t="str">
        <f aca="false">IF(B81="","",IFERROR(INDEX(NV_HT,MATCH(B81,NV_MA,0)),""))</f>
        <v/>
      </c>
      <c r="F81" s="27" t="str">
        <f aca="false">IF(B81="","",IF(N(BCC!E81)&gt;0,BCC!E81,IF(AND(N(IFERROR(INDEX(NV_DG,MATCH(B81,NV_MA,0)),0))&gt;0,IFERROR(INDEX(NV_NHOM,MATCH(B81,NV_MA,0)),"")=D81),INDEX(NV_DG,MATCH(B81,NV_MA,0)),IFERROR(INDEX(NH_DG,MATCH(D81,NH_TEN,0)),0))))</f>
        <v/>
      </c>
      <c r="G81" s="27" t="str">
        <f aca="false">IF(B81="","",N(IFERROR(INDEX(NV_LT,MATCH(B81,NV_MA,0)),0)))</f>
        <v/>
      </c>
      <c r="H81" s="22" t="str">
        <f aca="false">IF(B81="","",BCC!AL81)</f>
        <v/>
      </c>
      <c r="I81" s="23" t="str">
        <f aca="false">IF(B81="","",BCC!AM81)</f>
        <v/>
      </c>
      <c r="J81" s="23" t="str">
        <f aca="false">IF(B81="","",BCC!AN81)</f>
        <v/>
      </c>
      <c r="K81" s="27" t="str">
        <f aca="false">IF(B81="","",IF(E81="Khoán tháng",G81,IF(E81="Lương tháng",G81/INDEX(NH_CHIA,MATCH(D81,NH_TEN,0))*MIN(I81,INDEX(NH_CHIA,MATCH(D81,NH_TEN,0))),I81*F81)))</f>
        <v/>
      </c>
      <c r="L81" s="27" t="str">
        <f aca="false">IF(B81="","",(I81-J81)*INDEX(NH_HTN,MATCH(D81,NH_TEN,0)))</f>
        <v/>
      </c>
      <c r="M81" s="27" t="str">
        <f aca="false">IF(B81="","",J81*INDEX(NH_HTD,MATCH(D81,NH_TEN,0)))</f>
        <v/>
      </c>
      <c r="N81" s="27" t="str">
        <f aca="false">IF(B81="","",I81*IF(N(IFERROR(INDEX(NV_AN,MATCH(B81,NV_MA,0)),0))&gt;0,INDEX(NV_AN,MATCH(B81,NV_MA,0)),INDEX(NH_AN,MATCH(D81,NH_TEN,0))))</f>
        <v/>
      </c>
      <c r="O81" s="27" t="str">
        <f aca="false">IF(B81="","",N(KT_NGUOI!AL81))</f>
        <v/>
      </c>
      <c r="P81" s="27" t="n">
        <f aca="false">IF(OR(B81="",COUNTIF($B$6:B81,B81)&gt;1),0,SUMPRODUCT(((KT_M1=B81)+(KT_M2=B81)+(KT_M3=B81))*(KT_LOAI="Đích danh")*KT_PHAN))</f>
        <v>0</v>
      </c>
      <c r="Q81" s="27" t="n">
        <f aca="false">IF(OR(B81="",COUNTIF($B$6:B81,B81)&gt;1),0,SUMIFS(DC_VND,DC_MA,$B81,DC_LOAI,"Cộng"))</f>
        <v>0</v>
      </c>
      <c r="R81" s="30" t="str">
        <f aca="false">IF(B81="","",SUM(K81:Q81))</f>
        <v/>
      </c>
      <c r="S81" s="27" t="n">
        <f aca="false">IF(OR(B81="",COUNTIF($B$6:B81,B81)&gt;1),0,SUMIFS(DC_VND,DC_MA,$B81,DC_LOAI,"Tạm ứng"))</f>
        <v>0</v>
      </c>
      <c r="T81" s="27" t="n">
        <f aca="false">IF(OR(B81="",COUNTIF($B$6:B81,B81)&gt;1),0,SUMIFS(DC_VND,DC_MA,$B81,DC_LOAI,"Trừ"))</f>
        <v>0</v>
      </c>
      <c r="U81" s="27" t="str">
        <f aca="false">IF(B81="","",ROUNDDOWN((R81-S81-T81)/INDEX(NH_LT,MATCH(D81,NH_TEN,0)),0)*INDEX(NH_LT,MATCH(D81,NH_TEN,0)))</f>
        <v/>
      </c>
      <c r="V81" s="30" t="str">
        <f aca="false">IF(B81="","",IF(COUNTIF($B$6:B81,B81)&gt;1,"",SUMIFS($U$6:$U$100,$B$6:$B$100,B81)))</f>
        <v/>
      </c>
      <c r="W81" s="16"/>
    </row>
    <row r="82" customFormat="false" ht="15" hidden="false" customHeight="false" outlineLevel="0" collapsed="false">
      <c r="A82" s="17" t="str">
        <f aca="false">IF(B82="","",ROW()-5)</f>
        <v/>
      </c>
      <c r="B82" s="29" t="str">
        <f aca="false">IF(BCC!B82="","",BCC!B82)</f>
        <v/>
      </c>
      <c r="C82" s="17" t="str">
        <f aca="false">IF(B82="","",BCC!C82)</f>
        <v/>
      </c>
      <c r="D82" s="17" t="str">
        <f aca="false">IF(B82="","",BCC!D82)</f>
        <v/>
      </c>
      <c r="E82" s="17" t="str">
        <f aca="false">IF(B82="","",IFERROR(INDEX(NV_HT,MATCH(B82,NV_MA,0)),""))</f>
        <v/>
      </c>
      <c r="F82" s="27" t="str">
        <f aca="false">IF(B82="","",IF(N(BCC!E82)&gt;0,BCC!E82,IF(AND(N(IFERROR(INDEX(NV_DG,MATCH(B82,NV_MA,0)),0))&gt;0,IFERROR(INDEX(NV_NHOM,MATCH(B82,NV_MA,0)),"")=D82),INDEX(NV_DG,MATCH(B82,NV_MA,0)),IFERROR(INDEX(NH_DG,MATCH(D82,NH_TEN,0)),0))))</f>
        <v/>
      </c>
      <c r="G82" s="27" t="str">
        <f aca="false">IF(B82="","",N(IFERROR(INDEX(NV_LT,MATCH(B82,NV_MA,0)),0)))</f>
        <v/>
      </c>
      <c r="H82" s="22" t="str">
        <f aca="false">IF(B82="","",BCC!AL82)</f>
        <v/>
      </c>
      <c r="I82" s="23" t="str">
        <f aca="false">IF(B82="","",BCC!AM82)</f>
        <v/>
      </c>
      <c r="J82" s="23" t="str">
        <f aca="false">IF(B82="","",BCC!AN82)</f>
        <v/>
      </c>
      <c r="K82" s="27" t="str">
        <f aca="false">IF(B82="","",IF(E82="Khoán tháng",G82,IF(E82="Lương tháng",G82/INDEX(NH_CHIA,MATCH(D82,NH_TEN,0))*MIN(I82,INDEX(NH_CHIA,MATCH(D82,NH_TEN,0))),I82*F82)))</f>
        <v/>
      </c>
      <c r="L82" s="27" t="str">
        <f aca="false">IF(B82="","",(I82-J82)*INDEX(NH_HTN,MATCH(D82,NH_TEN,0)))</f>
        <v/>
      </c>
      <c r="M82" s="27" t="str">
        <f aca="false">IF(B82="","",J82*INDEX(NH_HTD,MATCH(D82,NH_TEN,0)))</f>
        <v/>
      </c>
      <c r="N82" s="27" t="str">
        <f aca="false">IF(B82="","",I82*IF(N(IFERROR(INDEX(NV_AN,MATCH(B82,NV_MA,0)),0))&gt;0,INDEX(NV_AN,MATCH(B82,NV_MA,0)),INDEX(NH_AN,MATCH(D82,NH_TEN,0))))</f>
        <v/>
      </c>
      <c r="O82" s="27" t="str">
        <f aca="false">IF(B82="","",N(KT_NGUOI!AL82))</f>
        <v/>
      </c>
      <c r="P82" s="27" t="n">
        <f aca="false">IF(OR(B82="",COUNTIF($B$6:B82,B82)&gt;1),0,SUMPRODUCT(((KT_M1=B82)+(KT_M2=B82)+(KT_M3=B82))*(KT_LOAI="Đích danh")*KT_PHAN))</f>
        <v>0</v>
      </c>
      <c r="Q82" s="27" t="n">
        <f aca="false">IF(OR(B82="",COUNTIF($B$6:B82,B82)&gt;1),0,SUMIFS(DC_VND,DC_MA,$B82,DC_LOAI,"Cộng"))</f>
        <v>0</v>
      </c>
      <c r="R82" s="30" t="str">
        <f aca="false">IF(B82="","",SUM(K82:Q82))</f>
        <v/>
      </c>
      <c r="S82" s="27" t="n">
        <f aca="false">IF(OR(B82="",COUNTIF($B$6:B82,B82)&gt;1),0,SUMIFS(DC_VND,DC_MA,$B82,DC_LOAI,"Tạm ứng"))</f>
        <v>0</v>
      </c>
      <c r="T82" s="27" t="n">
        <f aca="false">IF(OR(B82="",COUNTIF($B$6:B82,B82)&gt;1),0,SUMIFS(DC_VND,DC_MA,$B82,DC_LOAI,"Trừ"))</f>
        <v>0</v>
      </c>
      <c r="U82" s="27" t="str">
        <f aca="false">IF(B82="","",ROUNDDOWN((R82-S82-T82)/INDEX(NH_LT,MATCH(D82,NH_TEN,0)),0)*INDEX(NH_LT,MATCH(D82,NH_TEN,0)))</f>
        <v/>
      </c>
      <c r="V82" s="30" t="str">
        <f aca="false">IF(B82="","",IF(COUNTIF($B$6:B82,B82)&gt;1,"",SUMIFS($U$6:$U$100,$B$6:$B$100,B82)))</f>
        <v/>
      </c>
      <c r="W82" s="16"/>
    </row>
    <row r="83" customFormat="false" ht="15" hidden="false" customHeight="false" outlineLevel="0" collapsed="false">
      <c r="A83" s="17" t="str">
        <f aca="false">IF(B83="","",ROW()-5)</f>
        <v/>
      </c>
      <c r="B83" s="29" t="str">
        <f aca="false">IF(BCC!B83="","",BCC!B83)</f>
        <v/>
      </c>
      <c r="C83" s="17" t="str">
        <f aca="false">IF(B83="","",BCC!C83)</f>
        <v/>
      </c>
      <c r="D83" s="17" t="str">
        <f aca="false">IF(B83="","",BCC!D83)</f>
        <v/>
      </c>
      <c r="E83" s="17" t="str">
        <f aca="false">IF(B83="","",IFERROR(INDEX(NV_HT,MATCH(B83,NV_MA,0)),""))</f>
        <v/>
      </c>
      <c r="F83" s="27" t="str">
        <f aca="false">IF(B83="","",IF(N(BCC!E83)&gt;0,BCC!E83,IF(AND(N(IFERROR(INDEX(NV_DG,MATCH(B83,NV_MA,0)),0))&gt;0,IFERROR(INDEX(NV_NHOM,MATCH(B83,NV_MA,0)),"")=D83),INDEX(NV_DG,MATCH(B83,NV_MA,0)),IFERROR(INDEX(NH_DG,MATCH(D83,NH_TEN,0)),0))))</f>
        <v/>
      </c>
      <c r="G83" s="27" t="str">
        <f aca="false">IF(B83="","",N(IFERROR(INDEX(NV_LT,MATCH(B83,NV_MA,0)),0)))</f>
        <v/>
      </c>
      <c r="H83" s="22" t="str">
        <f aca="false">IF(B83="","",BCC!AL83)</f>
        <v/>
      </c>
      <c r="I83" s="23" t="str">
        <f aca="false">IF(B83="","",BCC!AM83)</f>
        <v/>
      </c>
      <c r="J83" s="23" t="str">
        <f aca="false">IF(B83="","",BCC!AN83)</f>
        <v/>
      </c>
      <c r="K83" s="27" t="str">
        <f aca="false">IF(B83="","",IF(E83="Khoán tháng",G83,IF(E83="Lương tháng",G83/INDEX(NH_CHIA,MATCH(D83,NH_TEN,0))*MIN(I83,INDEX(NH_CHIA,MATCH(D83,NH_TEN,0))),I83*F83)))</f>
        <v/>
      </c>
      <c r="L83" s="27" t="str">
        <f aca="false">IF(B83="","",(I83-J83)*INDEX(NH_HTN,MATCH(D83,NH_TEN,0)))</f>
        <v/>
      </c>
      <c r="M83" s="27" t="str">
        <f aca="false">IF(B83="","",J83*INDEX(NH_HTD,MATCH(D83,NH_TEN,0)))</f>
        <v/>
      </c>
      <c r="N83" s="27" t="str">
        <f aca="false">IF(B83="","",I83*IF(N(IFERROR(INDEX(NV_AN,MATCH(B83,NV_MA,0)),0))&gt;0,INDEX(NV_AN,MATCH(B83,NV_MA,0)),INDEX(NH_AN,MATCH(D83,NH_TEN,0))))</f>
        <v/>
      </c>
      <c r="O83" s="27" t="str">
        <f aca="false">IF(B83="","",N(KT_NGUOI!AL83))</f>
        <v/>
      </c>
      <c r="P83" s="27" t="n">
        <f aca="false">IF(OR(B83="",COUNTIF($B$6:B83,B83)&gt;1),0,SUMPRODUCT(((KT_M1=B83)+(KT_M2=B83)+(KT_M3=B83))*(KT_LOAI="Đích danh")*KT_PHAN))</f>
        <v>0</v>
      </c>
      <c r="Q83" s="27" t="n">
        <f aca="false">IF(OR(B83="",COUNTIF($B$6:B83,B83)&gt;1),0,SUMIFS(DC_VND,DC_MA,$B83,DC_LOAI,"Cộng"))</f>
        <v>0</v>
      </c>
      <c r="R83" s="30" t="str">
        <f aca="false">IF(B83="","",SUM(K83:Q83))</f>
        <v/>
      </c>
      <c r="S83" s="27" t="n">
        <f aca="false">IF(OR(B83="",COUNTIF($B$6:B83,B83)&gt;1),0,SUMIFS(DC_VND,DC_MA,$B83,DC_LOAI,"Tạm ứng"))</f>
        <v>0</v>
      </c>
      <c r="T83" s="27" t="n">
        <f aca="false">IF(OR(B83="",COUNTIF($B$6:B83,B83)&gt;1),0,SUMIFS(DC_VND,DC_MA,$B83,DC_LOAI,"Trừ"))</f>
        <v>0</v>
      </c>
      <c r="U83" s="27" t="str">
        <f aca="false">IF(B83="","",ROUNDDOWN((R83-S83-T83)/INDEX(NH_LT,MATCH(D83,NH_TEN,0)),0)*INDEX(NH_LT,MATCH(D83,NH_TEN,0)))</f>
        <v/>
      </c>
      <c r="V83" s="30" t="str">
        <f aca="false">IF(B83="","",IF(COUNTIF($B$6:B83,B83)&gt;1,"",SUMIFS($U$6:$U$100,$B$6:$B$100,B83)))</f>
        <v/>
      </c>
      <c r="W83" s="16"/>
    </row>
    <row r="84" customFormat="false" ht="15" hidden="false" customHeight="false" outlineLevel="0" collapsed="false">
      <c r="A84" s="17" t="str">
        <f aca="false">IF(B84="","",ROW()-5)</f>
        <v/>
      </c>
      <c r="B84" s="29" t="str">
        <f aca="false">IF(BCC!B84="","",BCC!B84)</f>
        <v/>
      </c>
      <c r="C84" s="17" t="str">
        <f aca="false">IF(B84="","",BCC!C84)</f>
        <v/>
      </c>
      <c r="D84" s="17" t="str">
        <f aca="false">IF(B84="","",BCC!D84)</f>
        <v/>
      </c>
      <c r="E84" s="17" t="str">
        <f aca="false">IF(B84="","",IFERROR(INDEX(NV_HT,MATCH(B84,NV_MA,0)),""))</f>
        <v/>
      </c>
      <c r="F84" s="27" t="str">
        <f aca="false">IF(B84="","",IF(N(BCC!E84)&gt;0,BCC!E84,IF(AND(N(IFERROR(INDEX(NV_DG,MATCH(B84,NV_MA,0)),0))&gt;0,IFERROR(INDEX(NV_NHOM,MATCH(B84,NV_MA,0)),"")=D84),INDEX(NV_DG,MATCH(B84,NV_MA,0)),IFERROR(INDEX(NH_DG,MATCH(D84,NH_TEN,0)),0))))</f>
        <v/>
      </c>
      <c r="G84" s="27" t="str">
        <f aca="false">IF(B84="","",N(IFERROR(INDEX(NV_LT,MATCH(B84,NV_MA,0)),0)))</f>
        <v/>
      </c>
      <c r="H84" s="22" t="str">
        <f aca="false">IF(B84="","",BCC!AL84)</f>
        <v/>
      </c>
      <c r="I84" s="23" t="str">
        <f aca="false">IF(B84="","",BCC!AM84)</f>
        <v/>
      </c>
      <c r="J84" s="23" t="str">
        <f aca="false">IF(B84="","",BCC!AN84)</f>
        <v/>
      </c>
      <c r="K84" s="27" t="str">
        <f aca="false">IF(B84="","",IF(E84="Khoán tháng",G84,IF(E84="Lương tháng",G84/INDEX(NH_CHIA,MATCH(D84,NH_TEN,0))*MIN(I84,INDEX(NH_CHIA,MATCH(D84,NH_TEN,0))),I84*F84)))</f>
        <v/>
      </c>
      <c r="L84" s="27" t="str">
        <f aca="false">IF(B84="","",(I84-J84)*INDEX(NH_HTN,MATCH(D84,NH_TEN,0)))</f>
        <v/>
      </c>
      <c r="M84" s="27" t="str">
        <f aca="false">IF(B84="","",J84*INDEX(NH_HTD,MATCH(D84,NH_TEN,0)))</f>
        <v/>
      </c>
      <c r="N84" s="27" t="str">
        <f aca="false">IF(B84="","",I84*IF(N(IFERROR(INDEX(NV_AN,MATCH(B84,NV_MA,0)),0))&gt;0,INDEX(NV_AN,MATCH(B84,NV_MA,0)),INDEX(NH_AN,MATCH(D84,NH_TEN,0))))</f>
        <v/>
      </c>
      <c r="O84" s="27" t="str">
        <f aca="false">IF(B84="","",N(KT_NGUOI!AL84))</f>
        <v/>
      </c>
      <c r="P84" s="27" t="n">
        <f aca="false">IF(OR(B84="",COUNTIF($B$6:B84,B84)&gt;1),0,SUMPRODUCT(((KT_M1=B84)+(KT_M2=B84)+(KT_M3=B84))*(KT_LOAI="Đích danh")*KT_PHAN))</f>
        <v>0</v>
      </c>
      <c r="Q84" s="27" t="n">
        <f aca="false">IF(OR(B84="",COUNTIF($B$6:B84,B84)&gt;1),0,SUMIFS(DC_VND,DC_MA,$B84,DC_LOAI,"Cộng"))</f>
        <v>0</v>
      </c>
      <c r="R84" s="30" t="str">
        <f aca="false">IF(B84="","",SUM(K84:Q84))</f>
        <v/>
      </c>
      <c r="S84" s="27" t="n">
        <f aca="false">IF(OR(B84="",COUNTIF($B$6:B84,B84)&gt;1),0,SUMIFS(DC_VND,DC_MA,$B84,DC_LOAI,"Tạm ứng"))</f>
        <v>0</v>
      </c>
      <c r="T84" s="27" t="n">
        <f aca="false">IF(OR(B84="",COUNTIF($B$6:B84,B84)&gt;1),0,SUMIFS(DC_VND,DC_MA,$B84,DC_LOAI,"Trừ"))</f>
        <v>0</v>
      </c>
      <c r="U84" s="27" t="str">
        <f aca="false">IF(B84="","",ROUNDDOWN((R84-S84-T84)/INDEX(NH_LT,MATCH(D84,NH_TEN,0)),0)*INDEX(NH_LT,MATCH(D84,NH_TEN,0)))</f>
        <v/>
      </c>
      <c r="V84" s="30" t="str">
        <f aca="false">IF(B84="","",IF(COUNTIF($B$6:B84,B84)&gt;1,"",SUMIFS($U$6:$U$100,$B$6:$B$100,B84)))</f>
        <v/>
      </c>
      <c r="W84" s="16"/>
    </row>
    <row r="85" customFormat="false" ht="15" hidden="false" customHeight="false" outlineLevel="0" collapsed="false">
      <c r="A85" s="17" t="str">
        <f aca="false">IF(B85="","",ROW()-5)</f>
        <v/>
      </c>
      <c r="B85" s="29" t="str">
        <f aca="false">IF(BCC!B85="","",BCC!B85)</f>
        <v/>
      </c>
      <c r="C85" s="17" t="str">
        <f aca="false">IF(B85="","",BCC!C85)</f>
        <v/>
      </c>
      <c r="D85" s="17" t="str">
        <f aca="false">IF(B85="","",BCC!D85)</f>
        <v/>
      </c>
      <c r="E85" s="17" t="str">
        <f aca="false">IF(B85="","",IFERROR(INDEX(NV_HT,MATCH(B85,NV_MA,0)),""))</f>
        <v/>
      </c>
      <c r="F85" s="27" t="str">
        <f aca="false">IF(B85="","",IF(N(BCC!E85)&gt;0,BCC!E85,IF(AND(N(IFERROR(INDEX(NV_DG,MATCH(B85,NV_MA,0)),0))&gt;0,IFERROR(INDEX(NV_NHOM,MATCH(B85,NV_MA,0)),"")=D85),INDEX(NV_DG,MATCH(B85,NV_MA,0)),IFERROR(INDEX(NH_DG,MATCH(D85,NH_TEN,0)),0))))</f>
        <v/>
      </c>
      <c r="G85" s="27" t="str">
        <f aca="false">IF(B85="","",N(IFERROR(INDEX(NV_LT,MATCH(B85,NV_MA,0)),0)))</f>
        <v/>
      </c>
      <c r="H85" s="22" t="str">
        <f aca="false">IF(B85="","",BCC!AL85)</f>
        <v/>
      </c>
      <c r="I85" s="23" t="str">
        <f aca="false">IF(B85="","",BCC!AM85)</f>
        <v/>
      </c>
      <c r="J85" s="23" t="str">
        <f aca="false">IF(B85="","",BCC!AN85)</f>
        <v/>
      </c>
      <c r="K85" s="27" t="str">
        <f aca="false">IF(B85="","",IF(E85="Khoán tháng",G85,IF(E85="Lương tháng",G85/INDEX(NH_CHIA,MATCH(D85,NH_TEN,0))*MIN(I85,INDEX(NH_CHIA,MATCH(D85,NH_TEN,0))),I85*F85)))</f>
        <v/>
      </c>
      <c r="L85" s="27" t="str">
        <f aca="false">IF(B85="","",(I85-J85)*INDEX(NH_HTN,MATCH(D85,NH_TEN,0)))</f>
        <v/>
      </c>
      <c r="M85" s="27" t="str">
        <f aca="false">IF(B85="","",J85*INDEX(NH_HTD,MATCH(D85,NH_TEN,0)))</f>
        <v/>
      </c>
      <c r="N85" s="27" t="str">
        <f aca="false">IF(B85="","",I85*IF(N(IFERROR(INDEX(NV_AN,MATCH(B85,NV_MA,0)),0))&gt;0,INDEX(NV_AN,MATCH(B85,NV_MA,0)),INDEX(NH_AN,MATCH(D85,NH_TEN,0))))</f>
        <v/>
      </c>
      <c r="O85" s="27" t="str">
        <f aca="false">IF(B85="","",N(KT_NGUOI!AL85))</f>
        <v/>
      </c>
      <c r="P85" s="27" t="n">
        <f aca="false">IF(OR(B85="",COUNTIF($B$6:B85,B85)&gt;1),0,SUMPRODUCT(((KT_M1=B85)+(KT_M2=B85)+(KT_M3=B85))*(KT_LOAI="Đích danh")*KT_PHAN))</f>
        <v>0</v>
      </c>
      <c r="Q85" s="27" t="n">
        <f aca="false">IF(OR(B85="",COUNTIF($B$6:B85,B85)&gt;1),0,SUMIFS(DC_VND,DC_MA,$B85,DC_LOAI,"Cộng"))</f>
        <v>0</v>
      </c>
      <c r="R85" s="30" t="str">
        <f aca="false">IF(B85="","",SUM(K85:Q85))</f>
        <v/>
      </c>
      <c r="S85" s="27" t="n">
        <f aca="false">IF(OR(B85="",COUNTIF($B$6:B85,B85)&gt;1),0,SUMIFS(DC_VND,DC_MA,$B85,DC_LOAI,"Tạm ứng"))</f>
        <v>0</v>
      </c>
      <c r="T85" s="27" t="n">
        <f aca="false">IF(OR(B85="",COUNTIF($B$6:B85,B85)&gt;1),0,SUMIFS(DC_VND,DC_MA,$B85,DC_LOAI,"Trừ"))</f>
        <v>0</v>
      </c>
      <c r="U85" s="27" t="str">
        <f aca="false">IF(B85="","",ROUNDDOWN((R85-S85-T85)/INDEX(NH_LT,MATCH(D85,NH_TEN,0)),0)*INDEX(NH_LT,MATCH(D85,NH_TEN,0)))</f>
        <v/>
      </c>
      <c r="V85" s="30" t="str">
        <f aca="false">IF(B85="","",IF(COUNTIF($B$6:B85,B85)&gt;1,"",SUMIFS($U$6:$U$100,$B$6:$B$100,B85)))</f>
        <v/>
      </c>
      <c r="W85" s="16"/>
    </row>
    <row r="86" customFormat="false" ht="15" hidden="false" customHeight="false" outlineLevel="0" collapsed="false">
      <c r="A86" s="17" t="str">
        <f aca="false">IF(B86="","",ROW()-5)</f>
        <v/>
      </c>
      <c r="B86" s="29" t="str">
        <f aca="false">IF(BCC!B86="","",BCC!B86)</f>
        <v/>
      </c>
      <c r="C86" s="17" t="str">
        <f aca="false">IF(B86="","",BCC!C86)</f>
        <v/>
      </c>
      <c r="D86" s="17" t="str">
        <f aca="false">IF(B86="","",BCC!D86)</f>
        <v/>
      </c>
      <c r="E86" s="17" t="str">
        <f aca="false">IF(B86="","",IFERROR(INDEX(NV_HT,MATCH(B86,NV_MA,0)),""))</f>
        <v/>
      </c>
      <c r="F86" s="27" t="str">
        <f aca="false">IF(B86="","",IF(N(BCC!E86)&gt;0,BCC!E86,IF(AND(N(IFERROR(INDEX(NV_DG,MATCH(B86,NV_MA,0)),0))&gt;0,IFERROR(INDEX(NV_NHOM,MATCH(B86,NV_MA,0)),"")=D86),INDEX(NV_DG,MATCH(B86,NV_MA,0)),IFERROR(INDEX(NH_DG,MATCH(D86,NH_TEN,0)),0))))</f>
        <v/>
      </c>
      <c r="G86" s="27" t="str">
        <f aca="false">IF(B86="","",N(IFERROR(INDEX(NV_LT,MATCH(B86,NV_MA,0)),0)))</f>
        <v/>
      </c>
      <c r="H86" s="22" t="str">
        <f aca="false">IF(B86="","",BCC!AL86)</f>
        <v/>
      </c>
      <c r="I86" s="23" t="str">
        <f aca="false">IF(B86="","",BCC!AM86)</f>
        <v/>
      </c>
      <c r="J86" s="23" t="str">
        <f aca="false">IF(B86="","",BCC!AN86)</f>
        <v/>
      </c>
      <c r="K86" s="27" t="str">
        <f aca="false">IF(B86="","",IF(E86="Khoán tháng",G86,IF(E86="Lương tháng",G86/INDEX(NH_CHIA,MATCH(D86,NH_TEN,0))*MIN(I86,INDEX(NH_CHIA,MATCH(D86,NH_TEN,0))),I86*F86)))</f>
        <v/>
      </c>
      <c r="L86" s="27" t="str">
        <f aca="false">IF(B86="","",(I86-J86)*INDEX(NH_HTN,MATCH(D86,NH_TEN,0)))</f>
        <v/>
      </c>
      <c r="M86" s="27" t="str">
        <f aca="false">IF(B86="","",J86*INDEX(NH_HTD,MATCH(D86,NH_TEN,0)))</f>
        <v/>
      </c>
      <c r="N86" s="27" t="str">
        <f aca="false">IF(B86="","",I86*IF(N(IFERROR(INDEX(NV_AN,MATCH(B86,NV_MA,0)),0))&gt;0,INDEX(NV_AN,MATCH(B86,NV_MA,0)),INDEX(NH_AN,MATCH(D86,NH_TEN,0))))</f>
        <v/>
      </c>
      <c r="O86" s="27" t="str">
        <f aca="false">IF(B86="","",N(KT_NGUOI!AL86))</f>
        <v/>
      </c>
      <c r="P86" s="27" t="n">
        <f aca="false">IF(OR(B86="",COUNTIF($B$6:B86,B86)&gt;1),0,SUMPRODUCT(((KT_M1=B86)+(KT_M2=B86)+(KT_M3=B86))*(KT_LOAI="Đích danh")*KT_PHAN))</f>
        <v>0</v>
      </c>
      <c r="Q86" s="27" t="n">
        <f aca="false">IF(OR(B86="",COUNTIF($B$6:B86,B86)&gt;1),0,SUMIFS(DC_VND,DC_MA,$B86,DC_LOAI,"Cộng"))</f>
        <v>0</v>
      </c>
      <c r="R86" s="30" t="str">
        <f aca="false">IF(B86="","",SUM(K86:Q86))</f>
        <v/>
      </c>
      <c r="S86" s="27" t="n">
        <f aca="false">IF(OR(B86="",COUNTIF($B$6:B86,B86)&gt;1),0,SUMIFS(DC_VND,DC_MA,$B86,DC_LOAI,"Tạm ứng"))</f>
        <v>0</v>
      </c>
      <c r="T86" s="27" t="n">
        <f aca="false">IF(OR(B86="",COUNTIF($B$6:B86,B86)&gt;1),0,SUMIFS(DC_VND,DC_MA,$B86,DC_LOAI,"Trừ"))</f>
        <v>0</v>
      </c>
      <c r="U86" s="27" t="str">
        <f aca="false">IF(B86="","",ROUNDDOWN((R86-S86-T86)/INDEX(NH_LT,MATCH(D86,NH_TEN,0)),0)*INDEX(NH_LT,MATCH(D86,NH_TEN,0)))</f>
        <v/>
      </c>
      <c r="V86" s="30" t="str">
        <f aca="false">IF(B86="","",IF(COUNTIF($B$6:B86,B86)&gt;1,"",SUMIFS($U$6:$U$100,$B$6:$B$100,B86)))</f>
        <v/>
      </c>
      <c r="W86" s="16"/>
    </row>
    <row r="87" customFormat="false" ht="15" hidden="false" customHeight="false" outlineLevel="0" collapsed="false">
      <c r="A87" s="17" t="str">
        <f aca="false">IF(B87="","",ROW()-5)</f>
        <v/>
      </c>
      <c r="B87" s="29" t="str">
        <f aca="false">IF(BCC!B87="","",BCC!B87)</f>
        <v/>
      </c>
      <c r="C87" s="17" t="str">
        <f aca="false">IF(B87="","",BCC!C87)</f>
        <v/>
      </c>
      <c r="D87" s="17" t="str">
        <f aca="false">IF(B87="","",BCC!D87)</f>
        <v/>
      </c>
      <c r="E87" s="17" t="str">
        <f aca="false">IF(B87="","",IFERROR(INDEX(NV_HT,MATCH(B87,NV_MA,0)),""))</f>
        <v/>
      </c>
      <c r="F87" s="27" t="str">
        <f aca="false">IF(B87="","",IF(N(BCC!E87)&gt;0,BCC!E87,IF(AND(N(IFERROR(INDEX(NV_DG,MATCH(B87,NV_MA,0)),0))&gt;0,IFERROR(INDEX(NV_NHOM,MATCH(B87,NV_MA,0)),"")=D87),INDEX(NV_DG,MATCH(B87,NV_MA,0)),IFERROR(INDEX(NH_DG,MATCH(D87,NH_TEN,0)),0))))</f>
        <v/>
      </c>
      <c r="G87" s="27" t="str">
        <f aca="false">IF(B87="","",N(IFERROR(INDEX(NV_LT,MATCH(B87,NV_MA,0)),0)))</f>
        <v/>
      </c>
      <c r="H87" s="22" t="str">
        <f aca="false">IF(B87="","",BCC!AL87)</f>
        <v/>
      </c>
      <c r="I87" s="23" t="str">
        <f aca="false">IF(B87="","",BCC!AM87)</f>
        <v/>
      </c>
      <c r="J87" s="23" t="str">
        <f aca="false">IF(B87="","",BCC!AN87)</f>
        <v/>
      </c>
      <c r="K87" s="27" t="str">
        <f aca="false">IF(B87="","",IF(E87="Khoán tháng",G87,IF(E87="Lương tháng",G87/INDEX(NH_CHIA,MATCH(D87,NH_TEN,0))*MIN(I87,INDEX(NH_CHIA,MATCH(D87,NH_TEN,0))),I87*F87)))</f>
        <v/>
      </c>
      <c r="L87" s="27" t="str">
        <f aca="false">IF(B87="","",(I87-J87)*INDEX(NH_HTN,MATCH(D87,NH_TEN,0)))</f>
        <v/>
      </c>
      <c r="M87" s="27" t="str">
        <f aca="false">IF(B87="","",J87*INDEX(NH_HTD,MATCH(D87,NH_TEN,0)))</f>
        <v/>
      </c>
      <c r="N87" s="27" t="str">
        <f aca="false">IF(B87="","",I87*IF(N(IFERROR(INDEX(NV_AN,MATCH(B87,NV_MA,0)),0))&gt;0,INDEX(NV_AN,MATCH(B87,NV_MA,0)),INDEX(NH_AN,MATCH(D87,NH_TEN,0))))</f>
        <v/>
      </c>
      <c r="O87" s="27" t="str">
        <f aca="false">IF(B87="","",N(KT_NGUOI!AL87))</f>
        <v/>
      </c>
      <c r="P87" s="27" t="n">
        <f aca="false">IF(OR(B87="",COUNTIF($B$6:B87,B87)&gt;1),0,SUMPRODUCT(((KT_M1=B87)+(KT_M2=B87)+(KT_M3=B87))*(KT_LOAI="Đích danh")*KT_PHAN))</f>
        <v>0</v>
      </c>
      <c r="Q87" s="27" t="n">
        <f aca="false">IF(OR(B87="",COUNTIF($B$6:B87,B87)&gt;1),0,SUMIFS(DC_VND,DC_MA,$B87,DC_LOAI,"Cộng"))</f>
        <v>0</v>
      </c>
      <c r="R87" s="30" t="str">
        <f aca="false">IF(B87="","",SUM(K87:Q87))</f>
        <v/>
      </c>
      <c r="S87" s="27" t="n">
        <f aca="false">IF(OR(B87="",COUNTIF($B$6:B87,B87)&gt;1),0,SUMIFS(DC_VND,DC_MA,$B87,DC_LOAI,"Tạm ứng"))</f>
        <v>0</v>
      </c>
      <c r="T87" s="27" t="n">
        <f aca="false">IF(OR(B87="",COUNTIF($B$6:B87,B87)&gt;1),0,SUMIFS(DC_VND,DC_MA,$B87,DC_LOAI,"Trừ"))</f>
        <v>0</v>
      </c>
      <c r="U87" s="27" t="str">
        <f aca="false">IF(B87="","",ROUNDDOWN((R87-S87-T87)/INDEX(NH_LT,MATCH(D87,NH_TEN,0)),0)*INDEX(NH_LT,MATCH(D87,NH_TEN,0)))</f>
        <v/>
      </c>
      <c r="V87" s="30" t="str">
        <f aca="false">IF(B87="","",IF(COUNTIF($B$6:B87,B87)&gt;1,"",SUMIFS($U$6:$U$100,$B$6:$B$100,B87)))</f>
        <v/>
      </c>
      <c r="W87" s="16"/>
    </row>
    <row r="88" customFormat="false" ht="15" hidden="false" customHeight="false" outlineLevel="0" collapsed="false">
      <c r="A88" s="17" t="str">
        <f aca="false">IF(B88="","",ROW()-5)</f>
        <v/>
      </c>
      <c r="B88" s="29" t="str">
        <f aca="false">IF(BCC!B88="","",BCC!B88)</f>
        <v/>
      </c>
      <c r="C88" s="17" t="str">
        <f aca="false">IF(B88="","",BCC!C88)</f>
        <v/>
      </c>
      <c r="D88" s="17" t="str">
        <f aca="false">IF(B88="","",BCC!D88)</f>
        <v/>
      </c>
      <c r="E88" s="17" t="str">
        <f aca="false">IF(B88="","",IFERROR(INDEX(NV_HT,MATCH(B88,NV_MA,0)),""))</f>
        <v/>
      </c>
      <c r="F88" s="27" t="str">
        <f aca="false">IF(B88="","",IF(N(BCC!E88)&gt;0,BCC!E88,IF(AND(N(IFERROR(INDEX(NV_DG,MATCH(B88,NV_MA,0)),0))&gt;0,IFERROR(INDEX(NV_NHOM,MATCH(B88,NV_MA,0)),"")=D88),INDEX(NV_DG,MATCH(B88,NV_MA,0)),IFERROR(INDEX(NH_DG,MATCH(D88,NH_TEN,0)),0))))</f>
        <v/>
      </c>
      <c r="G88" s="27" t="str">
        <f aca="false">IF(B88="","",N(IFERROR(INDEX(NV_LT,MATCH(B88,NV_MA,0)),0)))</f>
        <v/>
      </c>
      <c r="H88" s="22" t="str">
        <f aca="false">IF(B88="","",BCC!AL88)</f>
        <v/>
      </c>
      <c r="I88" s="23" t="str">
        <f aca="false">IF(B88="","",BCC!AM88)</f>
        <v/>
      </c>
      <c r="J88" s="23" t="str">
        <f aca="false">IF(B88="","",BCC!AN88)</f>
        <v/>
      </c>
      <c r="K88" s="27" t="str">
        <f aca="false">IF(B88="","",IF(E88="Khoán tháng",G88,IF(E88="Lương tháng",G88/INDEX(NH_CHIA,MATCH(D88,NH_TEN,0))*MIN(I88,INDEX(NH_CHIA,MATCH(D88,NH_TEN,0))),I88*F88)))</f>
        <v/>
      </c>
      <c r="L88" s="27" t="str">
        <f aca="false">IF(B88="","",(I88-J88)*INDEX(NH_HTN,MATCH(D88,NH_TEN,0)))</f>
        <v/>
      </c>
      <c r="M88" s="27" t="str">
        <f aca="false">IF(B88="","",J88*INDEX(NH_HTD,MATCH(D88,NH_TEN,0)))</f>
        <v/>
      </c>
      <c r="N88" s="27" t="str">
        <f aca="false">IF(B88="","",I88*IF(N(IFERROR(INDEX(NV_AN,MATCH(B88,NV_MA,0)),0))&gt;0,INDEX(NV_AN,MATCH(B88,NV_MA,0)),INDEX(NH_AN,MATCH(D88,NH_TEN,0))))</f>
        <v/>
      </c>
      <c r="O88" s="27" t="str">
        <f aca="false">IF(B88="","",N(KT_NGUOI!AL88))</f>
        <v/>
      </c>
      <c r="P88" s="27" t="n">
        <f aca="false">IF(OR(B88="",COUNTIF($B$6:B88,B88)&gt;1),0,SUMPRODUCT(((KT_M1=B88)+(KT_M2=B88)+(KT_M3=B88))*(KT_LOAI="Đích danh")*KT_PHAN))</f>
        <v>0</v>
      </c>
      <c r="Q88" s="27" t="n">
        <f aca="false">IF(OR(B88="",COUNTIF($B$6:B88,B88)&gt;1),0,SUMIFS(DC_VND,DC_MA,$B88,DC_LOAI,"Cộng"))</f>
        <v>0</v>
      </c>
      <c r="R88" s="30" t="str">
        <f aca="false">IF(B88="","",SUM(K88:Q88))</f>
        <v/>
      </c>
      <c r="S88" s="27" t="n">
        <f aca="false">IF(OR(B88="",COUNTIF($B$6:B88,B88)&gt;1),0,SUMIFS(DC_VND,DC_MA,$B88,DC_LOAI,"Tạm ứng"))</f>
        <v>0</v>
      </c>
      <c r="T88" s="27" t="n">
        <f aca="false">IF(OR(B88="",COUNTIF($B$6:B88,B88)&gt;1),0,SUMIFS(DC_VND,DC_MA,$B88,DC_LOAI,"Trừ"))</f>
        <v>0</v>
      </c>
      <c r="U88" s="27" t="str">
        <f aca="false">IF(B88="","",ROUNDDOWN((R88-S88-T88)/INDEX(NH_LT,MATCH(D88,NH_TEN,0)),0)*INDEX(NH_LT,MATCH(D88,NH_TEN,0)))</f>
        <v/>
      </c>
      <c r="V88" s="30" t="str">
        <f aca="false">IF(B88="","",IF(COUNTIF($B$6:B88,B88)&gt;1,"",SUMIFS($U$6:$U$100,$B$6:$B$100,B88)))</f>
        <v/>
      </c>
      <c r="W88" s="16"/>
    </row>
    <row r="89" customFormat="false" ht="15" hidden="false" customHeight="false" outlineLevel="0" collapsed="false">
      <c r="A89" s="17" t="str">
        <f aca="false">IF(B89="","",ROW()-5)</f>
        <v/>
      </c>
      <c r="B89" s="29" t="str">
        <f aca="false">IF(BCC!B89="","",BCC!B89)</f>
        <v/>
      </c>
      <c r="C89" s="17" t="str">
        <f aca="false">IF(B89="","",BCC!C89)</f>
        <v/>
      </c>
      <c r="D89" s="17" t="str">
        <f aca="false">IF(B89="","",BCC!D89)</f>
        <v/>
      </c>
      <c r="E89" s="17" t="str">
        <f aca="false">IF(B89="","",IFERROR(INDEX(NV_HT,MATCH(B89,NV_MA,0)),""))</f>
        <v/>
      </c>
      <c r="F89" s="27" t="str">
        <f aca="false">IF(B89="","",IF(N(BCC!E89)&gt;0,BCC!E89,IF(AND(N(IFERROR(INDEX(NV_DG,MATCH(B89,NV_MA,0)),0))&gt;0,IFERROR(INDEX(NV_NHOM,MATCH(B89,NV_MA,0)),"")=D89),INDEX(NV_DG,MATCH(B89,NV_MA,0)),IFERROR(INDEX(NH_DG,MATCH(D89,NH_TEN,0)),0))))</f>
        <v/>
      </c>
      <c r="G89" s="27" t="str">
        <f aca="false">IF(B89="","",N(IFERROR(INDEX(NV_LT,MATCH(B89,NV_MA,0)),0)))</f>
        <v/>
      </c>
      <c r="H89" s="22" t="str">
        <f aca="false">IF(B89="","",BCC!AL89)</f>
        <v/>
      </c>
      <c r="I89" s="23" t="str">
        <f aca="false">IF(B89="","",BCC!AM89)</f>
        <v/>
      </c>
      <c r="J89" s="23" t="str">
        <f aca="false">IF(B89="","",BCC!AN89)</f>
        <v/>
      </c>
      <c r="K89" s="27" t="str">
        <f aca="false">IF(B89="","",IF(E89="Khoán tháng",G89,IF(E89="Lương tháng",G89/INDEX(NH_CHIA,MATCH(D89,NH_TEN,0))*MIN(I89,INDEX(NH_CHIA,MATCH(D89,NH_TEN,0))),I89*F89)))</f>
        <v/>
      </c>
      <c r="L89" s="27" t="str">
        <f aca="false">IF(B89="","",(I89-J89)*INDEX(NH_HTN,MATCH(D89,NH_TEN,0)))</f>
        <v/>
      </c>
      <c r="M89" s="27" t="str">
        <f aca="false">IF(B89="","",J89*INDEX(NH_HTD,MATCH(D89,NH_TEN,0)))</f>
        <v/>
      </c>
      <c r="N89" s="27" t="str">
        <f aca="false">IF(B89="","",I89*IF(N(IFERROR(INDEX(NV_AN,MATCH(B89,NV_MA,0)),0))&gt;0,INDEX(NV_AN,MATCH(B89,NV_MA,0)),INDEX(NH_AN,MATCH(D89,NH_TEN,0))))</f>
        <v/>
      </c>
      <c r="O89" s="27" t="str">
        <f aca="false">IF(B89="","",N(KT_NGUOI!AL89))</f>
        <v/>
      </c>
      <c r="P89" s="27" t="n">
        <f aca="false">IF(OR(B89="",COUNTIF($B$6:B89,B89)&gt;1),0,SUMPRODUCT(((KT_M1=B89)+(KT_M2=B89)+(KT_M3=B89))*(KT_LOAI="Đích danh")*KT_PHAN))</f>
        <v>0</v>
      </c>
      <c r="Q89" s="27" t="n">
        <f aca="false">IF(OR(B89="",COUNTIF($B$6:B89,B89)&gt;1),0,SUMIFS(DC_VND,DC_MA,$B89,DC_LOAI,"Cộng"))</f>
        <v>0</v>
      </c>
      <c r="R89" s="30" t="str">
        <f aca="false">IF(B89="","",SUM(K89:Q89))</f>
        <v/>
      </c>
      <c r="S89" s="27" t="n">
        <f aca="false">IF(OR(B89="",COUNTIF($B$6:B89,B89)&gt;1),0,SUMIFS(DC_VND,DC_MA,$B89,DC_LOAI,"Tạm ứng"))</f>
        <v>0</v>
      </c>
      <c r="T89" s="27" t="n">
        <f aca="false">IF(OR(B89="",COUNTIF($B$6:B89,B89)&gt;1),0,SUMIFS(DC_VND,DC_MA,$B89,DC_LOAI,"Trừ"))</f>
        <v>0</v>
      </c>
      <c r="U89" s="27" t="str">
        <f aca="false">IF(B89="","",ROUNDDOWN((R89-S89-T89)/INDEX(NH_LT,MATCH(D89,NH_TEN,0)),0)*INDEX(NH_LT,MATCH(D89,NH_TEN,0)))</f>
        <v/>
      </c>
      <c r="V89" s="30" t="str">
        <f aca="false">IF(B89="","",IF(COUNTIF($B$6:B89,B89)&gt;1,"",SUMIFS($U$6:$U$100,$B$6:$B$100,B89)))</f>
        <v/>
      </c>
      <c r="W89" s="16"/>
    </row>
    <row r="90" customFormat="false" ht="15" hidden="false" customHeight="false" outlineLevel="0" collapsed="false">
      <c r="A90" s="17" t="str">
        <f aca="false">IF(B90="","",ROW()-5)</f>
        <v/>
      </c>
      <c r="B90" s="29" t="str">
        <f aca="false">IF(BCC!B90="","",BCC!B90)</f>
        <v/>
      </c>
      <c r="C90" s="17" t="str">
        <f aca="false">IF(B90="","",BCC!C90)</f>
        <v/>
      </c>
      <c r="D90" s="17" t="str">
        <f aca="false">IF(B90="","",BCC!D90)</f>
        <v/>
      </c>
      <c r="E90" s="17" t="str">
        <f aca="false">IF(B90="","",IFERROR(INDEX(NV_HT,MATCH(B90,NV_MA,0)),""))</f>
        <v/>
      </c>
      <c r="F90" s="27" t="str">
        <f aca="false">IF(B90="","",IF(N(BCC!E90)&gt;0,BCC!E90,IF(AND(N(IFERROR(INDEX(NV_DG,MATCH(B90,NV_MA,0)),0))&gt;0,IFERROR(INDEX(NV_NHOM,MATCH(B90,NV_MA,0)),"")=D90),INDEX(NV_DG,MATCH(B90,NV_MA,0)),IFERROR(INDEX(NH_DG,MATCH(D90,NH_TEN,0)),0))))</f>
        <v/>
      </c>
      <c r="G90" s="27" t="str">
        <f aca="false">IF(B90="","",N(IFERROR(INDEX(NV_LT,MATCH(B90,NV_MA,0)),0)))</f>
        <v/>
      </c>
      <c r="H90" s="22" t="str">
        <f aca="false">IF(B90="","",BCC!AL90)</f>
        <v/>
      </c>
      <c r="I90" s="23" t="str">
        <f aca="false">IF(B90="","",BCC!AM90)</f>
        <v/>
      </c>
      <c r="J90" s="23" t="str">
        <f aca="false">IF(B90="","",BCC!AN90)</f>
        <v/>
      </c>
      <c r="K90" s="27" t="str">
        <f aca="false">IF(B90="","",IF(E90="Khoán tháng",G90,IF(E90="Lương tháng",G90/INDEX(NH_CHIA,MATCH(D90,NH_TEN,0))*MIN(I90,INDEX(NH_CHIA,MATCH(D90,NH_TEN,0))),I90*F90)))</f>
        <v/>
      </c>
      <c r="L90" s="27" t="str">
        <f aca="false">IF(B90="","",(I90-J90)*INDEX(NH_HTN,MATCH(D90,NH_TEN,0)))</f>
        <v/>
      </c>
      <c r="M90" s="27" t="str">
        <f aca="false">IF(B90="","",J90*INDEX(NH_HTD,MATCH(D90,NH_TEN,0)))</f>
        <v/>
      </c>
      <c r="N90" s="27" t="str">
        <f aca="false">IF(B90="","",I90*IF(N(IFERROR(INDEX(NV_AN,MATCH(B90,NV_MA,0)),0))&gt;0,INDEX(NV_AN,MATCH(B90,NV_MA,0)),INDEX(NH_AN,MATCH(D90,NH_TEN,0))))</f>
        <v/>
      </c>
      <c r="O90" s="27" t="str">
        <f aca="false">IF(B90="","",N(KT_NGUOI!AL90))</f>
        <v/>
      </c>
      <c r="P90" s="27" t="n">
        <f aca="false">IF(OR(B90="",COUNTIF($B$6:B90,B90)&gt;1),0,SUMPRODUCT(((KT_M1=B90)+(KT_M2=B90)+(KT_M3=B90))*(KT_LOAI="Đích danh")*KT_PHAN))</f>
        <v>0</v>
      </c>
      <c r="Q90" s="27" t="n">
        <f aca="false">IF(OR(B90="",COUNTIF($B$6:B90,B90)&gt;1),0,SUMIFS(DC_VND,DC_MA,$B90,DC_LOAI,"Cộng"))</f>
        <v>0</v>
      </c>
      <c r="R90" s="30" t="str">
        <f aca="false">IF(B90="","",SUM(K90:Q90))</f>
        <v/>
      </c>
      <c r="S90" s="27" t="n">
        <f aca="false">IF(OR(B90="",COUNTIF($B$6:B90,B90)&gt;1),0,SUMIFS(DC_VND,DC_MA,$B90,DC_LOAI,"Tạm ứng"))</f>
        <v>0</v>
      </c>
      <c r="T90" s="27" t="n">
        <f aca="false">IF(OR(B90="",COUNTIF($B$6:B90,B90)&gt;1),0,SUMIFS(DC_VND,DC_MA,$B90,DC_LOAI,"Trừ"))</f>
        <v>0</v>
      </c>
      <c r="U90" s="27" t="str">
        <f aca="false">IF(B90="","",ROUNDDOWN((R90-S90-T90)/INDEX(NH_LT,MATCH(D90,NH_TEN,0)),0)*INDEX(NH_LT,MATCH(D90,NH_TEN,0)))</f>
        <v/>
      </c>
      <c r="V90" s="30" t="str">
        <f aca="false">IF(B90="","",IF(COUNTIF($B$6:B90,B90)&gt;1,"",SUMIFS($U$6:$U$100,$B$6:$B$100,B90)))</f>
        <v/>
      </c>
      <c r="W90" s="16"/>
    </row>
    <row r="91" customFormat="false" ht="15" hidden="false" customHeight="false" outlineLevel="0" collapsed="false">
      <c r="A91" s="17" t="str">
        <f aca="false">IF(B91="","",ROW()-5)</f>
        <v/>
      </c>
      <c r="B91" s="29" t="str">
        <f aca="false">IF(BCC!B91="","",BCC!B91)</f>
        <v/>
      </c>
      <c r="C91" s="17" t="str">
        <f aca="false">IF(B91="","",BCC!C91)</f>
        <v/>
      </c>
      <c r="D91" s="17" t="str">
        <f aca="false">IF(B91="","",BCC!D91)</f>
        <v/>
      </c>
      <c r="E91" s="17" t="str">
        <f aca="false">IF(B91="","",IFERROR(INDEX(NV_HT,MATCH(B91,NV_MA,0)),""))</f>
        <v/>
      </c>
      <c r="F91" s="27" t="str">
        <f aca="false">IF(B91="","",IF(N(BCC!E91)&gt;0,BCC!E91,IF(AND(N(IFERROR(INDEX(NV_DG,MATCH(B91,NV_MA,0)),0))&gt;0,IFERROR(INDEX(NV_NHOM,MATCH(B91,NV_MA,0)),"")=D91),INDEX(NV_DG,MATCH(B91,NV_MA,0)),IFERROR(INDEX(NH_DG,MATCH(D91,NH_TEN,0)),0))))</f>
        <v/>
      </c>
      <c r="G91" s="27" t="str">
        <f aca="false">IF(B91="","",N(IFERROR(INDEX(NV_LT,MATCH(B91,NV_MA,0)),0)))</f>
        <v/>
      </c>
      <c r="H91" s="22" t="str">
        <f aca="false">IF(B91="","",BCC!AL91)</f>
        <v/>
      </c>
      <c r="I91" s="23" t="str">
        <f aca="false">IF(B91="","",BCC!AM91)</f>
        <v/>
      </c>
      <c r="J91" s="23" t="str">
        <f aca="false">IF(B91="","",BCC!AN91)</f>
        <v/>
      </c>
      <c r="K91" s="27" t="str">
        <f aca="false">IF(B91="","",IF(E91="Khoán tháng",G91,IF(E91="Lương tháng",G91/INDEX(NH_CHIA,MATCH(D91,NH_TEN,0))*MIN(I91,INDEX(NH_CHIA,MATCH(D91,NH_TEN,0))),I91*F91)))</f>
        <v/>
      </c>
      <c r="L91" s="27" t="str">
        <f aca="false">IF(B91="","",(I91-J91)*INDEX(NH_HTN,MATCH(D91,NH_TEN,0)))</f>
        <v/>
      </c>
      <c r="M91" s="27" t="str">
        <f aca="false">IF(B91="","",J91*INDEX(NH_HTD,MATCH(D91,NH_TEN,0)))</f>
        <v/>
      </c>
      <c r="N91" s="27" t="str">
        <f aca="false">IF(B91="","",I91*IF(N(IFERROR(INDEX(NV_AN,MATCH(B91,NV_MA,0)),0))&gt;0,INDEX(NV_AN,MATCH(B91,NV_MA,0)),INDEX(NH_AN,MATCH(D91,NH_TEN,0))))</f>
        <v/>
      </c>
      <c r="O91" s="27" t="str">
        <f aca="false">IF(B91="","",N(KT_NGUOI!AL91))</f>
        <v/>
      </c>
      <c r="P91" s="27" t="n">
        <f aca="false">IF(OR(B91="",COUNTIF($B$6:B91,B91)&gt;1),0,SUMPRODUCT(((KT_M1=B91)+(KT_M2=B91)+(KT_M3=B91))*(KT_LOAI="Đích danh")*KT_PHAN))</f>
        <v>0</v>
      </c>
      <c r="Q91" s="27" t="n">
        <f aca="false">IF(OR(B91="",COUNTIF($B$6:B91,B91)&gt;1),0,SUMIFS(DC_VND,DC_MA,$B91,DC_LOAI,"Cộng"))</f>
        <v>0</v>
      </c>
      <c r="R91" s="30" t="str">
        <f aca="false">IF(B91="","",SUM(K91:Q91))</f>
        <v/>
      </c>
      <c r="S91" s="27" t="n">
        <f aca="false">IF(OR(B91="",COUNTIF($B$6:B91,B91)&gt;1),0,SUMIFS(DC_VND,DC_MA,$B91,DC_LOAI,"Tạm ứng"))</f>
        <v>0</v>
      </c>
      <c r="T91" s="27" t="n">
        <f aca="false">IF(OR(B91="",COUNTIF($B$6:B91,B91)&gt;1),0,SUMIFS(DC_VND,DC_MA,$B91,DC_LOAI,"Trừ"))</f>
        <v>0</v>
      </c>
      <c r="U91" s="27" t="str">
        <f aca="false">IF(B91="","",ROUNDDOWN((R91-S91-T91)/INDEX(NH_LT,MATCH(D91,NH_TEN,0)),0)*INDEX(NH_LT,MATCH(D91,NH_TEN,0)))</f>
        <v/>
      </c>
      <c r="V91" s="30" t="str">
        <f aca="false">IF(B91="","",IF(COUNTIF($B$6:B91,B91)&gt;1,"",SUMIFS($U$6:$U$100,$B$6:$B$100,B91)))</f>
        <v/>
      </c>
      <c r="W91" s="16"/>
    </row>
    <row r="92" customFormat="false" ht="15" hidden="false" customHeight="false" outlineLevel="0" collapsed="false">
      <c r="A92" s="17" t="str">
        <f aca="false">IF(B92="","",ROW()-5)</f>
        <v/>
      </c>
      <c r="B92" s="29" t="str">
        <f aca="false">IF(BCC!B92="","",BCC!B92)</f>
        <v/>
      </c>
      <c r="C92" s="17" t="str">
        <f aca="false">IF(B92="","",BCC!C92)</f>
        <v/>
      </c>
      <c r="D92" s="17" t="str">
        <f aca="false">IF(B92="","",BCC!D92)</f>
        <v/>
      </c>
      <c r="E92" s="17" t="str">
        <f aca="false">IF(B92="","",IFERROR(INDEX(NV_HT,MATCH(B92,NV_MA,0)),""))</f>
        <v/>
      </c>
      <c r="F92" s="27" t="str">
        <f aca="false">IF(B92="","",IF(N(BCC!E92)&gt;0,BCC!E92,IF(AND(N(IFERROR(INDEX(NV_DG,MATCH(B92,NV_MA,0)),0))&gt;0,IFERROR(INDEX(NV_NHOM,MATCH(B92,NV_MA,0)),"")=D92),INDEX(NV_DG,MATCH(B92,NV_MA,0)),IFERROR(INDEX(NH_DG,MATCH(D92,NH_TEN,0)),0))))</f>
        <v/>
      </c>
      <c r="G92" s="27" t="str">
        <f aca="false">IF(B92="","",N(IFERROR(INDEX(NV_LT,MATCH(B92,NV_MA,0)),0)))</f>
        <v/>
      </c>
      <c r="H92" s="22" t="str">
        <f aca="false">IF(B92="","",BCC!AL92)</f>
        <v/>
      </c>
      <c r="I92" s="23" t="str">
        <f aca="false">IF(B92="","",BCC!AM92)</f>
        <v/>
      </c>
      <c r="J92" s="23" t="str">
        <f aca="false">IF(B92="","",BCC!AN92)</f>
        <v/>
      </c>
      <c r="K92" s="27" t="str">
        <f aca="false">IF(B92="","",IF(E92="Khoán tháng",G92,IF(E92="Lương tháng",G92/INDEX(NH_CHIA,MATCH(D92,NH_TEN,0))*MIN(I92,INDEX(NH_CHIA,MATCH(D92,NH_TEN,0))),I92*F92)))</f>
        <v/>
      </c>
      <c r="L92" s="27" t="str">
        <f aca="false">IF(B92="","",(I92-J92)*INDEX(NH_HTN,MATCH(D92,NH_TEN,0)))</f>
        <v/>
      </c>
      <c r="M92" s="27" t="str">
        <f aca="false">IF(B92="","",J92*INDEX(NH_HTD,MATCH(D92,NH_TEN,0)))</f>
        <v/>
      </c>
      <c r="N92" s="27" t="str">
        <f aca="false">IF(B92="","",I92*IF(N(IFERROR(INDEX(NV_AN,MATCH(B92,NV_MA,0)),0))&gt;0,INDEX(NV_AN,MATCH(B92,NV_MA,0)),INDEX(NH_AN,MATCH(D92,NH_TEN,0))))</f>
        <v/>
      </c>
      <c r="O92" s="27" t="str">
        <f aca="false">IF(B92="","",N(KT_NGUOI!AL92))</f>
        <v/>
      </c>
      <c r="P92" s="27" t="n">
        <f aca="false">IF(OR(B92="",COUNTIF($B$6:B92,B92)&gt;1),0,SUMPRODUCT(((KT_M1=B92)+(KT_M2=B92)+(KT_M3=B92))*(KT_LOAI="Đích danh")*KT_PHAN))</f>
        <v>0</v>
      </c>
      <c r="Q92" s="27" t="n">
        <f aca="false">IF(OR(B92="",COUNTIF($B$6:B92,B92)&gt;1),0,SUMIFS(DC_VND,DC_MA,$B92,DC_LOAI,"Cộng"))</f>
        <v>0</v>
      </c>
      <c r="R92" s="30" t="str">
        <f aca="false">IF(B92="","",SUM(K92:Q92))</f>
        <v/>
      </c>
      <c r="S92" s="27" t="n">
        <f aca="false">IF(OR(B92="",COUNTIF($B$6:B92,B92)&gt;1),0,SUMIFS(DC_VND,DC_MA,$B92,DC_LOAI,"Tạm ứng"))</f>
        <v>0</v>
      </c>
      <c r="T92" s="27" t="n">
        <f aca="false">IF(OR(B92="",COUNTIF($B$6:B92,B92)&gt;1),0,SUMIFS(DC_VND,DC_MA,$B92,DC_LOAI,"Trừ"))</f>
        <v>0</v>
      </c>
      <c r="U92" s="27" t="str">
        <f aca="false">IF(B92="","",ROUNDDOWN((R92-S92-T92)/INDEX(NH_LT,MATCH(D92,NH_TEN,0)),0)*INDEX(NH_LT,MATCH(D92,NH_TEN,0)))</f>
        <v/>
      </c>
      <c r="V92" s="30" t="str">
        <f aca="false">IF(B92="","",IF(COUNTIF($B$6:B92,B92)&gt;1,"",SUMIFS($U$6:$U$100,$B$6:$B$100,B92)))</f>
        <v/>
      </c>
      <c r="W92" s="16"/>
    </row>
    <row r="93" customFormat="false" ht="15" hidden="false" customHeight="false" outlineLevel="0" collapsed="false">
      <c r="A93" s="17" t="str">
        <f aca="false">IF(B93="","",ROW()-5)</f>
        <v/>
      </c>
      <c r="B93" s="29" t="str">
        <f aca="false">IF(BCC!B93="","",BCC!B93)</f>
        <v/>
      </c>
      <c r="C93" s="17" t="str">
        <f aca="false">IF(B93="","",BCC!C93)</f>
        <v/>
      </c>
      <c r="D93" s="17" t="str">
        <f aca="false">IF(B93="","",BCC!D93)</f>
        <v/>
      </c>
      <c r="E93" s="17" t="str">
        <f aca="false">IF(B93="","",IFERROR(INDEX(NV_HT,MATCH(B93,NV_MA,0)),""))</f>
        <v/>
      </c>
      <c r="F93" s="27" t="str">
        <f aca="false">IF(B93="","",IF(N(BCC!E93)&gt;0,BCC!E93,IF(AND(N(IFERROR(INDEX(NV_DG,MATCH(B93,NV_MA,0)),0))&gt;0,IFERROR(INDEX(NV_NHOM,MATCH(B93,NV_MA,0)),"")=D93),INDEX(NV_DG,MATCH(B93,NV_MA,0)),IFERROR(INDEX(NH_DG,MATCH(D93,NH_TEN,0)),0))))</f>
        <v/>
      </c>
      <c r="G93" s="27" t="str">
        <f aca="false">IF(B93="","",N(IFERROR(INDEX(NV_LT,MATCH(B93,NV_MA,0)),0)))</f>
        <v/>
      </c>
      <c r="H93" s="22" t="str">
        <f aca="false">IF(B93="","",BCC!AL93)</f>
        <v/>
      </c>
      <c r="I93" s="23" t="str">
        <f aca="false">IF(B93="","",BCC!AM93)</f>
        <v/>
      </c>
      <c r="J93" s="23" t="str">
        <f aca="false">IF(B93="","",BCC!AN93)</f>
        <v/>
      </c>
      <c r="K93" s="27" t="str">
        <f aca="false">IF(B93="","",IF(E93="Khoán tháng",G93,IF(E93="Lương tháng",G93/INDEX(NH_CHIA,MATCH(D93,NH_TEN,0))*MIN(I93,INDEX(NH_CHIA,MATCH(D93,NH_TEN,0))),I93*F93)))</f>
        <v/>
      </c>
      <c r="L93" s="27" t="str">
        <f aca="false">IF(B93="","",(I93-J93)*INDEX(NH_HTN,MATCH(D93,NH_TEN,0)))</f>
        <v/>
      </c>
      <c r="M93" s="27" t="str">
        <f aca="false">IF(B93="","",J93*INDEX(NH_HTD,MATCH(D93,NH_TEN,0)))</f>
        <v/>
      </c>
      <c r="N93" s="27" t="str">
        <f aca="false">IF(B93="","",I93*IF(N(IFERROR(INDEX(NV_AN,MATCH(B93,NV_MA,0)),0))&gt;0,INDEX(NV_AN,MATCH(B93,NV_MA,0)),INDEX(NH_AN,MATCH(D93,NH_TEN,0))))</f>
        <v/>
      </c>
      <c r="O93" s="27" t="str">
        <f aca="false">IF(B93="","",N(KT_NGUOI!AL93))</f>
        <v/>
      </c>
      <c r="P93" s="27" t="n">
        <f aca="false">IF(OR(B93="",COUNTIF($B$6:B93,B93)&gt;1),0,SUMPRODUCT(((KT_M1=B93)+(KT_M2=B93)+(KT_M3=B93))*(KT_LOAI="Đích danh")*KT_PHAN))</f>
        <v>0</v>
      </c>
      <c r="Q93" s="27" t="n">
        <f aca="false">IF(OR(B93="",COUNTIF($B$6:B93,B93)&gt;1),0,SUMIFS(DC_VND,DC_MA,$B93,DC_LOAI,"Cộng"))</f>
        <v>0</v>
      </c>
      <c r="R93" s="30" t="str">
        <f aca="false">IF(B93="","",SUM(K93:Q93))</f>
        <v/>
      </c>
      <c r="S93" s="27" t="n">
        <f aca="false">IF(OR(B93="",COUNTIF($B$6:B93,B93)&gt;1),0,SUMIFS(DC_VND,DC_MA,$B93,DC_LOAI,"Tạm ứng"))</f>
        <v>0</v>
      </c>
      <c r="T93" s="27" t="n">
        <f aca="false">IF(OR(B93="",COUNTIF($B$6:B93,B93)&gt;1),0,SUMIFS(DC_VND,DC_MA,$B93,DC_LOAI,"Trừ"))</f>
        <v>0</v>
      </c>
      <c r="U93" s="27" t="str">
        <f aca="false">IF(B93="","",ROUNDDOWN((R93-S93-T93)/INDEX(NH_LT,MATCH(D93,NH_TEN,0)),0)*INDEX(NH_LT,MATCH(D93,NH_TEN,0)))</f>
        <v/>
      </c>
      <c r="V93" s="30" t="str">
        <f aca="false">IF(B93="","",IF(COUNTIF($B$6:B93,B93)&gt;1,"",SUMIFS($U$6:$U$100,$B$6:$B$100,B93)))</f>
        <v/>
      </c>
      <c r="W93" s="16"/>
    </row>
    <row r="94" customFormat="false" ht="15" hidden="false" customHeight="false" outlineLevel="0" collapsed="false">
      <c r="A94" s="17" t="str">
        <f aca="false">IF(B94="","",ROW()-5)</f>
        <v/>
      </c>
      <c r="B94" s="29" t="str">
        <f aca="false">IF(BCC!B94="","",BCC!B94)</f>
        <v/>
      </c>
      <c r="C94" s="17" t="str">
        <f aca="false">IF(B94="","",BCC!C94)</f>
        <v/>
      </c>
      <c r="D94" s="17" t="str">
        <f aca="false">IF(B94="","",BCC!D94)</f>
        <v/>
      </c>
      <c r="E94" s="17" t="str">
        <f aca="false">IF(B94="","",IFERROR(INDEX(NV_HT,MATCH(B94,NV_MA,0)),""))</f>
        <v/>
      </c>
      <c r="F94" s="27" t="str">
        <f aca="false">IF(B94="","",IF(N(BCC!E94)&gt;0,BCC!E94,IF(AND(N(IFERROR(INDEX(NV_DG,MATCH(B94,NV_MA,0)),0))&gt;0,IFERROR(INDEX(NV_NHOM,MATCH(B94,NV_MA,0)),"")=D94),INDEX(NV_DG,MATCH(B94,NV_MA,0)),IFERROR(INDEX(NH_DG,MATCH(D94,NH_TEN,0)),0))))</f>
        <v/>
      </c>
      <c r="G94" s="27" t="str">
        <f aca="false">IF(B94="","",N(IFERROR(INDEX(NV_LT,MATCH(B94,NV_MA,0)),0)))</f>
        <v/>
      </c>
      <c r="H94" s="22" t="str">
        <f aca="false">IF(B94="","",BCC!AL94)</f>
        <v/>
      </c>
      <c r="I94" s="23" t="str">
        <f aca="false">IF(B94="","",BCC!AM94)</f>
        <v/>
      </c>
      <c r="J94" s="23" t="str">
        <f aca="false">IF(B94="","",BCC!AN94)</f>
        <v/>
      </c>
      <c r="K94" s="27" t="str">
        <f aca="false">IF(B94="","",IF(E94="Khoán tháng",G94,IF(E94="Lương tháng",G94/INDEX(NH_CHIA,MATCH(D94,NH_TEN,0))*MIN(I94,INDEX(NH_CHIA,MATCH(D94,NH_TEN,0))),I94*F94)))</f>
        <v/>
      </c>
      <c r="L94" s="27" t="str">
        <f aca="false">IF(B94="","",(I94-J94)*INDEX(NH_HTN,MATCH(D94,NH_TEN,0)))</f>
        <v/>
      </c>
      <c r="M94" s="27" t="str">
        <f aca="false">IF(B94="","",J94*INDEX(NH_HTD,MATCH(D94,NH_TEN,0)))</f>
        <v/>
      </c>
      <c r="N94" s="27" t="str">
        <f aca="false">IF(B94="","",I94*IF(N(IFERROR(INDEX(NV_AN,MATCH(B94,NV_MA,0)),0))&gt;0,INDEX(NV_AN,MATCH(B94,NV_MA,0)),INDEX(NH_AN,MATCH(D94,NH_TEN,0))))</f>
        <v/>
      </c>
      <c r="O94" s="27" t="str">
        <f aca="false">IF(B94="","",N(KT_NGUOI!AL94))</f>
        <v/>
      </c>
      <c r="P94" s="27" t="n">
        <f aca="false">IF(OR(B94="",COUNTIF($B$6:B94,B94)&gt;1),0,SUMPRODUCT(((KT_M1=B94)+(KT_M2=B94)+(KT_M3=B94))*(KT_LOAI="Đích danh")*KT_PHAN))</f>
        <v>0</v>
      </c>
      <c r="Q94" s="27" t="n">
        <f aca="false">IF(OR(B94="",COUNTIF($B$6:B94,B94)&gt;1),0,SUMIFS(DC_VND,DC_MA,$B94,DC_LOAI,"Cộng"))</f>
        <v>0</v>
      </c>
      <c r="R94" s="30" t="str">
        <f aca="false">IF(B94="","",SUM(K94:Q94))</f>
        <v/>
      </c>
      <c r="S94" s="27" t="n">
        <f aca="false">IF(OR(B94="",COUNTIF($B$6:B94,B94)&gt;1),0,SUMIFS(DC_VND,DC_MA,$B94,DC_LOAI,"Tạm ứng"))</f>
        <v>0</v>
      </c>
      <c r="T94" s="27" t="n">
        <f aca="false">IF(OR(B94="",COUNTIF($B$6:B94,B94)&gt;1),0,SUMIFS(DC_VND,DC_MA,$B94,DC_LOAI,"Trừ"))</f>
        <v>0</v>
      </c>
      <c r="U94" s="27" t="str">
        <f aca="false">IF(B94="","",ROUNDDOWN((R94-S94-T94)/INDEX(NH_LT,MATCH(D94,NH_TEN,0)),0)*INDEX(NH_LT,MATCH(D94,NH_TEN,0)))</f>
        <v/>
      </c>
      <c r="V94" s="30" t="str">
        <f aca="false">IF(B94="","",IF(COUNTIF($B$6:B94,B94)&gt;1,"",SUMIFS($U$6:$U$100,$B$6:$B$100,B94)))</f>
        <v/>
      </c>
      <c r="W94" s="16"/>
    </row>
    <row r="95" customFormat="false" ht="15" hidden="false" customHeight="false" outlineLevel="0" collapsed="false">
      <c r="A95" s="17" t="str">
        <f aca="false">IF(B95="","",ROW()-5)</f>
        <v/>
      </c>
      <c r="B95" s="29" t="str">
        <f aca="false">IF(BCC!B95="","",BCC!B95)</f>
        <v/>
      </c>
      <c r="C95" s="17" t="str">
        <f aca="false">IF(B95="","",BCC!C95)</f>
        <v/>
      </c>
      <c r="D95" s="17" t="str">
        <f aca="false">IF(B95="","",BCC!D95)</f>
        <v/>
      </c>
      <c r="E95" s="17" t="str">
        <f aca="false">IF(B95="","",IFERROR(INDEX(NV_HT,MATCH(B95,NV_MA,0)),""))</f>
        <v/>
      </c>
      <c r="F95" s="27" t="str">
        <f aca="false">IF(B95="","",IF(N(BCC!E95)&gt;0,BCC!E95,IF(AND(N(IFERROR(INDEX(NV_DG,MATCH(B95,NV_MA,0)),0))&gt;0,IFERROR(INDEX(NV_NHOM,MATCH(B95,NV_MA,0)),"")=D95),INDEX(NV_DG,MATCH(B95,NV_MA,0)),IFERROR(INDEX(NH_DG,MATCH(D95,NH_TEN,0)),0))))</f>
        <v/>
      </c>
      <c r="G95" s="27" t="str">
        <f aca="false">IF(B95="","",N(IFERROR(INDEX(NV_LT,MATCH(B95,NV_MA,0)),0)))</f>
        <v/>
      </c>
      <c r="H95" s="22" t="str">
        <f aca="false">IF(B95="","",BCC!AL95)</f>
        <v/>
      </c>
      <c r="I95" s="23" t="str">
        <f aca="false">IF(B95="","",BCC!AM95)</f>
        <v/>
      </c>
      <c r="J95" s="23" t="str">
        <f aca="false">IF(B95="","",BCC!AN95)</f>
        <v/>
      </c>
      <c r="K95" s="27" t="str">
        <f aca="false">IF(B95="","",IF(E95="Khoán tháng",G95,IF(E95="Lương tháng",G95/INDEX(NH_CHIA,MATCH(D95,NH_TEN,0))*MIN(I95,INDEX(NH_CHIA,MATCH(D95,NH_TEN,0))),I95*F95)))</f>
        <v/>
      </c>
      <c r="L95" s="27" t="str">
        <f aca="false">IF(B95="","",(I95-J95)*INDEX(NH_HTN,MATCH(D95,NH_TEN,0)))</f>
        <v/>
      </c>
      <c r="M95" s="27" t="str">
        <f aca="false">IF(B95="","",J95*INDEX(NH_HTD,MATCH(D95,NH_TEN,0)))</f>
        <v/>
      </c>
      <c r="N95" s="27" t="str">
        <f aca="false">IF(B95="","",I95*IF(N(IFERROR(INDEX(NV_AN,MATCH(B95,NV_MA,0)),0))&gt;0,INDEX(NV_AN,MATCH(B95,NV_MA,0)),INDEX(NH_AN,MATCH(D95,NH_TEN,0))))</f>
        <v/>
      </c>
      <c r="O95" s="27" t="str">
        <f aca="false">IF(B95="","",N(KT_NGUOI!AL95))</f>
        <v/>
      </c>
      <c r="P95" s="27" t="n">
        <f aca="false">IF(OR(B95="",COUNTIF($B$6:B95,B95)&gt;1),0,SUMPRODUCT(((KT_M1=B95)+(KT_M2=B95)+(KT_M3=B95))*(KT_LOAI="Đích danh")*KT_PHAN))</f>
        <v>0</v>
      </c>
      <c r="Q95" s="27" t="n">
        <f aca="false">IF(OR(B95="",COUNTIF($B$6:B95,B95)&gt;1),0,SUMIFS(DC_VND,DC_MA,$B95,DC_LOAI,"Cộng"))</f>
        <v>0</v>
      </c>
      <c r="R95" s="30" t="str">
        <f aca="false">IF(B95="","",SUM(K95:Q95))</f>
        <v/>
      </c>
      <c r="S95" s="27" t="n">
        <f aca="false">IF(OR(B95="",COUNTIF($B$6:B95,B95)&gt;1),0,SUMIFS(DC_VND,DC_MA,$B95,DC_LOAI,"Tạm ứng"))</f>
        <v>0</v>
      </c>
      <c r="T95" s="27" t="n">
        <f aca="false">IF(OR(B95="",COUNTIF($B$6:B95,B95)&gt;1),0,SUMIFS(DC_VND,DC_MA,$B95,DC_LOAI,"Trừ"))</f>
        <v>0</v>
      </c>
      <c r="U95" s="27" t="str">
        <f aca="false">IF(B95="","",ROUNDDOWN((R95-S95-T95)/INDEX(NH_LT,MATCH(D95,NH_TEN,0)),0)*INDEX(NH_LT,MATCH(D95,NH_TEN,0)))</f>
        <v/>
      </c>
      <c r="V95" s="30" t="str">
        <f aca="false">IF(B95="","",IF(COUNTIF($B$6:B95,B95)&gt;1,"",SUMIFS($U$6:$U$100,$B$6:$B$100,B95)))</f>
        <v/>
      </c>
      <c r="W95" s="16"/>
    </row>
    <row r="96" customFormat="false" ht="15" hidden="false" customHeight="false" outlineLevel="0" collapsed="false">
      <c r="A96" s="17" t="str">
        <f aca="false">IF(B96="","",ROW()-5)</f>
        <v/>
      </c>
      <c r="B96" s="29" t="str">
        <f aca="false">IF(BCC!B96="","",BCC!B96)</f>
        <v/>
      </c>
      <c r="C96" s="17" t="str">
        <f aca="false">IF(B96="","",BCC!C96)</f>
        <v/>
      </c>
      <c r="D96" s="17" t="str">
        <f aca="false">IF(B96="","",BCC!D96)</f>
        <v/>
      </c>
      <c r="E96" s="17" t="str">
        <f aca="false">IF(B96="","",IFERROR(INDEX(NV_HT,MATCH(B96,NV_MA,0)),""))</f>
        <v/>
      </c>
      <c r="F96" s="27" t="str">
        <f aca="false">IF(B96="","",IF(N(BCC!E96)&gt;0,BCC!E96,IF(AND(N(IFERROR(INDEX(NV_DG,MATCH(B96,NV_MA,0)),0))&gt;0,IFERROR(INDEX(NV_NHOM,MATCH(B96,NV_MA,0)),"")=D96),INDEX(NV_DG,MATCH(B96,NV_MA,0)),IFERROR(INDEX(NH_DG,MATCH(D96,NH_TEN,0)),0))))</f>
        <v/>
      </c>
      <c r="G96" s="27" t="str">
        <f aca="false">IF(B96="","",N(IFERROR(INDEX(NV_LT,MATCH(B96,NV_MA,0)),0)))</f>
        <v/>
      </c>
      <c r="H96" s="22" t="str">
        <f aca="false">IF(B96="","",BCC!AL96)</f>
        <v/>
      </c>
      <c r="I96" s="23" t="str">
        <f aca="false">IF(B96="","",BCC!AM96)</f>
        <v/>
      </c>
      <c r="J96" s="23" t="str">
        <f aca="false">IF(B96="","",BCC!AN96)</f>
        <v/>
      </c>
      <c r="K96" s="27" t="str">
        <f aca="false">IF(B96="","",IF(E96="Khoán tháng",G96,IF(E96="Lương tháng",G96/INDEX(NH_CHIA,MATCH(D96,NH_TEN,0))*MIN(I96,INDEX(NH_CHIA,MATCH(D96,NH_TEN,0))),I96*F96)))</f>
        <v/>
      </c>
      <c r="L96" s="27" t="str">
        <f aca="false">IF(B96="","",(I96-J96)*INDEX(NH_HTN,MATCH(D96,NH_TEN,0)))</f>
        <v/>
      </c>
      <c r="M96" s="27" t="str">
        <f aca="false">IF(B96="","",J96*INDEX(NH_HTD,MATCH(D96,NH_TEN,0)))</f>
        <v/>
      </c>
      <c r="N96" s="27" t="str">
        <f aca="false">IF(B96="","",I96*IF(N(IFERROR(INDEX(NV_AN,MATCH(B96,NV_MA,0)),0))&gt;0,INDEX(NV_AN,MATCH(B96,NV_MA,0)),INDEX(NH_AN,MATCH(D96,NH_TEN,0))))</f>
        <v/>
      </c>
      <c r="O96" s="27" t="str">
        <f aca="false">IF(B96="","",N(KT_NGUOI!AL96))</f>
        <v/>
      </c>
      <c r="P96" s="27" t="n">
        <f aca="false">IF(OR(B96="",COUNTIF($B$6:B96,B96)&gt;1),0,SUMPRODUCT(((KT_M1=B96)+(KT_M2=B96)+(KT_M3=B96))*(KT_LOAI="Đích danh")*KT_PHAN))</f>
        <v>0</v>
      </c>
      <c r="Q96" s="27" t="n">
        <f aca="false">IF(OR(B96="",COUNTIF($B$6:B96,B96)&gt;1),0,SUMIFS(DC_VND,DC_MA,$B96,DC_LOAI,"Cộng"))</f>
        <v>0</v>
      </c>
      <c r="R96" s="30" t="str">
        <f aca="false">IF(B96="","",SUM(K96:Q96))</f>
        <v/>
      </c>
      <c r="S96" s="27" t="n">
        <f aca="false">IF(OR(B96="",COUNTIF($B$6:B96,B96)&gt;1),0,SUMIFS(DC_VND,DC_MA,$B96,DC_LOAI,"Tạm ứng"))</f>
        <v>0</v>
      </c>
      <c r="T96" s="27" t="n">
        <f aca="false">IF(OR(B96="",COUNTIF($B$6:B96,B96)&gt;1),0,SUMIFS(DC_VND,DC_MA,$B96,DC_LOAI,"Trừ"))</f>
        <v>0</v>
      </c>
      <c r="U96" s="27" t="str">
        <f aca="false">IF(B96="","",ROUNDDOWN((R96-S96-T96)/INDEX(NH_LT,MATCH(D96,NH_TEN,0)),0)*INDEX(NH_LT,MATCH(D96,NH_TEN,0)))</f>
        <v/>
      </c>
      <c r="V96" s="30" t="str">
        <f aca="false">IF(B96="","",IF(COUNTIF($B$6:B96,B96)&gt;1,"",SUMIFS($U$6:$U$100,$B$6:$B$100,B96)))</f>
        <v/>
      </c>
      <c r="W96" s="16"/>
    </row>
    <row r="97" customFormat="false" ht="15" hidden="false" customHeight="false" outlineLevel="0" collapsed="false">
      <c r="A97" s="17" t="str">
        <f aca="false">IF(B97="","",ROW()-5)</f>
        <v/>
      </c>
      <c r="B97" s="29" t="str">
        <f aca="false">IF(BCC!B97="","",BCC!B97)</f>
        <v/>
      </c>
      <c r="C97" s="17" t="str">
        <f aca="false">IF(B97="","",BCC!C97)</f>
        <v/>
      </c>
      <c r="D97" s="17" t="str">
        <f aca="false">IF(B97="","",BCC!D97)</f>
        <v/>
      </c>
      <c r="E97" s="17" t="str">
        <f aca="false">IF(B97="","",IFERROR(INDEX(NV_HT,MATCH(B97,NV_MA,0)),""))</f>
        <v/>
      </c>
      <c r="F97" s="27" t="str">
        <f aca="false">IF(B97="","",IF(N(BCC!E97)&gt;0,BCC!E97,IF(AND(N(IFERROR(INDEX(NV_DG,MATCH(B97,NV_MA,0)),0))&gt;0,IFERROR(INDEX(NV_NHOM,MATCH(B97,NV_MA,0)),"")=D97),INDEX(NV_DG,MATCH(B97,NV_MA,0)),IFERROR(INDEX(NH_DG,MATCH(D97,NH_TEN,0)),0))))</f>
        <v/>
      </c>
      <c r="G97" s="27" t="str">
        <f aca="false">IF(B97="","",N(IFERROR(INDEX(NV_LT,MATCH(B97,NV_MA,0)),0)))</f>
        <v/>
      </c>
      <c r="H97" s="22" t="str">
        <f aca="false">IF(B97="","",BCC!AL97)</f>
        <v/>
      </c>
      <c r="I97" s="23" t="str">
        <f aca="false">IF(B97="","",BCC!AM97)</f>
        <v/>
      </c>
      <c r="J97" s="23" t="str">
        <f aca="false">IF(B97="","",BCC!AN97)</f>
        <v/>
      </c>
      <c r="K97" s="27" t="str">
        <f aca="false">IF(B97="","",IF(E97="Khoán tháng",G97,IF(E97="Lương tháng",G97/INDEX(NH_CHIA,MATCH(D97,NH_TEN,0))*MIN(I97,INDEX(NH_CHIA,MATCH(D97,NH_TEN,0))),I97*F97)))</f>
        <v/>
      </c>
      <c r="L97" s="27" t="str">
        <f aca="false">IF(B97="","",(I97-J97)*INDEX(NH_HTN,MATCH(D97,NH_TEN,0)))</f>
        <v/>
      </c>
      <c r="M97" s="27" t="str">
        <f aca="false">IF(B97="","",J97*INDEX(NH_HTD,MATCH(D97,NH_TEN,0)))</f>
        <v/>
      </c>
      <c r="N97" s="27" t="str">
        <f aca="false">IF(B97="","",I97*IF(N(IFERROR(INDEX(NV_AN,MATCH(B97,NV_MA,0)),0))&gt;0,INDEX(NV_AN,MATCH(B97,NV_MA,0)),INDEX(NH_AN,MATCH(D97,NH_TEN,0))))</f>
        <v/>
      </c>
      <c r="O97" s="27" t="str">
        <f aca="false">IF(B97="","",N(KT_NGUOI!AL97))</f>
        <v/>
      </c>
      <c r="P97" s="27" t="n">
        <f aca="false">IF(OR(B97="",COUNTIF($B$6:B97,B97)&gt;1),0,SUMPRODUCT(((KT_M1=B97)+(KT_M2=B97)+(KT_M3=B97))*(KT_LOAI="Đích danh")*KT_PHAN))</f>
        <v>0</v>
      </c>
      <c r="Q97" s="27" t="n">
        <f aca="false">IF(OR(B97="",COUNTIF($B$6:B97,B97)&gt;1),0,SUMIFS(DC_VND,DC_MA,$B97,DC_LOAI,"Cộng"))</f>
        <v>0</v>
      </c>
      <c r="R97" s="30" t="str">
        <f aca="false">IF(B97="","",SUM(K97:Q97))</f>
        <v/>
      </c>
      <c r="S97" s="27" t="n">
        <f aca="false">IF(OR(B97="",COUNTIF($B$6:B97,B97)&gt;1),0,SUMIFS(DC_VND,DC_MA,$B97,DC_LOAI,"Tạm ứng"))</f>
        <v>0</v>
      </c>
      <c r="T97" s="27" t="n">
        <f aca="false">IF(OR(B97="",COUNTIF($B$6:B97,B97)&gt;1),0,SUMIFS(DC_VND,DC_MA,$B97,DC_LOAI,"Trừ"))</f>
        <v>0</v>
      </c>
      <c r="U97" s="27" t="str">
        <f aca="false">IF(B97="","",ROUNDDOWN((R97-S97-T97)/INDEX(NH_LT,MATCH(D97,NH_TEN,0)),0)*INDEX(NH_LT,MATCH(D97,NH_TEN,0)))</f>
        <v/>
      </c>
      <c r="V97" s="30" t="str">
        <f aca="false">IF(B97="","",IF(COUNTIF($B$6:B97,B97)&gt;1,"",SUMIFS($U$6:$U$100,$B$6:$B$100,B97)))</f>
        <v/>
      </c>
      <c r="W97" s="16"/>
    </row>
    <row r="98" customFormat="false" ht="15" hidden="false" customHeight="false" outlineLevel="0" collapsed="false">
      <c r="A98" s="17" t="str">
        <f aca="false">IF(B98="","",ROW()-5)</f>
        <v/>
      </c>
      <c r="B98" s="29" t="str">
        <f aca="false">IF(BCC!B98="","",BCC!B98)</f>
        <v/>
      </c>
      <c r="C98" s="17" t="str">
        <f aca="false">IF(B98="","",BCC!C98)</f>
        <v/>
      </c>
      <c r="D98" s="17" t="str">
        <f aca="false">IF(B98="","",BCC!D98)</f>
        <v/>
      </c>
      <c r="E98" s="17" t="str">
        <f aca="false">IF(B98="","",IFERROR(INDEX(NV_HT,MATCH(B98,NV_MA,0)),""))</f>
        <v/>
      </c>
      <c r="F98" s="27" t="str">
        <f aca="false">IF(B98="","",IF(N(BCC!E98)&gt;0,BCC!E98,IF(AND(N(IFERROR(INDEX(NV_DG,MATCH(B98,NV_MA,0)),0))&gt;0,IFERROR(INDEX(NV_NHOM,MATCH(B98,NV_MA,0)),"")=D98),INDEX(NV_DG,MATCH(B98,NV_MA,0)),IFERROR(INDEX(NH_DG,MATCH(D98,NH_TEN,0)),0))))</f>
        <v/>
      </c>
      <c r="G98" s="27" t="str">
        <f aca="false">IF(B98="","",N(IFERROR(INDEX(NV_LT,MATCH(B98,NV_MA,0)),0)))</f>
        <v/>
      </c>
      <c r="H98" s="22" t="str">
        <f aca="false">IF(B98="","",BCC!AL98)</f>
        <v/>
      </c>
      <c r="I98" s="23" t="str">
        <f aca="false">IF(B98="","",BCC!AM98)</f>
        <v/>
      </c>
      <c r="J98" s="23" t="str">
        <f aca="false">IF(B98="","",BCC!AN98)</f>
        <v/>
      </c>
      <c r="K98" s="27" t="str">
        <f aca="false">IF(B98="","",IF(E98="Khoán tháng",G98,IF(E98="Lương tháng",G98/INDEX(NH_CHIA,MATCH(D98,NH_TEN,0))*MIN(I98,INDEX(NH_CHIA,MATCH(D98,NH_TEN,0))),I98*F98)))</f>
        <v/>
      </c>
      <c r="L98" s="27" t="str">
        <f aca="false">IF(B98="","",(I98-J98)*INDEX(NH_HTN,MATCH(D98,NH_TEN,0)))</f>
        <v/>
      </c>
      <c r="M98" s="27" t="str">
        <f aca="false">IF(B98="","",J98*INDEX(NH_HTD,MATCH(D98,NH_TEN,0)))</f>
        <v/>
      </c>
      <c r="N98" s="27" t="str">
        <f aca="false">IF(B98="","",I98*IF(N(IFERROR(INDEX(NV_AN,MATCH(B98,NV_MA,0)),0))&gt;0,INDEX(NV_AN,MATCH(B98,NV_MA,0)),INDEX(NH_AN,MATCH(D98,NH_TEN,0))))</f>
        <v/>
      </c>
      <c r="O98" s="27" t="str">
        <f aca="false">IF(B98="","",N(KT_NGUOI!AL98))</f>
        <v/>
      </c>
      <c r="P98" s="27" t="n">
        <f aca="false">IF(OR(B98="",COUNTIF($B$6:B98,B98)&gt;1),0,SUMPRODUCT(((KT_M1=B98)+(KT_M2=B98)+(KT_M3=B98))*(KT_LOAI="Đích danh")*KT_PHAN))</f>
        <v>0</v>
      </c>
      <c r="Q98" s="27" t="n">
        <f aca="false">IF(OR(B98="",COUNTIF($B$6:B98,B98)&gt;1),0,SUMIFS(DC_VND,DC_MA,$B98,DC_LOAI,"Cộng"))</f>
        <v>0</v>
      </c>
      <c r="R98" s="30" t="str">
        <f aca="false">IF(B98="","",SUM(K98:Q98))</f>
        <v/>
      </c>
      <c r="S98" s="27" t="n">
        <f aca="false">IF(OR(B98="",COUNTIF($B$6:B98,B98)&gt;1),0,SUMIFS(DC_VND,DC_MA,$B98,DC_LOAI,"Tạm ứng"))</f>
        <v>0</v>
      </c>
      <c r="T98" s="27" t="n">
        <f aca="false">IF(OR(B98="",COUNTIF($B$6:B98,B98)&gt;1),0,SUMIFS(DC_VND,DC_MA,$B98,DC_LOAI,"Trừ"))</f>
        <v>0</v>
      </c>
      <c r="U98" s="27" t="str">
        <f aca="false">IF(B98="","",ROUNDDOWN((R98-S98-T98)/INDEX(NH_LT,MATCH(D98,NH_TEN,0)),0)*INDEX(NH_LT,MATCH(D98,NH_TEN,0)))</f>
        <v/>
      </c>
      <c r="V98" s="30" t="str">
        <f aca="false">IF(B98="","",IF(COUNTIF($B$6:B98,B98)&gt;1,"",SUMIFS($U$6:$U$100,$B$6:$B$100,B98)))</f>
        <v/>
      </c>
      <c r="W98" s="16"/>
    </row>
    <row r="99" customFormat="false" ht="15" hidden="false" customHeight="false" outlineLevel="0" collapsed="false">
      <c r="A99" s="17" t="str">
        <f aca="false">IF(B99="","",ROW()-5)</f>
        <v/>
      </c>
      <c r="B99" s="29" t="str">
        <f aca="false">IF(BCC!B99="","",BCC!B99)</f>
        <v/>
      </c>
      <c r="C99" s="17" t="str">
        <f aca="false">IF(B99="","",BCC!C99)</f>
        <v/>
      </c>
      <c r="D99" s="17" t="str">
        <f aca="false">IF(B99="","",BCC!D99)</f>
        <v/>
      </c>
      <c r="E99" s="17" t="str">
        <f aca="false">IF(B99="","",IFERROR(INDEX(NV_HT,MATCH(B99,NV_MA,0)),""))</f>
        <v/>
      </c>
      <c r="F99" s="27" t="str">
        <f aca="false">IF(B99="","",IF(N(BCC!E99)&gt;0,BCC!E99,IF(AND(N(IFERROR(INDEX(NV_DG,MATCH(B99,NV_MA,0)),0))&gt;0,IFERROR(INDEX(NV_NHOM,MATCH(B99,NV_MA,0)),"")=D99),INDEX(NV_DG,MATCH(B99,NV_MA,0)),IFERROR(INDEX(NH_DG,MATCH(D99,NH_TEN,0)),0))))</f>
        <v/>
      </c>
      <c r="G99" s="27" t="str">
        <f aca="false">IF(B99="","",N(IFERROR(INDEX(NV_LT,MATCH(B99,NV_MA,0)),0)))</f>
        <v/>
      </c>
      <c r="H99" s="22" t="str">
        <f aca="false">IF(B99="","",BCC!AL99)</f>
        <v/>
      </c>
      <c r="I99" s="23" t="str">
        <f aca="false">IF(B99="","",BCC!AM99)</f>
        <v/>
      </c>
      <c r="J99" s="23" t="str">
        <f aca="false">IF(B99="","",BCC!AN99)</f>
        <v/>
      </c>
      <c r="K99" s="27" t="str">
        <f aca="false">IF(B99="","",IF(E99="Khoán tháng",G99,IF(E99="Lương tháng",G99/INDEX(NH_CHIA,MATCH(D99,NH_TEN,0))*MIN(I99,INDEX(NH_CHIA,MATCH(D99,NH_TEN,0))),I99*F99)))</f>
        <v/>
      </c>
      <c r="L99" s="27" t="str">
        <f aca="false">IF(B99="","",(I99-J99)*INDEX(NH_HTN,MATCH(D99,NH_TEN,0)))</f>
        <v/>
      </c>
      <c r="M99" s="27" t="str">
        <f aca="false">IF(B99="","",J99*INDEX(NH_HTD,MATCH(D99,NH_TEN,0)))</f>
        <v/>
      </c>
      <c r="N99" s="27" t="str">
        <f aca="false">IF(B99="","",I99*IF(N(IFERROR(INDEX(NV_AN,MATCH(B99,NV_MA,0)),0))&gt;0,INDEX(NV_AN,MATCH(B99,NV_MA,0)),INDEX(NH_AN,MATCH(D99,NH_TEN,0))))</f>
        <v/>
      </c>
      <c r="O99" s="27" t="str">
        <f aca="false">IF(B99="","",N(KT_NGUOI!AL99))</f>
        <v/>
      </c>
      <c r="P99" s="27" t="n">
        <f aca="false">IF(OR(B99="",COUNTIF($B$6:B99,B99)&gt;1),0,SUMPRODUCT(((KT_M1=B99)+(KT_M2=B99)+(KT_M3=B99))*(KT_LOAI="Đích danh")*KT_PHAN))</f>
        <v>0</v>
      </c>
      <c r="Q99" s="27" t="n">
        <f aca="false">IF(OR(B99="",COUNTIF($B$6:B99,B99)&gt;1),0,SUMIFS(DC_VND,DC_MA,$B99,DC_LOAI,"Cộng"))</f>
        <v>0</v>
      </c>
      <c r="R99" s="30" t="str">
        <f aca="false">IF(B99="","",SUM(K99:Q99))</f>
        <v/>
      </c>
      <c r="S99" s="27" t="n">
        <f aca="false">IF(OR(B99="",COUNTIF($B$6:B99,B99)&gt;1),0,SUMIFS(DC_VND,DC_MA,$B99,DC_LOAI,"Tạm ứng"))</f>
        <v>0</v>
      </c>
      <c r="T99" s="27" t="n">
        <f aca="false">IF(OR(B99="",COUNTIF($B$6:B99,B99)&gt;1),0,SUMIFS(DC_VND,DC_MA,$B99,DC_LOAI,"Trừ"))</f>
        <v>0</v>
      </c>
      <c r="U99" s="27" t="str">
        <f aca="false">IF(B99="","",ROUNDDOWN((R99-S99-T99)/INDEX(NH_LT,MATCH(D99,NH_TEN,0)),0)*INDEX(NH_LT,MATCH(D99,NH_TEN,0)))</f>
        <v/>
      </c>
      <c r="V99" s="30" t="str">
        <f aca="false">IF(B99="","",IF(COUNTIF($B$6:B99,B99)&gt;1,"",SUMIFS($U$6:$U$100,$B$6:$B$100,B99)))</f>
        <v/>
      </c>
      <c r="W99" s="16"/>
    </row>
    <row r="100" customFormat="false" ht="15" hidden="false" customHeight="false" outlineLevel="0" collapsed="false">
      <c r="A100" s="17" t="str">
        <f aca="false">IF(B100="","",ROW()-5)</f>
        <v/>
      </c>
      <c r="B100" s="29" t="str">
        <f aca="false">IF(BCC!B100="","",BCC!B100)</f>
        <v/>
      </c>
      <c r="C100" s="17" t="str">
        <f aca="false">IF(B100="","",BCC!C100)</f>
        <v/>
      </c>
      <c r="D100" s="17" t="str">
        <f aca="false">IF(B100="","",BCC!D100)</f>
        <v/>
      </c>
      <c r="E100" s="17" t="str">
        <f aca="false">IF(B100="","",IFERROR(INDEX(NV_HT,MATCH(B100,NV_MA,0)),""))</f>
        <v/>
      </c>
      <c r="F100" s="27" t="str">
        <f aca="false">IF(B100="","",IF(N(BCC!E100)&gt;0,BCC!E100,IF(AND(N(IFERROR(INDEX(NV_DG,MATCH(B100,NV_MA,0)),0))&gt;0,IFERROR(INDEX(NV_NHOM,MATCH(B100,NV_MA,0)),"")=D100),INDEX(NV_DG,MATCH(B100,NV_MA,0)),IFERROR(INDEX(NH_DG,MATCH(D100,NH_TEN,0)),0))))</f>
        <v/>
      </c>
      <c r="G100" s="27" t="str">
        <f aca="false">IF(B100="","",N(IFERROR(INDEX(NV_LT,MATCH(B100,NV_MA,0)),0)))</f>
        <v/>
      </c>
      <c r="H100" s="22" t="str">
        <f aca="false">IF(B100="","",BCC!AL100)</f>
        <v/>
      </c>
      <c r="I100" s="23" t="str">
        <f aca="false">IF(B100="","",BCC!AM100)</f>
        <v/>
      </c>
      <c r="J100" s="23" t="str">
        <f aca="false">IF(B100="","",BCC!AN100)</f>
        <v/>
      </c>
      <c r="K100" s="27" t="str">
        <f aca="false">IF(B100="","",IF(E100="Khoán tháng",G100,IF(E100="Lương tháng",G100/INDEX(NH_CHIA,MATCH(D100,NH_TEN,0))*MIN(I100,INDEX(NH_CHIA,MATCH(D100,NH_TEN,0))),I100*F100)))</f>
        <v/>
      </c>
      <c r="L100" s="27" t="str">
        <f aca="false">IF(B100="","",(I100-J100)*INDEX(NH_HTN,MATCH(D100,NH_TEN,0)))</f>
        <v/>
      </c>
      <c r="M100" s="27" t="str">
        <f aca="false">IF(B100="","",J100*INDEX(NH_HTD,MATCH(D100,NH_TEN,0)))</f>
        <v/>
      </c>
      <c r="N100" s="27" t="str">
        <f aca="false">IF(B100="","",I100*IF(N(IFERROR(INDEX(NV_AN,MATCH(B100,NV_MA,0)),0))&gt;0,INDEX(NV_AN,MATCH(B100,NV_MA,0)),INDEX(NH_AN,MATCH(D100,NH_TEN,0))))</f>
        <v/>
      </c>
      <c r="O100" s="27" t="str">
        <f aca="false">IF(B100="","",N(KT_NGUOI!AL100))</f>
        <v/>
      </c>
      <c r="P100" s="27" t="n">
        <f aca="false">IF(OR(B100="",COUNTIF($B$6:B100,B100)&gt;1),0,SUMPRODUCT(((KT_M1=B100)+(KT_M2=B100)+(KT_M3=B100))*(KT_LOAI="Đích danh")*KT_PHAN))</f>
        <v>0</v>
      </c>
      <c r="Q100" s="27" t="n">
        <f aca="false">IF(OR(B100="",COUNTIF($B$6:B100,B100)&gt;1),0,SUMIFS(DC_VND,DC_MA,$B100,DC_LOAI,"Cộng"))</f>
        <v>0</v>
      </c>
      <c r="R100" s="30" t="str">
        <f aca="false">IF(B100="","",SUM(K100:Q100))</f>
        <v/>
      </c>
      <c r="S100" s="27" t="n">
        <f aca="false">IF(OR(B100="",COUNTIF($B$6:B100,B100)&gt;1),0,SUMIFS(DC_VND,DC_MA,$B100,DC_LOAI,"Tạm ứng"))</f>
        <v>0</v>
      </c>
      <c r="T100" s="27" t="n">
        <f aca="false">IF(OR(B100="",COUNTIF($B$6:B100,B100)&gt;1),0,SUMIFS(DC_VND,DC_MA,$B100,DC_LOAI,"Trừ"))</f>
        <v>0</v>
      </c>
      <c r="U100" s="27" t="str">
        <f aca="false">IF(B100="","",ROUNDDOWN((R100-S100-T100)/INDEX(NH_LT,MATCH(D100,NH_TEN,0)),0)*INDEX(NH_LT,MATCH(D100,NH_TEN,0)))</f>
        <v/>
      </c>
      <c r="V100" s="30" t="str">
        <f aca="false">IF(B100="","",IF(COUNTIF($B$6:B100,B100)&gt;1,"",SUMIFS($U$6:$U$100,$B$6:$B$100,B100)))</f>
        <v/>
      </c>
      <c r="W100" s="16"/>
    </row>
    <row r="102" customFormat="false" ht="15" hidden="false" customHeight="false" outlineLevel="0" collapsed="false">
      <c r="C102" s="3" t="s">
        <v>274</v>
      </c>
      <c r="H102" s="25" t="n">
        <f aca="false">SUM(H6:H100)</f>
        <v>5657.1</v>
      </c>
      <c r="I102" s="25" t="n">
        <f aca="false">SUM(I6:I100)</f>
        <v>692.1375</v>
      </c>
      <c r="J102" s="25" t="n">
        <f aca="false">SUM(J6:J100)</f>
        <v>15</v>
      </c>
      <c r="K102" s="28" t="n">
        <f aca="false">SUM(K6:K100)</f>
        <v>222163125</v>
      </c>
      <c r="L102" s="28" t="n">
        <f aca="false">SUM(L6:L100)</f>
        <v>1510000</v>
      </c>
      <c r="M102" s="28" t="n">
        <f aca="false">SUM(M6:M100)</f>
        <v>1380000</v>
      </c>
      <c r="N102" s="28" t="n">
        <f aca="false">SUM(N6:N100)</f>
        <v>2790000</v>
      </c>
      <c r="O102" s="28" t="n">
        <f aca="false">SUM(O6:O100)</f>
        <v>23407832.5</v>
      </c>
      <c r="P102" s="28" t="n">
        <f aca="false">SUM(P6:P100)</f>
        <v>1997750</v>
      </c>
      <c r="Q102" s="28" t="n">
        <f aca="false">SUM(Q6:Q100)</f>
        <v>1592000</v>
      </c>
      <c r="R102" s="28" t="n">
        <f aca="false">SUM(R6:R100)</f>
        <v>254840707.5</v>
      </c>
      <c r="S102" s="28" t="n">
        <f aca="false">SUM(S6:S100)</f>
        <v>0</v>
      </c>
      <c r="T102" s="28" t="n">
        <f aca="false">SUM(T6:T100)</f>
        <v>0</v>
      </c>
      <c r="U102" s="28" t="n">
        <f aca="false">SUM(U6:U100)</f>
        <v>254840707</v>
      </c>
      <c r="V102" s="28" t="n">
        <f aca="false">SUM(V6:V100)</f>
        <v>254840707</v>
      </c>
    </row>
    <row r="103" customFormat="false" ht="15" hidden="false" customHeight="false" outlineLevel="0" collapsed="false">
      <c r="C103" s="3" t="s">
        <v>360</v>
      </c>
    </row>
    <row r="104" customFormat="false" ht="15" hidden="false" customHeight="false" outlineLevel="0" collapsed="false">
      <c r="C104" s="0" t="s">
        <v>66</v>
      </c>
      <c r="U104" s="32" t="n">
        <f aca="false">SUMIFS(U6:U100,D6:D100,"RSS HAPĐ")</f>
        <v>99003125</v>
      </c>
    </row>
    <row r="105" customFormat="false" ht="15" hidden="false" customHeight="false" outlineLevel="0" collapsed="false">
      <c r="C105" s="0" t="s">
        <v>69</v>
      </c>
      <c r="U105" s="32" t="n">
        <f aca="false">SUMIFS(U6:U100,D6:D100,"Trực lò")</f>
        <v>7500000</v>
      </c>
    </row>
    <row r="106" customFormat="false" ht="15" hidden="false" customHeight="false" outlineLevel="0" collapsed="false">
      <c r="C106" s="0" t="s">
        <v>72</v>
      </c>
      <c r="U106" s="32" t="n">
        <f aca="false">SUMIFS(U6:U100,D6:D100,"A Lưới SX")</f>
        <v>11601250</v>
      </c>
    </row>
    <row r="107" customFormat="false" ht="15" hidden="false" customHeight="false" outlineLevel="0" collapsed="false">
      <c r="C107" s="0" t="s">
        <v>75</v>
      </c>
      <c r="U107" s="32" t="n">
        <f aca="false">SUMIFS(U6:U100,D6:D100,"A Lưới RSS")</f>
        <v>12543750</v>
      </c>
    </row>
    <row r="108" customFormat="false" ht="15" hidden="false" customHeight="false" outlineLevel="0" collapsed="false">
      <c r="C108" s="0" t="s">
        <v>78</v>
      </c>
      <c r="U108" s="32" t="n">
        <f aca="false">SUMIFS(U6:U100,D6:D100,"Thời vụ HAQT")</f>
        <v>112910582</v>
      </c>
    </row>
    <row r="109" customFormat="false" ht="15" hidden="false" customHeight="false" outlineLevel="0" collapsed="false">
      <c r="C109" s="0" t="s">
        <v>81</v>
      </c>
      <c r="U109" s="32" t="n">
        <f aca="false">SUMIFS(U6:U100,D6:D100,"Lào")</f>
        <v>11282000</v>
      </c>
    </row>
  </sheetData>
  <sheetProtection sheet="tru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70"/>
    <col collapsed="false" customWidth="true" hidden="false" outlineLevel="0" max="3" min="3" style="0" width="14"/>
    <col collapsed="false" customWidth="true" hidden="false" outlineLevel="0" max="4" min="4" style="0" width="16"/>
    <col collapsed="false" customWidth="true" hidden="false" outlineLevel="0" max="5" min="5" style="0" width="60"/>
  </cols>
  <sheetData>
    <row r="1" customFormat="false" ht="17.35" hidden="false" customHeight="false" outlineLevel="0" collapsed="false">
      <c r="A1" s="1" t="s">
        <v>361</v>
      </c>
    </row>
    <row r="4" customFormat="false" ht="36" hidden="false" customHeight="true" outlineLevel="0" collapsed="false">
      <c r="A4" s="14" t="s">
        <v>362</v>
      </c>
      <c r="B4" s="14" t="s">
        <v>280</v>
      </c>
      <c r="C4" s="14" t="s">
        <v>363</v>
      </c>
      <c r="D4" s="14" t="s">
        <v>364</v>
      </c>
      <c r="E4" s="14" t="s">
        <v>365</v>
      </c>
    </row>
    <row r="5" customFormat="false" ht="15" hidden="false" customHeight="false" outlineLevel="0" collapsed="false">
      <c r="A5" s="17" t="n">
        <v>1</v>
      </c>
      <c r="B5" s="33" t="s">
        <v>366</v>
      </c>
      <c r="C5" s="34" t="n">
        <f aca="false">SUMPRODUCT((BCC_GRID&lt;&gt;"")*NOT(IFERROR(VALUE(SUBSTITUTE(BCC_GRID,"N",""))&gt;=0,0)))+SUMPRODUCT(IFERROR(VALUE(SUBSTITUTE(BCC_GRID,"N",""))&gt;24,0)*1)+SUMPRODUCT(IFERROR(MOD(VALUE(SUBSTITUTE(BCC_GRID,"N",""))*2,1)&lt;&gt;0,0)*1)</f>
        <v>2</v>
      </c>
      <c r="D5" s="35" t="str">
        <f aca="false">IF(C5=0,"OK","LỖI")</f>
        <v>LỖI</v>
      </c>
      <c r="E5" s="36" t="s">
        <v>367</v>
      </c>
    </row>
    <row r="6" customFormat="false" ht="15" hidden="false" customHeight="false" outlineLevel="0" collapsed="false">
      <c r="A6" s="17" t="n">
        <v>2</v>
      </c>
      <c r="B6" s="33" t="s">
        <v>368</v>
      </c>
      <c r="C6" s="34" t="n">
        <f aca="false">SUMPRODUCT(IFERROR(VALUE(SUBSTITUTE(BCC_GRID,"N",""))&gt;GIO_MAX,0)*1)</f>
        <v>10</v>
      </c>
      <c r="D6" s="35" t="str">
        <f aca="false">IF(C6=0,"OK","XEM LẠI")</f>
        <v>XEM LẠI</v>
      </c>
      <c r="E6" s="36" t="s">
        <v>369</v>
      </c>
    </row>
    <row r="7" customFormat="false" ht="15" hidden="false" customHeight="false" outlineLevel="0" collapsed="false">
      <c r="A7" s="17" t="n">
        <v>3</v>
      </c>
      <c r="B7" s="33" t="s">
        <v>370</v>
      </c>
      <c r="C7" s="34" t="n">
        <f aca="false">SUMPRODUCT((LEN(BCC_MA)&gt;0)*(LEN(BCC_NHOM)=0))+COUNTIF(BCC_GIOCONG,"NHÓM?")</f>
        <v>0</v>
      </c>
      <c r="D7" s="35" t="str">
        <f aca="false">IF(C7=0,"OK","LỖI")</f>
        <v>OK</v>
      </c>
      <c r="E7" s="36"/>
    </row>
    <row r="8" customFormat="false" ht="15" hidden="false" customHeight="false" outlineLevel="0" collapsed="false">
      <c r="A8" s="17" t="n">
        <v>4</v>
      </c>
      <c r="B8" s="33" t="s">
        <v>371</v>
      </c>
      <c r="C8" s="34" t="n">
        <f aca="false">COUNTIF(BCC!$C$6:$C$100,"MÃ KHÔNG CÓ")+COUNTIF(DIEU_CHINH!$C$5:$C$149,"MÃ KHÔNG CÓ")+SUMPRODUCT((KT_M1&lt;&gt;"")*(COUNTIF(NV_MA,KT_M1)=0))+SUMPRODUCT((KT_M2&lt;&gt;"")*(COUNTIF(NV_MA,KT_M2)=0))+SUMPRODUCT((KT_M3&lt;&gt;"")*(COUNTIF(NV_MA,KT_M3)=0))</f>
        <v>0</v>
      </c>
      <c r="D8" s="35" t="str">
        <f aca="false">IF(C8=0,"OK","LỖI")</f>
        <v>OK</v>
      </c>
      <c r="E8" s="36"/>
    </row>
    <row r="9" customFormat="false" ht="15" hidden="false" customHeight="false" outlineLevel="0" collapsed="false">
      <c r="A9" s="17" t="n">
        <v>5</v>
      </c>
      <c r="B9" s="33" t="s">
        <v>372</v>
      </c>
      <c r="C9" s="34" t="n">
        <f aca="false">SUMPRODUCT((LEN(BCC_MA)&gt;0)*(COUNTIFS(BCC_MA,BCC_MA,BCC_NHOM,BCC_NHOM)&gt;1))</f>
        <v>0</v>
      </c>
      <c r="D9" s="35" t="str">
        <f aca="false">IF(C9=0,"OK","LỖI")</f>
        <v>OK</v>
      </c>
      <c r="E9" s="36" t="s">
        <v>373</v>
      </c>
    </row>
    <row r="10" customFormat="false" ht="15" hidden="false" customHeight="false" outlineLevel="0" collapsed="false">
      <c r="A10" s="17" t="n">
        <v>6</v>
      </c>
      <c r="B10" s="33" t="s">
        <v>374</v>
      </c>
      <c r="C10" s="34" t="n">
        <f aca="false">SUMPRODUCT((LEN(BCC_MA)&gt;0)*(BCC!$AR$6:$AR$100&gt;24))</f>
        <v>2</v>
      </c>
      <c r="D10" s="35" t="str">
        <f aca="false">IF(C10=0,"OK","LỖI")</f>
        <v>LỖI</v>
      </c>
      <c r="E10" s="36" t="s">
        <v>375</v>
      </c>
    </row>
    <row r="11" customFormat="false" ht="15" hidden="false" customHeight="false" outlineLevel="0" collapsed="false">
      <c r="A11" s="17" t="n">
        <v>7</v>
      </c>
      <c r="B11" s="33" t="s">
        <v>376</v>
      </c>
      <c r="C11" s="34" t="n">
        <f aca="false">SUMPRODUCT((KT_LOAI="Tổ")*(KT_N=0))</f>
        <v>0</v>
      </c>
      <c r="D11" s="35" t="str">
        <f aca="false">IF(C11=0,"OK","LỖI")</f>
        <v>OK</v>
      </c>
      <c r="E11" s="36" t="s">
        <v>377</v>
      </c>
    </row>
    <row r="12" customFormat="false" ht="15" hidden="false" customHeight="false" outlineLevel="0" collapsed="false">
      <c r="A12" s="17" t="n">
        <v>8</v>
      </c>
      <c r="B12" s="33" t="s">
        <v>378</v>
      </c>
      <c r="C12" s="34" t="n">
        <f aca="false">SUMPRODUCT((KT_LOAI="Đích danh")*(KT_N=0))</f>
        <v>0</v>
      </c>
      <c r="D12" s="35" t="str">
        <f aca="false">IF(C12=0,"OK","LỖI")</f>
        <v>OK</v>
      </c>
      <c r="E12" s="36"/>
    </row>
    <row r="13" customFormat="false" ht="15" hidden="false" customHeight="false" outlineLevel="0" collapsed="false">
      <c r="A13" s="17" t="n">
        <v>9</v>
      </c>
      <c r="B13" s="33" t="s">
        <v>379</v>
      </c>
      <c r="C13" s="34" t="n">
        <f aca="false">SUMPRODUCT((LEN(BCC_MA)&gt;0)*(LEN(BCC_DUYET)=0))</f>
        <v>59</v>
      </c>
      <c r="D13" s="35" t="str">
        <f aca="false">IF(C13=0,"OK","LỖI")</f>
        <v>LỖI</v>
      </c>
      <c r="E13" s="36"/>
    </row>
    <row r="14" customFormat="false" ht="15" hidden="false" customHeight="false" outlineLevel="0" collapsed="false">
      <c r="A14" s="17" t="n">
        <v>10</v>
      </c>
      <c r="B14" s="33" t="s">
        <v>380</v>
      </c>
      <c r="C14" s="34" t="n">
        <f aca="false">SUMPRODUCT((LEN(DC_MA)&gt;0)*((DC_DUYET="?")+(LEN(DC_DUYET)=0)))</f>
        <v>3</v>
      </c>
      <c r="D14" s="35" t="str">
        <f aca="false">IF(C14=0,"OK","LỖI")</f>
        <v>LỖI</v>
      </c>
      <c r="E14" s="36" t="s">
        <v>381</v>
      </c>
    </row>
    <row r="15" customFormat="false" ht="15" hidden="false" customHeight="false" outlineLevel="0" collapsed="false">
      <c r="A15" s="17" t="n">
        <v>11</v>
      </c>
      <c r="B15" s="33" t="s">
        <v>382</v>
      </c>
      <c r="C15" s="34" t="n">
        <f aca="false">COUNTIF(LG_TN,"&lt;0")</f>
        <v>0</v>
      </c>
      <c r="D15" s="35" t="str">
        <f aca="false">IF(C15=0,"OK","LỖI")</f>
        <v>OK</v>
      </c>
      <c r="E15" s="36"/>
    </row>
    <row r="16" customFormat="false" ht="15" hidden="false" customHeight="false" outlineLevel="0" collapsed="false">
      <c r="A16" s="17" t="n">
        <v>12</v>
      </c>
      <c r="B16" s="33" t="s">
        <v>383</v>
      </c>
      <c r="C16" s="34" t="n">
        <f aca="false">SUMPRODUCT(--ISERROR(LUONG!$A$6:$W$100))+SUMPRODUCT(--ISERROR(KT_NGUOI!$A$6:$BQ$100))</f>
        <v>0</v>
      </c>
      <c r="D16" s="35" t="str">
        <f aca="false">IF(C16=0,"OK","LỖI")</f>
        <v>OK</v>
      </c>
      <c r="E16" s="36"/>
    </row>
    <row r="17" customFormat="false" ht="28.35" hidden="false" customHeight="false" outlineLevel="0" collapsed="false">
      <c r="A17" s="17" t="n">
        <v>13</v>
      </c>
      <c r="B17" s="33" t="s">
        <v>384</v>
      </c>
      <c r="C17" s="34" t="n">
        <f aca="false">KHOAN_TAN!$H$82-SUM(KTN_TONG)-SUMPRODUCT((KT_LOAI="Đích danh")*KT_TIEN)</f>
        <v>5000</v>
      </c>
      <c r="D17" s="35" t="str">
        <f aca="false">IF(ABS(C17)&lt;=1000*COUNTIF(KT_LOAI,"Tổ"),"OK","LỖI")</f>
        <v>OK</v>
      </c>
      <c r="E17" s="36" t="s">
        <v>385</v>
      </c>
    </row>
    <row r="19" customFormat="false" ht="15" hidden="false" customHeight="false" outlineLevel="0" collapsed="false">
      <c r="B19" s="3" t="s">
        <v>386</v>
      </c>
      <c r="D19" s="37" t="str">
        <f aca="false">IF(COUNTIF(D5:D17,"LỖI")=0,"ĐƯỢC CHỐT","CHƯA ĐƯỢC CHỐT")</f>
        <v>CHƯA ĐƯỢC CHỐT</v>
      </c>
    </row>
  </sheetData>
  <sheetProtection sheet="true" formatColumns="false" formatRows="false"/>
  <conditionalFormatting sqref="D5:D17">
    <cfRule type="cellIs" priority="2" operator="equal" aboveAverage="0" equalAverage="0" bottom="0" percent="0" rank="0" text="" dxfId="5">
      <formula>"OK"</formula>
    </cfRule>
    <cfRule type="cellIs" priority="3" operator="equal" aboveAverage="0" equalAverage="0" bottom="0" percent="0" rank="0" text="" dxfId="6">
      <formula>"LỖI"</formula>
    </cfRule>
    <cfRule type="cellIs" priority="4" operator="equal" aboveAverage="0" equalAverage="0" bottom="0" percent="0" rank="0" text="" dxfId="7">
      <formula>"XEM LẠI"</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2026-09-13T01:55:45Z</dcterms:created>
  <dc:creator>openpyxl</dc:creator>
  <dc:description/>
  <dc:language>en-US</dc:language>
  <cp:lastModifiedBy/>
  <dcterms:modified xsi:type="dcterms:W3CDTF">2026-09-13T01:55:46Z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